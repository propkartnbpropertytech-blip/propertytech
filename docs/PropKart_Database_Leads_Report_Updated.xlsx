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Flow (Simple KPI)" sheetId="1" state="visible" r:id="rId1"/>
    <sheet xmlns:r="http://schemas.openxmlformats.org/officeDocument/2006/relationships" name="Executive KPI Dashboard" sheetId="2" state="visible" r:id="rId2"/>
    <sheet xmlns:r="http://schemas.openxmlformats.org/officeDocument/2006/relationships" name="Listing" sheetId="3" state="visible" r:id="rId3"/>
    <sheet xmlns:r="http://schemas.openxmlformats.org/officeDocument/2006/relationships" name="Requirement" sheetId="4" state="visible" r:id="rId4"/>
    <sheet xmlns:r="http://schemas.openxmlformats.org/officeDocument/2006/relationships" name="Inventory (Total Properties)" sheetId="5" state="visible" r:id="rId5"/>
  </sheets>
  <definedNames>
    <definedName name="_xlnm._FilterDatabase" localSheetId="2" hidden="1">'Listing'!$A$1:$I$481</definedName>
    <definedName name="_xlnm._FilterDatabase" localSheetId="3" hidden="1">'Requirement'!$A$1:$I$736</definedName>
    <definedName name="_xlnm._FilterDatabase" localSheetId="4" hidden="1">'Inventory (Total Properties)'!$A$1:$R$145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h:mm:ss"/>
    <numFmt numFmtId="166" formatCode="₹#,##0"/>
    <numFmt numFmtId="167" formatCode="0.0%"/>
    <numFmt numFmtId="168" formatCode="yyyy-mm-dd h:mm:ss"/>
  </numFmts>
  <fonts count="2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color rgb="001E3A8A"/>
      <sz val="10"/>
    </font>
    <font>
      <name val="Calibri"/>
      <b val="1"/>
      <color rgb="000F172A"/>
      <sz val="10"/>
    </font>
    <font>
      <name val="Calibri"/>
      <b val="1"/>
      <color rgb="00047857"/>
      <sz val="11"/>
    </font>
    <font>
      <name val="Calibri"/>
      <b val="1"/>
      <color rgb="001E3A8A"/>
      <sz val="9"/>
    </font>
    <font>
      <name val="Calibri"/>
      <b val="1"/>
      <color rgb="0064748B"/>
      <sz val="9"/>
    </font>
    <font>
      <name val="Calibri"/>
      <i val="1"/>
      <color rgb="00475569"/>
      <sz val="9"/>
    </font>
    <font>
      <name val="Calibri"/>
      <b val="1"/>
      <color rgb="000F172A"/>
      <sz val="13"/>
    </font>
    <font>
      <name val="Calibri"/>
      <b val="1"/>
      <color rgb="0064748B"/>
      <sz val="7"/>
    </font>
    <font>
      <name val="Calibri"/>
      <b val="1"/>
      <color rgb="001E3A8A"/>
      <sz val="11"/>
    </font>
    <font>
      <name val="Calibri"/>
      <b val="1"/>
      <color rgb="00FFFFFF"/>
      <sz val="10"/>
    </font>
    <font>
      <name val="Calibri"/>
      <color rgb="000F172A"/>
      <sz val="10"/>
    </font>
    <font>
      <name val="Calibri"/>
      <b val="1"/>
      <color rgb="00047857"/>
      <sz val="10"/>
    </font>
    <font>
      <name val="Calibri"/>
      <b val="1"/>
      <color rgb="00FFFFFF"/>
      <sz val="15"/>
    </font>
    <font>
      <name val="Calibri"/>
      <i val="1"/>
      <color rgb="00E2E8F0"/>
      <sz val="9"/>
    </font>
    <font>
      <name val="Calibri"/>
      <b val="1"/>
      <color rgb="00475569"/>
      <sz val="9"/>
    </font>
    <font>
      <name val="Calibri"/>
      <i val="1"/>
      <color rgb="0064748B"/>
      <sz val="9"/>
    </font>
    <font>
      <name val="Calibri"/>
      <color rgb="00334155"/>
      <sz val="10"/>
    </font>
    <font>
      <name val="Calibri"/>
      <color rgb="0064748B"/>
      <sz val="9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1E293B"/>
        <bgColor rgb="001E293B"/>
      </patternFill>
    </fill>
    <fill>
      <patternFill patternType="solid">
        <fgColor rgb="00F0F9FF"/>
        <bgColor rgb="00F0F9FF"/>
      </patternFill>
    </fill>
    <fill>
      <patternFill patternType="solid">
        <fgColor rgb="00FEF08A"/>
        <bgColor rgb="00FEF08A"/>
      </patternFill>
    </fill>
    <fill>
      <patternFill patternType="solid">
        <fgColor rgb="00FFFFFF"/>
        <bgColor rgb="00FFFFFF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 style="thin">
        <color rgb="00CBD5E1"/>
      </right>
      <top style="medium">
        <color rgb="001E3A8A"/>
      </top>
      <bottom style="thin">
        <color rgb="00CBD5E1"/>
      </bottom>
    </border>
    <border>
      <left/>
      <right/>
      <top style="medium">
        <color rgb="001E3A8A"/>
      </top>
      <bottom/>
      <diagonal/>
    </border>
    <border>
      <left/>
      <right style="thin">
        <color rgb="00CBD5E1"/>
      </right>
      <top style="medium">
        <color rgb="001E3A8A"/>
      </top>
      <bottom/>
      <diagonal/>
    </border>
    <border>
      <left/>
      <right/>
      <top style="medium">
        <color rgb="001E3A8A"/>
      </top>
      <bottom style="thin">
        <color rgb="00CBD5E1"/>
      </bottom>
      <diagonal/>
    </border>
    <border>
      <left/>
      <right style="thin">
        <color rgb="00CBD5E1"/>
      </right>
      <top style="medium">
        <color rgb="001E3A8A"/>
      </top>
      <bottom style="thin">
        <color rgb="00CBD5E1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164" fontId="5" fillId="3" borderId="1" applyAlignment="1" pivotButton="0" quotePrefix="0" xfId="0">
      <alignment horizontal="center" vertical="center"/>
    </xf>
    <xf numFmtId="0" fontId="6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4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12" fillId="6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3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3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3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5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right" vertical="center"/>
    </xf>
    <xf numFmtId="166" fontId="13" fillId="5" borderId="1" applyAlignment="1" pivotButton="0" quotePrefix="0" xfId="0">
      <alignment horizontal="right" vertical="center"/>
    </xf>
    <xf numFmtId="0" fontId="15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3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7" fillId="9" borderId="1" pivotButton="0" quotePrefix="0" xfId="0"/>
    <xf numFmtId="0" fontId="18" fillId="9" borderId="1" pivotButton="0" quotePrefix="0" xfId="0"/>
    <xf numFmtId="0" fontId="0" fillId="0" borderId="5" pivotButton="0" quotePrefix="0" xfId="0"/>
    <xf numFmtId="0" fontId="0" fillId="0" borderId="6" pivotButton="0" quotePrefix="0" xfId="0"/>
    <xf numFmtId="164" fontId="5" fillId="9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6" borderId="7" applyAlignment="1" pivotButton="0" quotePrefix="0" xfId="0">
      <alignment horizontal="left" vertical="center"/>
    </xf>
    <xf numFmtId="0" fontId="0" fillId="0" borderId="7" pivotButton="0" quotePrefix="0" xfId="0"/>
    <xf numFmtId="0" fontId="4" fillId="5" borderId="1" applyAlignment="1" pivotButton="0" quotePrefix="0" xfId="0">
      <alignment horizontal="left" vertical="center"/>
    </xf>
    <xf numFmtId="3" fontId="11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left" vertical="center"/>
    </xf>
    <xf numFmtId="0" fontId="19" fillId="11" borderId="1" applyAlignment="1" pivotButton="0" quotePrefix="0" xfId="0">
      <alignment horizontal="left" vertical="center"/>
    </xf>
    <xf numFmtId="3" fontId="13" fillId="11" borderId="1" applyAlignment="1" pivotButton="0" quotePrefix="0" xfId="0">
      <alignment horizontal="right" vertical="center"/>
    </xf>
    <xf numFmtId="167" fontId="20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167" fontId="4" fillId="5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5" fontId="13" fillId="5" borderId="1" applyAlignment="1" pivotButton="0" quotePrefix="0" xfId="0">
      <alignment horizontal="center" vertical="center"/>
    </xf>
    <xf numFmtId="166" fontId="13" fillId="0" borderId="1" applyAlignment="1" pivotButton="0" quotePrefix="0" xfId="0">
      <alignment horizontal="right" vertical="center"/>
    </xf>
    <xf numFmtId="166" fontId="13" fillId="5" borderId="1" applyAlignment="1" pivotButton="0" quotePrefix="0" xfId="0">
      <alignment horizontal="right" vertical="center"/>
    </xf>
    <xf numFmtId="167" fontId="20" fillId="11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1"/>
  <sheetViews>
    <sheetView showGridLines="1" workbookViewId="0">
      <selection activeCell="A1" sqref="A1"/>
    </sheetView>
  </sheetViews>
  <sheetFormatPr baseColWidth="8" defaultRowHeight="15" outlineLevelCol="0"/>
  <cols>
    <col width="4" customWidth="1" min="1" max="1"/>
    <col width="52" customWidth="1" min="2" max="2"/>
    <col width="22" customWidth="1" min="3" max="3"/>
    <col width="24" customWidth="1" min="4" max="4"/>
    <col width="56" customWidth="1" min="5" max="5"/>
    <col hidden="1" width="13" customWidth="1" min="6" max="6"/>
    <col hidden="1" width="13" customWidth="1" min="7" max="7"/>
  </cols>
  <sheetData>
    <row r="1" ht="32" customHeight="1">
      <c r="B1" s="32" t="inlineStr">
        <is>
          <t>PROPKART CRM — LEAD PIPELINE FLOW &amp; KPI COUNTER</t>
        </is>
      </c>
    </row>
    <row r="2" ht="18" customHeight="1">
      <c r="B2" s="33" t="inlineStr">
        <is>
          <t>Simplified Funnel: Leads In -&gt; Telecaller Allocation -&gt; Status -&gt; Sales Handoff -&gt; Closure • Real-Time Dynamic Date Filtering</t>
        </is>
      </c>
    </row>
    <row r="3" ht="24" customHeight="1">
      <c r="B3" s="34" t="inlineStr">
        <is>
          <t>Select Timeframe Filter:</t>
        </is>
      </c>
      <c r="C3" s="35" t="inlineStr">
        <is>
          <t>All Time</t>
        </is>
      </c>
      <c r="D3" s="34" t="inlineStr">
        <is>
          <t>Active Filter Window:</t>
        </is>
      </c>
      <c r="E3" s="36">
        <f>TEXT(F4, "YYYY-MM-DD") &amp; "  to  " &amp; TEXT(G4, "YYYY-MM-DD")</f>
        <v/>
      </c>
    </row>
    <row r="4" ht="24" customHeight="1">
      <c r="B4" s="37" t="inlineStr">
        <is>
          <t>Available Filter Options:</t>
        </is>
      </c>
      <c r="C4" s="38" t="inlineStr">
        <is>
          <t>Dropdown choices in C3: [ All Time ] • [ Today ] • [ This Week ] • [ This Month ] • [ Custom Range ]</t>
        </is>
      </c>
      <c r="D4" s="39" t="n"/>
      <c r="E4" s="40" t="n"/>
      <c r="F4">
        <f>IF(C3="Today", DATE(2026,9,28), IF(C3="This Week", DATE(2026,9,22), IF(C3="This Month", DATE(2026,9,1), IF(C3="All Time", DATE(2020,1,1), C5))))</f>
        <v/>
      </c>
      <c r="G4">
        <f>IF(C3="Today", DATE(2026,9,28), IF(C3="This Week", DATE(2026,9,28), IF(C3="This Month", DATE(2026,9,28), IF(C3="All Time", DATE(2030,12,31), E5))))</f>
        <v/>
      </c>
    </row>
    <row r="5" ht="24" customHeight="1">
      <c r="B5" s="37" t="inlineStr">
        <is>
          <t>If 'Custom Range' selected:</t>
        </is>
      </c>
      <c r="C5" s="41" t="n">
        <v>46266</v>
      </c>
      <c r="D5" s="42" t="inlineStr">
        <is>
          <t>to</t>
        </is>
      </c>
      <c r="E5" s="41" t="n">
        <v>46293</v>
      </c>
    </row>
    <row r="7" ht="26" customHeight="1">
      <c r="B7" s="43" t="inlineStr">
        <is>
          <t>PIPELINE FLOW STAGE</t>
        </is>
      </c>
      <c r="C7" s="43" t="inlineStr">
        <is>
          <t>CURRENT KPI COUNT</t>
        </is>
      </c>
      <c r="D7" s="43" t="inlineStr">
        <is>
          <t>% SHARE / CONVERSION</t>
        </is>
      </c>
      <c r="E7" s="43" t="inlineStr">
        <is>
          <t>STAGE DESCRIPTION</t>
        </is>
      </c>
    </row>
    <row r="8" ht="22" customHeight="1">
      <c r="B8" s="44" t="inlineStr">
        <is>
          <t>STAGE 1: LEADS INGESTION (HOW MANY LEADS GET IN)</t>
        </is>
      </c>
      <c r="C8" s="45" t="n"/>
      <c r="D8" s="45" t="n"/>
      <c r="E8" s="45" t="n"/>
    </row>
    <row r="9" ht="20" customHeight="1">
      <c r="B9" s="46" t="inlineStr">
        <is>
          <t>Total Inbound Leads Ingested</t>
        </is>
      </c>
      <c r="C9" s="47">
        <f>COUNTIFS(Requirement!$A:$A, "&gt;="&amp;$F$4, Requirement!$A:$A, "&lt;="&amp;$G$4+1) + COUNTIFS(Listing!$A:$A, "&gt;="&amp;$F$4, Listing!$A:$A, "&lt;="&amp;$G$4+1)</f>
        <v/>
      </c>
      <c r="D9" s="48" t="inlineStr">
        <is>
          <t>100.0%</t>
        </is>
      </c>
      <c r="E9" s="49" t="inlineStr">
        <is>
          <t>Combined intake across all channels (Meta, Housing, Webhook, Direct)</t>
        </is>
      </c>
    </row>
    <row r="10" ht="20" customHeight="1">
      <c r="B10" s="50" t="inlineStr">
        <is>
          <t xml:space="preserve">  • Client Requirement Leads (Tenant / Commercial Buyer)</t>
        </is>
      </c>
      <c r="C10" s="51">
        <f>COUNTIFS(Requirement!$A:$A, "&gt;="&amp;$F$4, Requirement!$A:$A, "&lt;="&amp;$G$4+1)</f>
        <v/>
      </c>
      <c r="D10" s="61">
        <f>IF($C$9&gt;0, C10/$C$9, 0)</f>
        <v/>
      </c>
      <c r="E10" s="53" t="inlineStr">
        <is>
          <t>Clients looking to rent or buy property</t>
        </is>
      </c>
    </row>
    <row r="11" ht="20" customHeight="1">
      <c r="B11" s="50" t="inlineStr">
        <is>
          <t xml:space="preserve">  • Property Listing Leads (Landlord / Property Owner)</t>
        </is>
      </c>
      <c r="C11" s="51">
        <f>COUNTIFS(Listing!$A:$A, "&gt;="&amp;$F$4, Listing!$A:$A, "&lt;="&amp;$G$4+1)</f>
        <v/>
      </c>
      <c r="D11" s="61">
        <f>IF($C$9&gt;0, C11/$C$9, 0)</f>
        <v/>
      </c>
      <c r="E11" s="53" t="inlineStr">
        <is>
          <t>Owners submitting property listings</t>
        </is>
      </c>
    </row>
    <row r="12" ht="22" customHeight="1">
      <c r="B12" s="44" t="inlineStr">
        <is>
          <t>STAGE 2: TELECALLER ALLOCATION &amp; QUEUE</t>
        </is>
      </c>
      <c r="C12" s="45" t="n"/>
      <c r="D12" s="45" t="n"/>
      <c r="E12" s="45" t="n"/>
    </row>
    <row r="13" ht="20" customHeight="1">
      <c r="B13" s="46" t="inlineStr">
        <is>
          <t>Total Leads Allocated to Telecallers</t>
        </is>
      </c>
      <c r="C13" s="47">
        <f>C9 - C14</f>
        <v/>
      </c>
      <c r="D13" s="62">
        <f>IF($C$9&gt;0, C13/$C$9, 0)</f>
        <v/>
      </c>
      <c r="E13" s="49" t="inlineStr">
        <is>
          <t>Inquiries assigned to active telecallers for calling</t>
        </is>
      </c>
    </row>
    <row r="14" ht="20" customHeight="1">
      <c r="B14" s="50" t="inlineStr">
        <is>
          <t xml:space="preserve">  • Unallocated Inquiries in Queue</t>
        </is>
      </c>
      <c r="C14" s="51">
        <f>COUNTIFS(Requirement!$A:$A, "&gt;="&amp;$F$4, Requirement!$A:$A, "&lt;="&amp;$G$4+1, Requirement!$E:$E, "Unassigned") + COUNTIFS(Listing!$A:$A, "&gt;="&amp;$F$4, Listing!$A:$A, "&lt;="&amp;$G$4+1, Listing!$E:$E, "Unassigned")</f>
        <v/>
      </c>
      <c r="D14" s="61">
        <f>IF($C$9&gt;0, C14/$C$9, 0)</f>
        <v/>
      </c>
      <c r="E14" s="53" t="inlineStr">
        <is>
          <t>Awaiting telecaller assignment or direct intake</t>
        </is>
      </c>
    </row>
    <row r="15" ht="22" customHeight="1">
      <c r="B15" s="44" t="inlineStr">
        <is>
          <t>STAGE 3: TELECALLER CALL OUTCOMES (WHAT IS ITS STATUS)</t>
        </is>
      </c>
      <c r="C15" s="45" t="n"/>
      <c r="D15" s="45" t="n"/>
      <c r="E15" s="45" t="n"/>
    </row>
    <row r="16" ht="20" customHeight="1">
      <c r="B16" s="50" t="inlineStr">
        <is>
          <t xml:space="preserve">  • New / In Telecaller Calling Queue</t>
        </is>
      </c>
      <c r="C16" s="51">
        <f>COUNTIFS(Requirement!$A:$A, "&gt;="&amp;$F$4, Requirement!$A:$A, "&lt;="&amp;$G$4+1, Requirement!$F:$F, "New") + COUNTIFS(Listing!$A:$A, "&gt;="&amp;$F$4, Listing!$A:$A, "&lt;="&amp;$G$4+1, Listing!$F:$F, "New")</f>
        <v/>
      </c>
      <c r="D16" s="61">
        <f>IF($C$9&gt;0, C16/$C$9, 0)</f>
        <v/>
      </c>
      <c r="E16" s="53" t="inlineStr">
        <is>
          <t>Assigned to telecaller, awaiting first call connect</t>
        </is>
      </c>
    </row>
    <row r="17" ht="20" customHeight="1">
      <c r="B17" s="50" t="inlineStr">
        <is>
          <t xml:space="preserve">  • CNR (Could Not Reach / No Answer)</t>
        </is>
      </c>
      <c r="C17" s="51">
        <f>COUNTIFS(Requirement!$A:$A, "&gt;="&amp;$F$4, Requirement!$A:$A, "&lt;="&amp;$G$4+1, Requirement!$F:$F, "*CNR*") + COUNTIFS(Listing!$A:$A, "&gt;="&amp;$F$4, Listing!$A:$A, "&lt;="&amp;$G$4+1, Listing!$F:$F, "*CNR*")</f>
        <v/>
      </c>
      <c r="D17" s="61">
        <f>IF($C$9&gt;0, C17/$C$9, 0)</f>
        <v/>
      </c>
      <c r="E17" s="53" t="inlineStr">
        <is>
          <t>Call placed; client phone rang or unanswered</t>
        </is>
      </c>
    </row>
    <row r="18" ht="20" customHeight="1">
      <c r="B18" s="50" t="inlineStr">
        <is>
          <t xml:space="preserve">  • Callback Scheduled</t>
        </is>
      </c>
      <c r="C18" s="51">
        <f>COUNTIFS(Requirement!$A:$A, "&gt;="&amp;$F$4, Requirement!$A:$A, "&lt;="&amp;$G$4+1, Requirement!$F:$F, "*Callback*") + COUNTIFS(Listing!$A:$A, "&gt;="&amp;$F$4, Listing!$A:$A, "&lt;="&amp;$G$4+1, Listing!$F:$F, "*Callback*")</f>
        <v/>
      </c>
      <c r="D18" s="61">
        <f>IF($C$9&gt;0, C18/$C$9, 0)</f>
        <v/>
      </c>
      <c r="E18" s="53" t="inlineStr">
        <is>
          <t>Client requested follow-up at specific time</t>
        </is>
      </c>
    </row>
    <row r="19" ht="20" customHeight="1">
      <c r="B19" s="50" t="inlineStr">
        <is>
          <t xml:space="preserve">  • Interested / In Qualification</t>
        </is>
      </c>
      <c r="C19" s="51">
        <f>COUNTIFS(Requirement!$A:$A, "&gt;="&amp;$F$4, Requirement!$A:$A, "&lt;="&amp;$G$4+1, Requirement!$F:$F, "Interested") + COUNTIFS(Listing!$A:$A, "&gt;="&amp;$F$4, Listing!$A:$A, "&lt;="&amp;$G$4+1, Listing!$F:$F, "Interested")</f>
        <v/>
      </c>
      <c r="D19" s="61">
        <f>IF($C$9&gt;0, C19/$C$9, 0)</f>
        <v/>
      </c>
      <c r="E19" s="53" t="inlineStr">
        <is>
          <t>Client confirmed criteria; collecting preferences</t>
        </is>
      </c>
    </row>
    <row r="20" ht="20" customHeight="1">
      <c r="B20" s="50" t="inlineStr">
        <is>
          <t xml:space="preserve">  • Disqualified / Lost / Invalid</t>
        </is>
      </c>
      <c r="C20" s="51">
        <f>COUNTIFS(Requirement!$A:$A, "&gt;="&amp;$F$4, Requirement!$A:$A, "&lt;="&amp;$G$4+1, Requirement!$F:$F, "Rejected*") + COUNTIFS(Requirement!$A:$A, "&gt;="&amp;$F$4, Requirement!$A:$A, "&lt;="&amp;$G$4+1, Requirement!$F:$F, "Archived") + COUNTIFS(Listing!$A:$A, "&gt;="&amp;$F$4, Listing!$A:$A, "&lt;="&amp;$G$4+1, Listing!$F:$F, "Rejected*")</f>
        <v/>
      </c>
      <c r="D20" s="61">
        <f>IF($C$9&gt;0, C20/$C$9, 0)</f>
        <v/>
      </c>
      <c r="E20" s="53" t="inlineStr">
        <is>
          <t>No requirement, budget/location mismatch, or wrong number</t>
        </is>
      </c>
    </row>
    <row r="21" ht="20" customHeight="1">
      <c r="B21" s="50" t="inlineStr">
        <is>
          <t xml:space="preserve">  • Verified &amp; Listed on PropKart</t>
        </is>
      </c>
      <c r="C21" s="51">
        <f>COUNTIFS(Listing!$A:$A, "&gt;="&amp;$F$4, Listing!$A:$A, "&lt;="&amp;$G$4+1, Listing!$F:$F, "Listed*")</f>
        <v/>
      </c>
      <c r="D21" s="61">
        <f>IF($C$9&gt;0, C21/$C$9, 0)</f>
        <v/>
      </c>
      <c r="E21" s="53" t="inlineStr">
        <is>
          <t>Owner inquiry verified and published live on portal</t>
        </is>
      </c>
    </row>
    <row r="22" ht="22" customHeight="1">
      <c r="B22" s="44" t="inlineStr">
        <is>
          <t>STAGE 4: SALES TEAM ALLOCATION (THE 6 PEOPLE &amp; PROPKART ADMIN)</t>
        </is>
      </c>
      <c r="C22" s="45" t="n"/>
      <c r="D22" s="45" t="n"/>
      <c r="E22" s="45" t="n"/>
    </row>
    <row r="23" ht="20" customHeight="1">
      <c r="B23" s="46" t="inlineStr">
        <is>
          <t>Total Qualified Leads Handed to Sales</t>
        </is>
      </c>
      <c r="C23" s="47">
        <f>COUNTIFS(Requirement!$A:$A, "&gt;="&amp;$F$4, Requirement!$A:$A, "&lt;="&amp;$G$4+1, Requirement!$G:$G, "&lt;&gt;Not Assigned") + COUNTIFS(Listing!$A:$A, "&gt;="&amp;$F$4, Listing!$A:$A, "&lt;="&amp;$G$4+1, Listing!$G:$G, "&lt;&gt;Not Assigned", Listing!$G:$G, "&lt;&gt;PropKart Direct")</f>
        <v/>
      </c>
      <c r="D23" s="62">
        <f>IF($C$9&gt;0, C23/$C$9, 0)</f>
        <v/>
      </c>
      <c r="E23" s="49" t="inlineStr">
        <is>
          <t>Qualified leads assigned to Sales Executives</t>
        </is>
      </c>
    </row>
    <row r="24" ht="20" customHeight="1">
      <c r="B24" s="50" t="inlineStr">
        <is>
          <t xml:space="preserve">  • Rajan Purani (Sales Team Leader)</t>
        </is>
      </c>
      <c r="C24" s="51">
        <f>COUNTIFS(Requirement!$A:$A, "&gt;="&amp;$F$4, Requirement!$A:$A, "&lt;="&amp;$G$4+1, Requirement!$G:$G, "Rajan Purani") + COUNTIFS(Listing!$A:$A, "&gt;="&amp;$F$4, Listing!$A:$A, "&lt;="&amp;$G$4+1, Listing!$G:$G, "Rajan Purani")</f>
        <v/>
      </c>
      <c r="D24" s="61">
        <f>IF($C$23&gt;0, C24/$C$23, 0)</f>
        <v/>
      </c>
      <c r="E24" s="53" t="inlineStr">
        <is>
          <t>Sales Team Lead • High-value requirement allocation</t>
        </is>
      </c>
    </row>
    <row r="25" ht="20" customHeight="1">
      <c r="B25" s="50" t="inlineStr">
        <is>
          <t xml:space="preserve">  • Rakesh Jadav (Senior Sales Executive)</t>
        </is>
      </c>
      <c r="C25" s="51">
        <f>COUNTIFS(Requirement!$A:$A, "&gt;="&amp;$F$4, Requirement!$A:$A, "&lt;="&amp;$G$4+1, Requirement!$G:$G, "Rakesh Jadav") + COUNTIFS(Listing!$A:$A, "&gt;="&amp;$F$4, Listing!$A:$A, "&lt;="&amp;$G$4+1, Listing!$G:$G, "Rakesh Jadav")</f>
        <v/>
      </c>
      <c r="D25" s="61">
        <f>IF($C$23&gt;0, C25/$C$23, 0)</f>
        <v/>
      </c>
      <c r="E25" s="53" t="inlineStr">
        <is>
          <t>Senior Sales • Key client portfolio management</t>
        </is>
      </c>
    </row>
    <row r="26" ht="20" customHeight="1">
      <c r="B26" s="50" t="inlineStr">
        <is>
          <t xml:space="preserve">  • Somel Rathod (Senior Sales Executive)</t>
        </is>
      </c>
      <c r="C26" s="51">
        <f>COUNTIFS(Requirement!$A:$A, "&gt;="&amp;$F$4, Requirement!$A:$A, "&lt;="&amp;$G$4+1, Requirement!$G:$G, "Somel Rathod") + COUNTIFS(Listing!$A:$A, "&gt;="&amp;$F$4, Listing!$A:$A, "&lt;="&amp;$G$4+1, Listing!$G:$G, "Somel Rathod")</f>
        <v/>
      </c>
      <c r="D26" s="61">
        <f>IF($C$23&gt;0, C26/$C$23, 0)</f>
        <v/>
      </c>
      <c r="E26" s="53" t="inlineStr">
        <is>
          <t>Senior Sales • Active client matching &amp; property visits</t>
        </is>
      </c>
    </row>
    <row r="27" ht="20" customHeight="1">
      <c r="B27" s="50" t="inlineStr">
        <is>
          <t xml:space="preserve">  • Viral Jadeja (Sales Executive)</t>
        </is>
      </c>
      <c r="C27" s="51">
        <f>COUNTIFS(Requirement!$A:$A, "&gt;="&amp;$F$4, Requirement!$A:$A, "&lt;="&amp;$G$4+1, Requirement!$G:$G, "Viral Jadeja") + COUNTIFS(Listing!$A:$A, "&gt;="&amp;$F$4, Listing!$A:$A, "&lt;="&amp;$G$4+1, Listing!$G:$G, "Viral Jadeja")</f>
        <v/>
      </c>
      <c r="D27" s="61">
        <f>IF($C$23&gt;0, C27/$C$23, 0)</f>
        <v/>
      </c>
      <c r="E27" s="53" t="inlineStr">
        <is>
          <t>Sales Executive • Client outreach &amp; site visits</t>
        </is>
      </c>
    </row>
    <row r="28" ht="20" customHeight="1">
      <c r="B28" s="50" t="inlineStr">
        <is>
          <t xml:space="preserve">  • Prexa Vithalapara (Telecaller - Leads Handled)</t>
        </is>
      </c>
      <c r="C28" s="51">
        <f>COUNTIFS(Requirement!$A:$A, "&gt;="&amp;$F$4, Requirement!$A:$A, "&lt;="&amp;$G$4+1, Requirement!$E:$E, "Prexa Vithalapara") + COUNTIFS(Listing!$A:$A, "&gt;="&amp;$F$4, Listing!$A:$A, "&lt;="&amp;$G$4+1, Listing!$E:$E, "Prexa Vithalapara")</f>
        <v/>
      </c>
      <c r="D28" s="61">
        <f>IF($C$9&gt;0, C28/$C$9, 0)</f>
        <v/>
      </c>
      <c r="E28" s="53" t="inlineStr">
        <is>
          <t>Core Telecaller • Inquiries processed</t>
        </is>
      </c>
    </row>
    <row r="29" ht="20" customHeight="1">
      <c r="B29" s="50" t="inlineStr">
        <is>
          <t xml:space="preserve">  • Zeel Mudaliyar (Telecaller - Leads Handled)</t>
        </is>
      </c>
      <c r="C29" s="51">
        <f>COUNTIFS(Requirement!$A:$A, "&gt;="&amp;$F$4, Requirement!$A:$A, "&lt;="&amp;$G$4+1, Requirement!$E:$E, "Zeel Mudaliyar") + COUNTIFS(Listing!$A:$A, "&gt;="&amp;$F$4, Listing!$A:$A, "&lt;="&amp;$G$4+1, Listing!$E:$E, "Zeel Mudaliyar")</f>
        <v/>
      </c>
      <c r="D29" s="61">
        <f>IF($C$9&gt;0, C29/$C$9, 0)</f>
        <v/>
      </c>
      <c r="E29" s="53" t="inlineStr">
        <is>
          <t>Core Telecaller • Inquiries processed</t>
        </is>
      </c>
    </row>
    <row r="30" ht="20" customHeight="1">
      <c r="B30" s="50" t="inlineStr">
        <is>
          <t xml:space="preserve">  • Propkart Admin (Admin - Operations &amp; Inventory)</t>
        </is>
      </c>
      <c r="C30" s="51">
        <f>COUNTIFS('Inventory (Total Properties)'!$A:$A, "&gt;="&amp;$F$4, 'Inventory (Total Properties)'!$A:$A, "&lt;="&amp;$G$4+1, 'Inventory (Total Properties)'!$Q:$Q, "Propkart Admin")</f>
        <v/>
      </c>
      <c r="D30" s="55" t="inlineStr">
        <is>
          <t>-</t>
        </is>
      </c>
      <c r="E30" s="53" t="inlineStr">
        <is>
          <t>System Admin • Direct CRM inventory creation &amp; management</t>
        </is>
      </c>
    </row>
    <row r="31" ht="22" customHeight="1">
      <c r="B31" s="44" t="inlineStr">
        <is>
          <t>STAGE 5: SALES PIPELINE OUTCOMES (CONVERSION &amp; CLOSURE)</t>
        </is>
      </c>
      <c r="C31" s="45" t="n"/>
      <c r="D31" s="45" t="n"/>
      <c r="E31" s="45" t="n"/>
    </row>
    <row r="32" ht="20" customHeight="1">
      <c r="B32" s="50" t="inlineStr">
        <is>
          <t xml:space="preserve">  • Assigned / In Active Follow-up &amp; Discussion</t>
        </is>
      </c>
      <c r="C32" s="51">
        <f>COUNTIFS(Requirement!$A:$A, "&gt;="&amp;$F$4, Requirement!$A:$A, "&lt;="&amp;$G$4+1, Requirement!$H:$H, "*Follow*") + COUNTIFS(Requirement!$A:$A, "&gt;="&amp;$F$4, Requirement!$A:$A, "&lt;="&amp;$G$4+1, Requirement!$H:$H, "Interested") + COUNTIFS(Requirement!$A:$A, "&gt;="&amp;$F$4, Requirement!$A:$A, "&lt;="&amp;$G$4+1, Requirement!$H:$H, "Live") + COUNTIFS(Requirement!$A:$A, "&gt;="&amp;$F$4, Requirement!$A:$A, "&lt;="&amp;$G$4+1, Requirement!$H:$H, "Assigned*")</f>
        <v/>
      </c>
      <c r="D32" s="61">
        <f>IF($C$23&gt;0, C32/$C$23, 0)</f>
        <v/>
      </c>
      <c r="E32" s="53" t="inlineStr">
        <is>
          <t>Clients in active discussions with sales team</t>
        </is>
      </c>
    </row>
    <row r="33" ht="20" customHeight="1">
      <c r="B33" s="50" t="inlineStr">
        <is>
          <t xml:space="preserve">  • Site Visits Scheduled</t>
        </is>
      </c>
      <c r="C33" s="51">
        <f>COUNTIFS(Requirement!$A:$A, "&gt;="&amp;$F$4, Requirement!$A:$A, "&lt;="&amp;$G$4+1, Requirement!$H:$H, "*Visit Scheduled*")</f>
        <v/>
      </c>
      <c r="D33" s="61">
        <f>IF($C$23&gt;0, C33/$C$23, 0)</f>
        <v/>
      </c>
      <c r="E33" s="53" t="inlineStr">
        <is>
          <t>Physical property visits scheduled with client</t>
        </is>
      </c>
    </row>
    <row r="34" ht="20" customHeight="1">
      <c r="B34" s="50" t="inlineStr">
        <is>
          <t xml:space="preserve">  • Site Visits Completed / Done</t>
        </is>
      </c>
      <c r="C34" s="51">
        <f>COUNTIFS(Requirement!$A:$A, "&gt;="&amp;$F$4, Requirement!$A:$A, "&lt;="&amp;$G$4+1, Requirement!$H:$H, "*Visit Done*")</f>
        <v/>
      </c>
      <c r="D34" s="61">
        <f>IF($C$23&gt;0, C34/$C$23, 0)</f>
        <v/>
      </c>
      <c r="E34" s="53" t="inlineStr">
        <is>
          <t>Physical walkthrough executed with sales executive</t>
        </is>
      </c>
    </row>
    <row r="35" ht="20" customHeight="1">
      <c r="B35" s="46" t="inlineStr">
        <is>
          <t>Deals Won / Closed (Converted to Revenue)</t>
        </is>
      </c>
      <c r="C35" s="47">
        <f>COUNTIFS(Requirement!$A:$A, "&gt;="&amp;$F$4, Requirement!$A:$A, "&lt;="&amp;$G$4+1, Requirement!$H:$H, "*Won*")</f>
        <v/>
      </c>
      <c r="D35" s="62">
        <f>IF($C$23&gt;0, C35/$C$23, 0)</f>
        <v/>
      </c>
      <c r="E35" s="49" t="inlineStr">
        <is>
          <t>Successfully closed rental / resale commercial deals</t>
        </is>
      </c>
    </row>
    <row r="36" ht="20" customHeight="1">
      <c r="B36" s="50" t="inlineStr">
        <is>
          <t xml:space="preserve">  • Disqualified / Rejected by Sales</t>
        </is>
      </c>
      <c r="C36" s="51">
        <f>COUNTIFS(Requirement!$A:$A, "&gt;="&amp;$F$4, Requirement!$A:$A, "&lt;="&amp;$G$4+1, Requirement!$H:$H, "Rejected*") + COUNTIFS(Requirement!$A:$A, "&gt;="&amp;$F$4, Requirement!$A:$A, "&lt;="&amp;$G$4+1, Requirement!$H:$H, "Disqualified*")</f>
        <v/>
      </c>
      <c r="D36" s="61">
        <f>IF($C$23&gt;0, C36/$C$23, 0)</f>
        <v/>
      </c>
      <c r="E36" s="53" t="inlineStr">
        <is>
          <t>Inquiries closed by sales without deal conversion</t>
        </is>
      </c>
    </row>
    <row r="37" ht="22" customHeight="1">
      <c r="B37" s="44" t="inlineStr">
        <is>
          <t>STAGE 6: PROPKART INVENTORY PORTFOLIO (TOTAL PROPERTIES)</t>
        </is>
      </c>
      <c r="C37" s="45" t="n"/>
      <c r="D37" s="45" t="n"/>
      <c r="E37" s="45" t="n"/>
    </row>
    <row r="38" ht="20" customHeight="1">
      <c r="B38" s="46" t="inlineStr">
        <is>
          <t>Total Properties in Inventory</t>
        </is>
      </c>
      <c r="C38" s="47">
        <f>COUNTIFS('Inventory (Total Properties)'!$A:$A, "&gt;="&amp;$F$4, 'Inventory (Total Properties)'!$A:$A, "&lt;="&amp;$G$4+1)</f>
        <v/>
      </c>
      <c r="D38" s="48" t="inlineStr">
        <is>
          <t>100.0%</t>
        </is>
      </c>
      <c r="E38" s="49" t="inlineStr">
        <is>
          <t>Verified properties in PropKart inventory database</t>
        </is>
      </c>
    </row>
    <row r="39" ht="20" customHeight="1">
      <c r="B39" s="50" t="inlineStr">
        <is>
          <t xml:space="preserve">  • Available Properties (Ready for Matching)</t>
        </is>
      </c>
      <c r="C39" s="51">
        <f>COUNTIFS('Inventory (Total Properties)'!$A:$A, "&gt;="&amp;$F$4, 'Inventory (Total Properties)'!$A:$A, "&lt;="&amp;$G$4+1, 'Inventory (Total Properties)'!$G:$G, "Available")</f>
        <v/>
      </c>
      <c r="D39" s="61">
        <f>IF($C$38&gt;0, C39/$C$38, 0)</f>
        <v/>
      </c>
      <c r="E39" s="53" t="inlineStr">
        <is>
          <t>Active properties ready for immediate tenant/buyer walkthrough</t>
        </is>
      </c>
    </row>
    <row r="40" ht="20" customHeight="1">
      <c r="B40" s="50" t="inlineStr">
        <is>
          <t xml:space="preserve">  • Rented Out Properties (Closed Deals)</t>
        </is>
      </c>
      <c r="C40" s="51">
        <f>COUNTIFS('Inventory (Total Properties)'!$A:$A, "&gt;="&amp;$F$4, 'Inventory (Total Properties)'!$A:$A, "&lt;="&amp;$G$4+1, 'Inventory (Total Properties)'!$G:$G, "Rented Out")</f>
        <v/>
      </c>
      <c r="D40" s="61">
        <f>IF($C$38&gt;0, C40/$C$38, 0)</f>
        <v/>
      </c>
      <c r="E40" s="53" t="inlineStr">
        <is>
          <t>Leased properties closed on PropKart</t>
        </is>
      </c>
    </row>
    <row r="41" ht="20" customHeight="1">
      <c r="B41" s="50" t="inlineStr">
        <is>
          <t xml:space="preserve">  • Sold Out / Other Properties</t>
        </is>
      </c>
      <c r="C41" s="51">
        <f>COUNTIFS('Inventory (Total Properties)'!$A:$A, "&gt;="&amp;$F$4, 'Inventory (Total Properties)'!$A:$A, "&lt;="&amp;$G$4+1, 'Inventory (Total Properties)'!$G:$G, "Sold Out") + COUNTIFS('Inventory (Total Properties)'!$A:$A, "&gt;="&amp;$F$4, 'Inventory (Total Properties)'!$A:$A, "&lt;="&amp;$G$4+1, 'Inventory (Total Properties)'!$G:$G, "To Be Available")</f>
        <v/>
      </c>
      <c r="D41" s="61">
        <f>IF($C$38&gt;0, C41/$C$38, 0)</f>
        <v/>
      </c>
      <c r="E41" s="53" t="inlineStr">
        <is>
          <t>Outright sales and properties under upcoming notice</t>
        </is>
      </c>
    </row>
  </sheetData>
  <mergeCells count="9">
    <mergeCell ref="B31:E31"/>
    <mergeCell ref="B1:E1"/>
    <mergeCell ref="B8:E8"/>
    <mergeCell ref="B12:E12"/>
    <mergeCell ref="C4:E4"/>
    <mergeCell ref="B15:E15"/>
    <mergeCell ref="B2:E2"/>
    <mergeCell ref="B37:E37"/>
    <mergeCell ref="B22:E22"/>
  </mergeCells>
  <dataValidations count="1">
    <dataValidation sqref="C3" showDropDown="0" showInputMessage="0" showErrorMessage="0" allowBlank="0" type="list">
      <formula1>"All Time,Today,This Week,This Month,Custom Range"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26" customWidth="1" min="10" max="10"/>
  </cols>
  <sheetData>
    <row r="1" ht="36" customHeight="1">
      <c r="A1" s="1" t="inlineStr">
        <is>
          <t>PROPKART CRM — EXECUTIVE KPI &amp; TIME-SERIES WORKLOAD DASHBOARD</t>
        </is>
      </c>
    </row>
    <row r="2" ht="20" customHeight="1">
      <c r="A2" s="2" t="inlineStr">
        <is>
          <t>Authoritative Hostinger Database Audit • All-Time: 17-Jul-2026 to 28-Sep-2026 (73 Days Active) • Generated on: 28-Sep-2026 06:13 PM IST</t>
        </is>
      </c>
    </row>
    <row r="4" ht="24" customHeight="1">
      <c r="A4" s="3" t="inlineStr">
        <is>
          <t>📅 INTERACTIVE DATE FILTER:</t>
        </is>
      </c>
      <c r="B4" s="4" t="inlineStr">
        <is>
          <t>From Date (YYYY-MM-DD):</t>
        </is>
      </c>
      <c r="C4" s="56" t="n">
        <v>46220</v>
      </c>
      <c r="D4" s="4" t="inlineStr">
        <is>
          <t>To Date (YYYY-MM-DD):</t>
        </is>
      </c>
      <c r="E4" s="56" t="n">
        <v>46293</v>
      </c>
      <c r="F4" s="4" t="inlineStr">
        <is>
          <t>Quick Presets:</t>
        </is>
      </c>
      <c r="G4" s="6" t="inlineStr">
        <is>
          <t>Today (28-Sep)</t>
        </is>
      </c>
      <c r="H4" s="6" t="inlineStr">
        <is>
          <t>This Week (22 to 28-Sep)</t>
        </is>
      </c>
      <c r="I4" s="6" t="inlineStr">
        <is>
          <t>This Month (Sep 2026)</t>
        </is>
      </c>
    </row>
    <row r="5" ht="24" customHeight="1">
      <c r="A5" s="7" t="inlineStr">
        <is>
          <t>💡 Operational Usage Guide:</t>
        </is>
      </c>
      <c r="B5" s="8" t="inlineStr">
        <is>
          <t>To filter by custom dates, edit cells C4 &amp; E4. In data sheets (Listing, Requirement, Inventory), click Column A 'Date Filters' or Column B 'date filter' dropdown.</t>
        </is>
      </c>
    </row>
    <row r="7" ht="28" customHeight="1">
      <c r="A7" s="9">
        <f>COUNTIFS(Requirement!$A:$A, "&gt;="&amp;$C$4, Requirement!$A:$A, "&lt;="&amp;$E$4+1) + COUNTIFS(Listing!$A:$A, "&gt;="&amp;$C$4, Listing!$A:$A, "&lt;="&amp;$E$4+1)</f>
        <v/>
      </c>
      <c r="B7" s="9">
        <f>COUNTIFS(Requirement!$A:$A, "&gt;="&amp;$C$4, Requirement!$A:$A, "&lt;="&amp;$E$4+1)</f>
        <v/>
      </c>
      <c r="C7" s="9">
        <f>COUNTIFS(Listing!$A:$A, "&gt;="&amp;$C$4, Listing!$A:$A, "&lt;="&amp;$E$4+1)</f>
        <v/>
      </c>
      <c r="D7" s="9">
        <f>COUNTIFS('Inventory (Total Properties)'!$A:$A, "&gt;="&amp;$C$4, 'Inventory (Total Properties)'!$A:$A, "&lt;="&amp;$E$4+1)</f>
        <v/>
      </c>
      <c r="E7" s="10" t="n">
        <v>1136</v>
      </c>
      <c r="F7" s="10" t="n">
        <v>144</v>
      </c>
      <c r="G7" s="10" t="n">
        <v>3</v>
      </c>
    </row>
    <row r="8" ht="18" customHeight="1">
      <c r="A8" s="11" t="inlineStr">
        <is>
          <t>DYNAMIC TOTAL LEADS
(Filtered Inquiries)</t>
        </is>
      </c>
      <c r="B8" s="11" t="inlineStr">
        <is>
          <t>DYNAMIC REQUIREMENTS
(Tenant / Buyer Leads)</t>
        </is>
      </c>
      <c r="C8" s="11" t="inlineStr">
        <is>
          <t>DYNAMIC LISTINGS
(Owner Listing Inquiries)</t>
        </is>
      </c>
      <c r="D8" s="11" t="inlineStr">
        <is>
          <t>DYNAMIC INVENTORY ADDED
(Properties Added)</t>
        </is>
      </c>
      <c r="E8" s="11" t="inlineStr">
        <is>
          <t>TOTAL ALL-TIME LEADS
(All Ingested Leads)</t>
        </is>
      </c>
      <c r="F8" s="11" t="inlineStr">
        <is>
          <t>ACTIVE LIVE INVENTORY
(Total PropKart Portfolio)</t>
        </is>
      </c>
      <c r="G8" s="11" t="inlineStr">
        <is>
          <t>TOTAL DEALS WON
(Converted to Revenue)</t>
        </is>
      </c>
    </row>
    <row r="10" ht="24" customHeight="1">
      <c r="A10" s="12" t="inlineStr">
        <is>
          <t>1. MULTI-TIMEFRAME EXECUTIVE PERFORMANCE SUMMARY (TODAY, WEEKLY, MONTHLY, YEARLY)</t>
        </is>
      </c>
    </row>
    <row r="11" ht="24" customHeight="1">
      <c r="A11" s="13" t="inlineStr">
        <is>
          <t>Executive CRM Performance Metric</t>
        </is>
      </c>
      <c r="B11" s="13" t="inlineStr">
        <is>
          <t>Today (28-Sep)</t>
        </is>
      </c>
      <c r="C11" s="13" t="inlineStr">
        <is>
          <t>Weekly (Last 7 Days)</t>
        </is>
      </c>
      <c r="D11" s="13" t="inlineStr">
        <is>
          <t>Monthly (Sep 2026)</t>
        </is>
      </c>
      <c r="E11" s="13" t="inlineStr">
        <is>
          <t>Yearly / All-Time (2026)</t>
        </is>
      </c>
      <c r="F11" s="13" t="inlineStr">
        <is>
          <t>% of All-Time</t>
        </is>
      </c>
      <c r="G11" s="13" t="inlineStr">
        <is>
          <t>Operational Flow &amp; Business Impact</t>
        </is>
      </c>
    </row>
    <row r="12" ht="20" customHeight="1">
      <c r="A12" s="14" t="inlineStr">
        <is>
          <t>Total Leads Ingested</t>
        </is>
      </c>
      <c r="B12" s="15" t="n">
        <v>16</v>
      </c>
      <c r="C12" s="15" t="n">
        <v>252</v>
      </c>
      <c r="D12" s="15" t="n">
        <v>1089</v>
      </c>
      <c r="E12" s="15" t="n">
        <v>1136</v>
      </c>
      <c r="F12" s="16" t="inlineStr">
        <is>
          <t>100.0%</t>
        </is>
      </c>
      <c r="G12" s="14" t="inlineStr">
        <is>
          <t>Unified ingestion across Meta, Housing, Webhook &amp; Direct</t>
        </is>
      </c>
    </row>
    <row r="13" ht="20" customHeight="1">
      <c r="A13" s="17" t="inlineStr">
        <is>
          <t xml:space="preserve">  • Meta Ads (Facebook &amp; Instagram)</t>
        </is>
      </c>
      <c r="B13" s="18" t="n">
        <v>12</v>
      </c>
      <c r="C13" s="18" t="n">
        <v>185</v>
      </c>
      <c r="D13" s="18" t="n">
        <v>798</v>
      </c>
      <c r="E13" s="18" t="n">
        <v>831</v>
      </c>
      <c r="F13" s="19" t="inlineStr">
        <is>
          <t>73.2%</t>
        </is>
      </c>
      <c r="G13" s="17" t="inlineStr">
        <is>
          <t>Core paid social campaign performance</t>
        </is>
      </c>
    </row>
    <row r="14" ht="20" customHeight="1">
      <c r="A14" s="14" t="inlineStr">
        <is>
          <t xml:space="preserve">  • Webhook API (External Feeds)</t>
        </is>
      </c>
      <c r="B14" s="15" t="n">
        <v>2</v>
      </c>
      <c r="C14" s="15" t="n">
        <v>28</v>
      </c>
      <c r="D14" s="15" t="n">
        <v>114</v>
      </c>
      <c r="E14" s="15" t="n">
        <v>120</v>
      </c>
      <c r="F14" s="16" t="inlineStr">
        <is>
          <t>10.6%</t>
        </is>
      </c>
      <c r="G14" s="14" t="inlineStr">
        <is>
          <t>Automated inbound campaign feeds</t>
        </is>
      </c>
    </row>
    <row r="15" ht="20" customHeight="1">
      <c r="A15" s="17" t="inlineStr">
        <is>
          <t xml:space="preserve">  • Housing.com (Pahal API Auto-Sync)</t>
        </is>
      </c>
      <c r="B15" s="18" t="n">
        <v>1</v>
      </c>
      <c r="C15" s="18" t="n">
        <v>23</v>
      </c>
      <c r="D15" s="18" t="n">
        <v>94</v>
      </c>
      <c r="E15" s="18" t="n">
        <v>98</v>
      </c>
      <c r="F15" s="19" t="inlineStr">
        <is>
          <t>8.6%</t>
        </is>
      </c>
      <c r="G15" s="17" t="inlineStr">
        <is>
          <t>Automated portal synchronization</t>
        </is>
      </c>
    </row>
    <row r="16" ht="20" customHeight="1">
      <c r="A16" s="14" t="inlineStr">
        <is>
          <t xml:space="preserve">  • Direct / Manual CRM Entry</t>
        </is>
      </c>
      <c r="B16" s="15" t="n">
        <v>1</v>
      </c>
      <c r="C16" s="15" t="n">
        <v>16</v>
      </c>
      <c r="D16" s="15" t="n">
        <v>83</v>
      </c>
      <c r="E16" s="15" t="n">
        <v>86</v>
      </c>
      <c r="F16" s="16" t="inlineStr">
        <is>
          <t>7.6%</t>
        </is>
      </c>
      <c r="G16" s="14" t="inlineStr">
        <is>
          <t>Walk-in inquiries and manual intake</t>
        </is>
      </c>
    </row>
    <row r="17" ht="20" customHeight="1">
      <c r="A17" s="17" t="inlineStr">
        <is>
          <t xml:space="preserve">  • Organic Social Media</t>
        </is>
      </c>
      <c r="B17" s="18" t="n">
        <v>0</v>
      </c>
      <c r="C17" s="18" t="n">
        <v>0</v>
      </c>
      <c r="D17" s="18" t="n">
        <v>0</v>
      </c>
      <c r="E17" s="18" t="n">
        <v>1</v>
      </c>
      <c r="F17" s="19" t="inlineStr">
        <is>
          <t>0.1%</t>
        </is>
      </c>
      <c r="G17" s="17" t="inlineStr">
        <is>
          <t>Brand organic engagement</t>
        </is>
      </c>
    </row>
    <row r="18" ht="20" customHeight="1">
      <c r="A18" s="14" t="inlineStr">
        <is>
          <t>Property Listing Inquiries</t>
        </is>
      </c>
      <c r="B18" s="15" t="n">
        <v>4</v>
      </c>
      <c r="C18" s="15" t="n">
        <v>94</v>
      </c>
      <c r="D18" s="15" t="n">
        <v>385</v>
      </c>
      <c r="E18" s="15" t="n">
        <v>402</v>
      </c>
      <c r="F18" s="16" t="inlineStr">
        <is>
          <t>35.4%</t>
        </is>
      </c>
      <c r="G18" s="14" t="inlineStr">
        <is>
          <t>Landlord / property owner inquiries</t>
        </is>
      </c>
    </row>
    <row r="19" ht="20" customHeight="1">
      <c r="A19" s="17" t="inlineStr">
        <is>
          <t>Client Requirement Inquiries</t>
        </is>
      </c>
      <c r="B19" s="18" t="n">
        <v>12</v>
      </c>
      <c r="C19" s="18" t="n">
        <v>158</v>
      </c>
      <c r="D19" s="18" t="n">
        <v>704</v>
      </c>
      <c r="E19" s="18" t="n">
        <v>734</v>
      </c>
      <c r="F19" s="19" t="inlineStr">
        <is>
          <t>64.6%</t>
        </is>
      </c>
      <c r="G19" s="17" t="inlineStr">
        <is>
          <t>Tenant / commercial buyer inquiries</t>
        </is>
      </c>
    </row>
    <row r="20" ht="20" customHeight="1">
      <c r="A20" s="14" t="inlineStr">
        <is>
          <t>Leads Allocated to Telecallers</t>
        </is>
      </c>
      <c r="B20" s="15" t="n">
        <v>15</v>
      </c>
      <c r="C20" s="15" t="n">
        <v>238</v>
      </c>
      <c r="D20" s="15" t="n">
        <v>865</v>
      </c>
      <c r="E20" s="15" t="n">
        <v>892</v>
      </c>
      <c r="F20" s="16" t="inlineStr">
        <is>
          <t>78.5%</t>
        </is>
      </c>
      <c r="G20" s="14" t="inlineStr">
        <is>
          <t>Actively distributed to telecaller calling queues</t>
        </is>
      </c>
    </row>
    <row r="21" ht="20" customHeight="1">
      <c r="A21" s="17" t="inlineStr">
        <is>
          <t>Unallocated Leads in Queue</t>
        </is>
      </c>
      <c r="B21" s="18" t="n">
        <v>1</v>
      </c>
      <c r="C21" s="18" t="n">
        <v>14</v>
      </c>
      <c r="D21" s="18" t="n">
        <v>224</v>
      </c>
      <c r="E21" s="18" t="n">
        <v>244</v>
      </c>
      <c r="F21" s="19" t="inlineStr">
        <is>
          <t>21.5%</t>
        </is>
      </c>
      <c r="G21" s="17" t="inlineStr">
        <is>
          <t>Awaiting round-robin assignment or direct conversions</t>
        </is>
      </c>
    </row>
    <row r="22" ht="20" customHeight="1">
      <c r="A22" s="14" t="inlineStr">
        <is>
          <t>Leads Handed Over to Sales Team</t>
        </is>
      </c>
      <c r="B22" s="15" t="n">
        <v>2</v>
      </c>
      <c r="C22" s="15" t="n">
        <v>43</v>
      </c>
      <c r="D22" s="15" t="n">
        <v>225</v>
      </c>
      <c r="E22" s="15" t="n">
        <v>274</v>
      </c>
      <c r="F22" s="16" t="inlineStr">
        <is>
          <t>24.1%</t>
        </is>
      </c>
      <c r="G22" s="14" t="inlineStr">
        <is>
          <t>Qualified prospects transferred to Sales Executives</t>
        </is>
      </c>
    </row>
    <row r="23" ht="20" customHeight="1">
      <c r="A23" s="17" t="inlineStr">
        <is>
          <t>Site Visits Officially Scheduled</t>
        </is>
      </c>
      <c r="B23" s="18" t="n">
        <v>0</v>
      </c>
      <c r="C23" s="18" t="n">
        <v>8</v>
      </c>
      <c r="D23" s="18" t="n">
        <v>31</v>
      </c>
      <c r="E23" s="18" t="n">
        <v>34</v>
      </c>
      <c r="F23" s="19" t="inlineStr">
        <is>
          <t>-</t>
        </is>
      </c>
      <c r="G23" s="17" t="inlineStr">
        <is>
          <t>Physical client property walkthroughs scheduled</t>
        </is>
      </c>
    </row>
    <row r="24" ht="20" customHeight="1">
      <c r="A24" s="14" t="inlineStr">
        <is>
          <t>Site Visits Successfully Completed</t>
        </is>
      </c>
      <c r="B24" s="15" t="n">
        <v>0</v>
      </c>
      <c r="C24" s="15" t="n">
        <v>1</v>
      </c>
      <c r="D24" s="15" t="n">
        <v>6</v>
      </c>
      <c r="E24" s="15" t="n">
        <v>7</v>
      </c>
      <c r="F24" s="16" t="inlineStr">
        <is>
          <t>3.6%</t>
        </is>
      </c>
      <c r="G24" s="14" t="inlineStr">
        <is>
          <t>Walkthroughs completed with sales executive</t>
        </is>
      </c>
    </row>
    <row r="25" ht="20" customHeight="1">
      <c r="A25" s="17" t="inlineStr">
        <is>
          <t>Deals Finalized / Closed Won</t>
        </is>
      </c>
      <c r="B25" s="18" t="n">
        <v>0</v>
      </c>
      <c r="C25" s="18" t="n">
        <v>0</v>
      </c>
      <c r="D25" s="18" t="n">
        <v>3</v>
      </c>
      <c r="E25" s="18" t="n">
        <v>3</v>
      </c>
      <c r="F25" s="19" t="inlineStr">
        <is>
          <t>1.5%</t>
        </is>
      </c>
      <c r="G25" s="17" t="inlineStr">
        <is>
          <t>Commercial closures finalized on PropKart</t>
        </is>
      </c>
    </row>
    <row r="26" ht="20" customHeight="1">
      <c r="A26" s="14" t="inlineStr">
        <is>
          <t>Total Inventory Properties Added</t>
        </is>
      </c>
      <c r="B26" s="15" t="n">
        <v>0</v>
      </c>
      <c r="C26" s="15" t="n">
        <v>20</v>
      </c>
      <c r="D26" s="15" t="n">
        <v>126</v>
      </c>
      <c r="E26" s="15" t="n">
        <v>144</v>
      </c>
      <c r="F26" s="16" t="inlineStr">
        <is>
          <t>-</t>
        </is>
      </c>
      <c r="G26" s="14" t="inlineStr">
        <is>
          <t>Verified properties available in PropKart database</t>
        </is>
      </c>
    </row>
    <row r="27" ht="20" customHeight="1">
      <c r="A27" s="20" t="inlineStr">
        <is>
          <t>TOTAL DATABASE INGESTION</t>
        </is>
      </c>
      <c r="B27" s="21" t="n">
        <v>16</v>
      </c>
      <c r="C27" s="21" t="n">
        <v>252</v>
      </c>
      <c r="D27" s="21" t="n">
        <v>1089</v>
      </c>
      <c r="E27" s="21" t="n">
        <v>1136</v>
      </c>
      <c r="F27" s="22" t="inlineStr">
        <is>
          <t>100.0%</t>
        </is>
      </c>
      <c r="G27" s="20" t="inlineStr">
        <is>
          <t>Complete authoritative database accounting</t>
        </is>
      </c>
    </row>
    <row r="29" ht="24" customHeight="1">
      <c r="A29" s="12" t="inlineStr">
        <is>
          <t>2. KEY PERSONNEL PERFORMANCE MATRIX (THE 6 CORE TEAM MEMBERS &amp; PROPKART ADMIN)</t>
        </is>
      </c>
    </row>
    <row r="30" ht="24" customHeight="1">
      <c r="A30" s="13" t="inlineStr">
        <is>
          <t>Team Member Name</t>
        </is>
      </c>
      <c r="B30" s="13" t="inlineStr">
        <is>
          <t>Designation / CRM Role</t>
        </is>
      </c>
      <c r="C30" s="13" t="inlineStr">
        <is>
          <t>Today (28-Sep)</t>
        </is>
      </c>
      <c r="D30" s="13" t="inlineStr">
        <is>
          <t>Weekly (7 Days)</t>
        </is>
      </c>
      <c r="E30" s="13" t="inlineStr">
        <is>
          <t>Monthly (Sep)</t>
        </is>
      </c>
      <c r="F30" s="13" t="inlineStr">
        <is>
          <t>Yearly / Total</t>
        </is>
      </c>
      <c r="G30" s="13" t="inlineStr">
        <is>
          <t>Requirements</t>
        </is>
      </c>
      <c r="H30" s="13" t="inlineStr">
        <is>
          <t>Listings</t>
        </is>
      </c>
      <c r="I30" s="13" t="inlineStr">
        <is>
          <t>Current Pipeline Status &amp; Key Conversion</t>
        </is>
      </c>
      <c r="J30" s="13" t="inlineStr">
        <is>
          <t>Properties in Inventory</t>
        </is>
      </c>
    </row>
    <row r="31" ht="20" customHeight="1">
      <c r="A31" s="14" t="inlineStr">
        <is>
          <t>Viral Jadeja</t>
        </is>
      </c>
      <c r="B31" s="14" t="inlineStr">
        <is>
          <t>Sales Executive</t>
        </is>
      </c>
      <c r="C31" s="15" t="n">
        <v>1</v>
      </c>
      <c r="D31" s="15" t="n">
        <v>10</v>
      </c>
      <c r="E31" s="15" t="n">
        <v>21</v>
      </c>
      <c r="F31" s="15" t="n">
        <v>21</v>
      </c>
      <c r="G31" s="15" t="n">
        <v>19</v>
      </c>
      <c r="H31" s="15" t="n">
        <v>2</v>
      </c>
      <c r="I31" s="14" t="inlineStr">
        <is>
          <t>Active Sales • 21 Assigned • 1 Inventory Onboarded</t>
        </is>
      </c>
      <c r="J31" s="15" t="n">
        <v>1</v>
      </c>
    </row>
    <row r="32" ht="20" customHeight="1">
      <c r="A32" s="17" t="inlineStr">
        <is>
          <t>Prexa Vithalapara</t>
        </is>
      </c>
      <c r="B32" s="17" t="inlineStr">
        <is>
          <t>Telecaller</t>
        </is>
      </c>
      <c r="C32" s="18" t="n">
        <v>2</v>
      </c>
      <c r="D32" s="18" t="n">
        <v>43</v>
      </c>
      <c r="E32" s="18" t="n">
        <v>466</v>
      </c>
      <c r="F32" s="18" t="n">
        <v>466</v>
      </c>
      <c r="G32" s="18" t="n">
        <v>300</v>
      </c>
      <c r="H32" s="18" t="n">
        <v>166</v>
      </c>
      <c r="I32" s="17" t="inlineStr">
        <is>
          <t>Active Telecaller • 466 Allocated • High Volume Queue</t>
        </is>
      </c>
      <c r="J32" s="18" t="n">
        <v>2</v>
      </c>
    </row>
    <row r="33" ht="20" customHeight="1">
      <c r="A33" s="14" t="inlineStr">
        <is>
          <t>Zeel Mudaliyar</t>
        </is>
      </c>
      <c r="B33" s="14" t="inlineStr">
        <is>
          <t>Telecaller</t>
        </is>
      </c>
      <c r="C33" s="15" t="n">
        <v>13</v>
      </c>
      <c r="D33" s="15" t="n">
        <v>147</v>
      </c>
      <c r="E33" s="15" t="n">
        <v>426</v>
      </c>
      <c r="F33" s="15" t="n">
        <v>426</v>
      </c>
      <c r="G33" s="15" t="n">
        <v>231</v>
      </c>
      <c r="H33" s="15" t="n">
        <v>195</v>
      </c>
      <c r="I33" s="14" t="inlineStr">
        <is>
          <t>Active Telecaller • 426 Allocated • Lead Qualification Lead</t>
        </is>
      </c>
      <c r="J33" s="15" t="n">
        <v>6</v>
      </c>
    </row>
    <row r="34" ht="20" customHeight="1">
      <c r="A34" s="17" t="inlineStr">
        <is>
          <t>Somel Rathod</t>
        </is>
      </c>
      <c r="B34" s="17" t="inlineStr">
        <is>
          <t>Senior Sales Executive</t>
        </is>
      </c>
      <c r="C34" s="18" t="n">
        <v>0</v>
      </c>
      <c r="D34" s="18" t="n">
        <v>12</v>
      </c>
      <c r="E34" s="18" t="n">
        <v>50</v>
      </c>
      <c r="F34" s="18" t="n">
        <v>59</v>
      </c>
      <c r="G34" s="18" t="n">
        <v>55</v>
      </c>
      <c r="H34" s="18" t="n">
        <v>4</v>
      </c>
      <c r="I34" s="17" t="inlineStr">
        <is>
          <t>Active Sales • 59 Assigned • 23 Properties in Inventory</t>
        </is>
      </c>
      <c r="J34" s="18" t="n">
        <v>23</v>
      </c>
    </row>
    <row r="35" ht="20" customHeight="1">
      <c r="A35" s="14" t="inlineStr">
        <is>
          <t>Rakesh Jadav</t>
        </is>
      </c>
      <c r="B35" s="14" t="inlineStr">
        <is>
          <t>Senior Sales Executive</t>
        </is>
      </c>
      <c r="C35" s="15" t="n">
        <v>0</v>
      </c>
      <c r="D35" s="15" t="n">
        <v>13</v>
      </c>
      <c r="E35" s="15" t="n">
        <v>68</v>
      </c>
      <c r="F35" s="15" t="n">
        <v>86</v>
      </c>
      <c r="G35" s="15" t="n">
        <v>83</v>
      </c>
      <c r="H35" s="15" t="n">
        <v>3</v>
      </c>
      <c r="I35" s="14" t="inlineStr">
        <is>
          <t>Senior Sales • 86 Assigned • 33 Properties in Inventory</t>
        </is>
      </c>
      <c r="J35" s="15" t="n">
        <v>33</v>
      </c>
    </row>
    <row r="36" ht="20" customHeight="1">
      <c r="A36" s="17" t="inlineStr">
        <is>
          <t>Rajan Purani</t>
        </is>
      </c>
      <c r="B36" s="17" t="inlineStr">
        <is>
          <t>Sales Team Leader</t>
        </is>
      </c>
      <c r="C36" s="18" t="n">
        <v>1</v>
      </c>
      <c r="D36" s="18" t="n">
        <v>8</v>
      </c>
      <c r="E36" s="18" t="n">
        <v>86</v>
      </c>
      <c r="F36" s="18" t="n">
        <v>100</v>
      </c>
      <c r="G36" s="18" t="n">
        <v>97</v>
      </c>
      <c r="H36" s="18" t="n">
        <v>3</v>
      </c>
      <c r="I36" s="17" t="inlineStr">
        <is>
          <t>Sales Team Lead • 100 Assigned • 23 Properties in Inventory</t>
        </is>
      </c>
      <c r="J36" s="18" t="n">
        <v>23</v>
      </c>
    </row>
    <row r="37" ht="20" customHeight="1">
      <c r="A37" s="14" t="inlineStr">
        <is>
          <t>Propkart Admin</t>
        </is>
      </c>
      <c r="B37" s="14" t="inlineStr">
        <is>
          <t>Admin &amp; Operations Lead</t>
        </is>
      </c>
      <c r="C37" s="15" t="n">
        <v>0</v>
      </c>
      <c r="D37" s="15" t="n">
        <v>0</v>
      </c>
      <c r="E37" s="15" t="n">
        <v>32</v>
      </c>
      <c r="F37" s="15" t="n">
        <v>64</v>
      </c>
      <c r="G37" s="15" t="n">
        <v>64</v>
      </c>
      <c r="H37" s="15" t="n">
        <v>0</v>
      </c>
      <c r="I37" s="14" t="inlineStr">
        <is>
          <t>System Admin • 30 Properties Added • 27 Site Visits Scheduled</t>
        </is>
      </c>
      <c r="J37" s="15" t="n">
        <v>30</v>
      </c>
    </row>
    <row r="38" ht="20" customHeight="1">
      <c r="A38" s="17" t="inlineStr">
        <is>
          <t>Daksh Jasoliya</t>
        </is>
      </c>
      <c r="B38" s="17" t="inlineStr">
        <is>
          <t>Telecaller / Field Support</t>
        </is>
      </c>
      <c r="C38" s="18" t="n">
        <v>0</v>
      </c>
      <c r="D38" s="18" t="n">
        <v>0</v>
      </c>
      <c r="E38" s="18" t="n">
        <v>0</v>
      </c>
      <c r="F38" s="18" t="n">
        <v>0</v>
      </c>
      <c r="G38" s="18" t="n">
        <v>0</v>
      </c>
      <c r="H38" s="18" t="n">
        <v>0</v>
      </c>
      <c r="I38" s="17" t="inlineStr">
        <is>
          <t>Registered Telecaller • 26 Properties Onboarded</t>
        </is>
      </c>
      <c r="J38" s="18" t="n">
        <v>26</v>
      </c>
    </row>
    <row r="39" ht="20" customHeight="1">
      <c r="A39" s="20" t="inlineStr">
        <is>
          <t>TOTAL KEY PERSONNEL WORKLOAD</t>
        </is>
      </c>
      <c r="B39" s="20" t="inlineStr">
        <is>
          <t>Core Team Total</t>
        </is>
      </c>
      <c r="C39" s="21" t="n">
        <v>17</v>
      </c>
      <c r="D39" s="21" t="n">
        <v>233</v>
      </c>
      <c r="E39" s="21" t="n">
        <v>1149</v>
      </c>
      <c r="F39" s="21" t="n">
        <v>1222</v>
      </c>
      <c r="G39" s="21" t="n">
        <v>849</v>
      </c>
      <c r="H39" s="21" t="n">
        <v>373</v>
      </c>
      <c r="I39" s="20" t="inlineStr">
        <is>
          <t>Full Core Team Workload Across All Departments</t>
        </is>
      </c>
      <c r="J39" s="21" t="n">
        <v>144</v>
      </c>
    </row>
    <row r="41" ht="24" customHeight="1">
      <c r="A41" s="12" t="inlineStr">
        <is>
          <t>3. TELECALLER CALL OUTCOMES &amp; DISPOSITIONS (TODAY, WEEKLY, MONTHLY, YEARLY)</t>
        </is>
      </c>
    </row>
    <row r="42" ht="24" customHeight="1">
      <c r="A42" s="13" t="inlineStr">
        <is>
          <t>Telecaller Pipeline Outcome</t>
        </is>
      </c>
      <c r="B42" s="13" t="inlineStr">
        <is>
          <t>Today</t>
        </is>
      </c>
      <c r="C42" s="13" t="inlineStr">
        <is>
          <t>Weekly (7 Days)</t>
        </is>
      </c>
      <c r="D42" s="13" t="inlineStr">
        <is>
          <t>Monthly (Sep)</t>
        </is>
      </c>
      <c r="E42" s="13" t="inlineStr">
        <is>
          <t>Yearly / Total</t>
        </is>
      </c>
      <c r="F42" s="13" t="inlineStr">
        <is>
          <t>Listing Leads</t>
        </is>
      </c>
      <c r="G42" s="13" t="inlineStr">
        <is>
          <t>Requirement Leads</t>
        </is>
      </c>
      <c r="H42" s="13" t="inlineStr">
        <is>
          <t>Share (%)</t>
        </is>
      </c>
      <c r="I42" s="13" t="inlineStr">
        <is>
          <t>Next Operational Trigger</t>
        </is>
      </c>
    </row>
    <row r="43" ht="20" customHeight="1">
      <c r="A43" s="14" t="inlineStr">
        <is>
          <t>New / Open (In Telecaller Queue)</t>
        </is>
      </c>
      <c r="B43" s="15" t="n">
        <v>10</v>
      </c>
      <c r="C43" s="15" t="n">
        <v>122</v>
      </c>
      <c r="D43" s="15" t="n">
        <v>356</v>
      </c>
      <c r="E43" s="15" t="n">
        <v>380</v>
      </c>
      <c r="F43" s="15" t="n">
        <v>204</v>
      </c>
      <c r="G43" s="15" t="n">
        <v>176</v>
      </c>
      <c r="H43" s="16" t="inlineStr">
        <is>
          <t>33.5%</t>
        </is>
      </c>
      <c r="I43" s="14" t="inlineStr">
        <is>
          <t>Queued for immediate calling outreach</t>
        </is>
      </c>
    </row>
    <row r="44" ht="20" customHeight="1">
      <c r="A44" s="17" t="inlineStr">
        <is>
          <t>CNR (Could Not Reach / Unanswered)</t>
        </is>
      </c>
      <c r="B44" s="18" t="n">
        <v>3</v>
      </c>
      <c r="C44" s="18" t="n">
        <v>52</v>
      </c>
      <c r="D44" s="18" t="n">
        <v>154</v>
      </c>
      <c r="E44" s="18" t="n">
        <v>163</v>
      </c>
      <c r="F44" s="18" t="n">
        <v>75</v>
      </c>
      <c r="G44" s="18" t="n">
        <v>88</v>
      </c>
      <c r="H44" s="19" t="inlineStr">
        <is>
          <t>14.3%</t>
        </is>
      </c>
      <c r="I44" s="17" t="inlineStr">
        <is>
          <t>Retried across morning/evening calling slots</t>
        </is>
      </c>
    </row>
    <row r="45" ht="20" customHeight="1">
      <c r="A45" s="14" t="inlineStr">
        <is>
          <t>Callback Scheduled</t>
        </is>
      </c>
      <c r="B45" s="15" t="n">
        <v>1</v>
      </c>
      <c r="C45" s="15" t="n">
        <v>7</v>
      </c>
      <c r="D45" s="15" t="n">
        <v>24</v>
      </c>
      <c r="E45" s="15" t="n">
        <v>26</v>
      </c>
      <c r="F45" s="15" t="n">
        <v>16</v>
      </c>
      <c r="G45" s="15" t="n">
        <v>10</v>
      </c>
      <c r="H45" s="16" t="inlineStr">
        <is>
          <t>2.3%</t>
        </is>
      </c>
      <c r="I45" s="14" t="inlineStr">
        <is>
          <t>Calendar follow-up scheduled with client</t>
        </is>
      </c>
    </row>
    <row r="46" ht="20" customHeight="1">
      <c r="A46" s="17" t="inlineStr">
        <is>
          <t>Interested (In Nurturing / Sourcing)</t>
        </is>
      </c>
      <c r="B46" s="18" t="n">
        <v>1</v>
      </c>
      <c r="C46" s="18" t="n">
        <v>38</v>
      </c>
      <c r="D46" s="18" t="n">
        <v>149</v>
      </c>
      <c r="E46" s="18" t="n">
        <v>158</v>
      </c>
      <c r="F46" s="18" t="n">
        <v>43</v>
      </c>
      <c r="G46" s="18" t="n">
        <v>115</v>
      </c>
      <c r="H46" s="19" t="inlineStr">
        <is>
          <t>13.9%</t>
        </is>
      </c>
      <c r="I46" s="17" t="inlineStr">
        <is>
          <t>Collecting exact preferences for handoff</t>
        </is>
      </c>
    </row>
    <row r="47" ht="20" customHeight="1">
      <c r="A47" s="14" t="inlineStr">
        <is>
          <t>Picked Up &amp; Handed to Sales</t>
        </is>
      </c>
      <c r="B47" s="15" t="n">
        <v>1</v>
      </c>
      <c r="C47" s="15" t="n">
        <v>29</v>
      </c>
      <c r="D47" s="15" t="n">
        <v>144</v>
      </c>
      <c r="E47" s="15" t="n">
        <v>152</v>
      </c>
      <c r="F47" s="15" t="n">
        <v>10</v>
      </c>
      <c r="G47" s="15" t="n">
        <v>142</v>
      </c>
      <c r="H47" s="16" t="inlineStr">
        <is>
          <t>13.4%</t>
        </is>
      </c>
      <c r="I47" s="14" t="inlineStr">
        <is>
          <t>Direct handoff to assigned sales executive</t>
        </is>
      </c>
    </row>
    <row r="48" ht="20" customHeight="1">
      <c r="A48" s="17" t="inlineStr">
        <is>
          <t>Property Listed on PropKart</t>
        </is>
      </c>
      <c r="B48" s="18" t="n">
        <v>0</v>
      </c>
      <c r="C48" s="18" t="n">
        <v>4</v>
      </c>
      <c r="D48" s="18" t="n">
        <v>19</v>
      </c>
      <c r="E48" s="18" t="n">
        <v>21</v>
      </c>
      <c r="F48" s="18" t="n">
        <v>21</v>
      </c>
      <c r="G48" s="18" t="n">
        <v>0</v>
      </c>
      <c r="H48" s="19" t="inlineStr">
        <is>
          <t>1.8%</t>
        </is>
      </c>
      <c r="I48" s="17" t="inlineStr">
        <is>
          <t>Verified owner inquiry published to portal</t>
        </is>
      </c>
    </row>
    <row r="49" ht="20" customHeight="1">
      <c r="A49" s="14" t="inlineStr">
        <is>
          <t>Disqualified / Lost / Invalid</t>
        </is>
      </c>
      <c r="B49" s="15" t="n">
        <v>0</v>
      </c>
      <c r="C49" s="15" t="n">
        <v>43</v>
      </c>
      <c r="D49" s="15" t="n">
        <v>237</v>
      </c>
      <c r="E49" s="15" t="n">
        <v>278</v>
      </c>
      <c r="F49" s="15" t="n">
        <v>46</v>
      </c>
      <c r="G49" s="15" t="n">
        <v>232</v>
      </c>
      <c r="H49" s="16" t="inlineStr">
        <is>
          <t>24.5%</t>
        </is>
      </c>
      <c r="I49" s="14" t="inlineStr">
        <is>
          <t>Archived with documented rejection reason</t>
        </is>
      </c>
    </row>
    <row r="50" ht="20" customHeight="1">
      <c r="A50" s="20" t="inlineStr">
        <is>
          <t>TOTAL ALLOCATED LEADS</t>
        </is>
      </c>
      <c r="B50" s="21" t="n">
        <v>16</v>
      </c>
      <c r="C50" s="21" t="n">
        <v>252</v>
      </c>
      <c r="D50" s="21" t="n">
        <v>1089</v>
      </c>
      <c r="E50" s="21" t="n">
        <v>1136</v>
      </c>
      <c r="F50" s="21" t="n">
        <v>402</v>
      </c>
      <c r="G50" s="21" t="n">
        <v>734</v>
      </c>
      <c r="H50" s="22" t="inlineStr">
        <is>
          <t>100.0%</t>
        </is>
      </c>
      <c r="I50" s="20" t="inlineStr">
        <is>
          <t>Authoritative telecaller pipeline distribution</t>
        </is>
      </c>
    </row>
    <row r="52" ht="24" customHeight="1">
      <c r="A52" s="12" t="inlineStr">
        <is>
          <t>4. SALES FUNNEL &amp; STATUS TOGGLED BY SALES USERS (TODAY, WEEKLY, MONTHLY, YEARLY)</t>
        </is>
      </c>
    </row>
    <row r="53" ht="24" customHeight="1">
      <c r="A53" s="13" t="inlineStr">
        <is>
          <t>Sales User Toggled Status</t>
        </is>
      </c>
      <c r="B53" s="13" t="inlineStr">
        <is>
          <t>Today</t>
        </is>
      </c>
      <c r="C53" s="13" t="inlineStr">
        <is>
          <t>Weekly (7 Days)</t>
        </is>
      </c>
      <c r="D53" s="13" t="inlineStr">
        <is>
          <t>Monthly (Sep)</t>
        </is>
      </c>
      <c r="E53" s="13" t="inlineStr">
        <is>
          <t>Yearly / Total</t>
        </is>
      </c>
      <c r="F53" s="13" t="inlineStr">
        <is>
          <t>Sales Stage</t>
        </is>
      </c>
      <c r="G53" s="13" t="inlineStr">
        <is>
          <t>Funnel Share</t>
        </is>
      </c>
      <c r="H53" s="13" t="inlineStr">
        <is>
          <t>Operational Meaning &amp; Next Action</t>
        </is>
      </c>
    </row>
    <row r="54" ht="20" customHeight="1">
      <c r="A54" s="14" t="inlineStr">
        <is>
          <t>Assigned / Open</t>
        </is>
      </c>
      <c r="B54" s="15" t="n">
        <v>1</v>
      </c>
      <c r="C54" s="15" t="n">
        <v>8</v>
      </c>
      <c r="D54" s="15" t="n">
        <v>28</v>
      </c>
      <c r="E54" s="15" t="n">
        <v>32</v>
      </c>
      <c r="F54" s="14" t="inlineStr">
        <is>
          <t>Stage 1: Intake</t>
        </is>
      </c>
      <c r="G54" s="16" t="inlineStr">
        <is>
          <t>16.2%</t>
        </is>
      </c>
      <c r="H54" s="14" t="inlineStr">
        <is>
          <t>Lead transferred; awaiting first sales outreach</t>
        </is>
      </c>
    </row>
    <row r="55" ht="20" customHeight="1">
      <c r="A55" s="17" t="inlineStr">
        <is>
          <t>Follow-up Scheduled</t>
        </is>
      </c>
      <c r="B55" s="18" t="n">
        <v>0</v>
      </c>
      <c r="C55" s="18" t="n">
        <v>3</v>
      </c>
      <c r="D55" s="18" t="n">
        <v>10</v>
      </c>
      <c r="E55" s="18" t="n">
        <v>12</v>
      </c>
      <c r="F55" s="17" t="inlineStr">
        <is>
          <t>Stage 2: Followup</t>
        </is>
      </c>
      <c r="G55" s="19" t="inlineStr">
        <is>
          <t>6.1%</t>
        </is>
      </c>
      <c r="H55" s="17" t="inlineStr">
        <is>
          <t>Client active in discussion; follow-up scheduled</t>
        </is>
      </c>
    </row>
    <row r="56" ht="20" customHeight="1">
      <c r="A56" s="14" t="inlineStr">
        <is>
          <t>Re-Followup (Extended)</t>
        </is>
      </c>
      <c r="B56" s="15" t="n">
        <v>0</v>
      </c>
      <c r="C56" s="15" t="n">
        <v>6</v>
      </c>
      <c r="D56" s="15" t="n">
        <v>26</v>
      </c>
      <c r="E56" s="15" t="n">
        <v>31</v>
      </c>
      <c r="F56" s="14" t="inlineStr">
        <is>
          <t>Stage 2: Followup</t>
        </is>
      </c>
      <c r="G56" s="16" t="inlineStr">
        <is>
          <t>15.7%</t>
        </is>
      </c>
      <c r="H56" s="14" t="inlineStr">
        <is>
          <t>Multiple follow-ups; client evaluating options</t>
        </is>
      </c>
    </row>
    <row r="57" ht="20" customHeight="1">
      <c r="A57" s="17" t="inlineStr">
        <is>
          <t>Interested (Active Search)</t>
        </is>
      </c>
      <c r="B57" s="18" t="n">
        <v>1</v>
      </c>
      <c r="C57" s="18" t="n">
        <v>4</v>
      </c>
      <c r="D57" s="18" t="n">
        <v>14</v>
      </c>
      <c r="E57" s="18" t="n">
        <v>16</v>
      </c>
      <c r="F57" s="17" t="inlineStr">
        <is>
          <t>Stage 3: Evaluation</t>
        </is>
      </c>
      <c r="G57" s="19" t="inlineStr">
        <is>
          <t>8.1%</t>
        </is>
      </c>
      <c r="H57" s="17" t="inlineStr">
        <is>
          <t>Client shortlisted options; awaiting visit date</t>
        </is>
      </c>
    </row>
    <row r="58" ht="20" customHeight="1">
      <c r="A58" s="14" t="inlineStr">
        <is>
          <t>Live (Active CRM Requirement)</t>
        </is>
      </c>
      <c r="B58" s="15" t="n">
        <v>0</v>
      </c>
      <c r="C58" s="15" t="n">
        <v>1</v>
      </c>
      <c r="D58" s="15" t="n">
        <v>5</v>
      </c>
      <c r="E58" s="15" t="n">
        <v>6</v>
      </c>
      <c r="F58" s="14" t="inlineStr">
        <is>
          <t>Stage 3: Evaluation</t>
        </is>
      </c>
      <c r="G58" s="16" t="inlineStr">
        <is>
          <t>3.0%</t>
        </is>
      </c>
      <c r="H58" s="14" t="inlineStr">
        <is>
          <t>Active continuous search requirement in CRM</t>
        </is>
      </c>
    </row>
    <row r="59" ht="20" customHeight="1">
      <c r="A59" s="17" t="inlineStr">
        <is>
          <t>Site Visits Pending / Scheduled</t>
        </is>
      </c>
      <c r="B59" s="18" t="n">
        <v>0</v>
      </c>
      <c r="C59" s="18" t="n">
        <v>8</v>
      </c>
      <c r="D59" s="18" t="n">
        <v>31</v>
      </c>
      <c r="E59" s="18" t="n">
        <v>34</v>
      </c>
      <c r="F59" s="17" t="inlineStr">
        <is>
          <t>Stage 4: Site Visit</t>
        </is>
      </c>
      <c r="G59" s="19" t="inlineStr">
        <is>
          <t>-</t>
        </is>
      </c>
      <c r="H59" s="17" t="inlineStr">
        <is>
          <t>Officially scheduled in CRM site_visits</t>
        </is>
      </c>
    </row>
    <row r="60" ht="20" customHeight="1">
      <c r="A60" s="14" t="inlineStr">
        <is>
          <t>Site Visit Done / Completed</t>
        </is>
      </c>
      <c r="B60" s="15" t="n">
        <v>0</v>
      </c>
      <c r="C60" s="15" t="n">
        <v>1</v>
      </c>
      <c r="D60" s="15" t="n">
        <v>6</v>
      </c>
      <c r="E60" s="15" t="n">
        <v>7</v>
      </c>
      <c r="F60" s="14" t="inlineStr">
        <is>
          <t>Stage 4: Site Visit</t>
        </is>
      </c>
      <c r="G60" s="16" t="inlineStr">
        <is>
          <t>3.6%</t>
        </is>
      </c>
      <c r="H60" s="14" t="inlineStr">
        <is>
          <t>Physical walkthrough completed; negotiation stage</t>
        </is>
      </c>
    </row>
    <row r="61" ht="20" customHeight="1">
      <c r="A61" s="17" t="inlineStr">
        <is>
          <t>Deal Won / Closed</t>
        </is>
      </c>
      <c r="B61" s="18" t="n">
        <v>0</v>
      </c>
      <c r="C61" s="18" t="n">
        <v>0</v>
      </c>
      <c r="D61" s="18" t="n">
        <v>3</v>
      </c>
      <c r="E61" s="18" t="n">
        <v>3</v>
      </c>
      <c r="F61" s="17" t="inlineStr">
        <is>
          <t>Stage 5: Deal Won</t>
        </is>
      </c>
      <c r="G61" s="19" t="inlineStr">
        <is>
          <t>1.5%</t>
        </is>
      </c>
      <c r="H61" s="17" t="inlineStr">
        <is>
          <t>Deal finalized and closed on PropKart</t>
        </is>
      </c>
    </row>
    <row r="62" ht="20" customHeight="1">
      <c r="A62" s="14" t="inlineStr">
        <is>
          <t>Disqualified / Rejected</t>
        </is>
      </c>
      <c r="B62" s="15" t="n">
        <v>0</v>
      </c>
      <c r="C62" s="15" t="n">
        <v>12</v>
      </c>
      <c r="D62" s="15" t="n">
        <v>69</v>
      </c>
      <c r="E62" s="15" t="n">
        <v>82</v>
      </c>
      <c r="F62" s="14" t="inlineStr">
        <is>
          <t>Stage 6: Closed</t>
        </is>
      </c>
      <c r="G62" s="16" t="inlineStr">
        <is>
          <t>41.6%</t>
        </is>
      </c>
      <c r="H62" s="14" t="inlineStr">
        <is>
          <t>Closed without conversion (detailed below)</t>
        </is>
      </c>
    </row>
    <row r="63" ht="20" customHeight="1">
      <c r="A63" s="17" t="inlineStr">
        <is>
          <t>Not Started / Uncategorized</t>
        </is>
      </c>
      <c r="B63" s="18" t="n">
        <v>0</v>
      </c>
      <c r="C63" s="18" t="n">
        <v>1</v>
      </c>
      <c r="D63" s="18" t="n">
        <v>8</v>
      </c>
      <c r="E63" s="18" t="n">
        <v>9</v>
      </c>
      <c r="F63" s="17" t="inlineStr">
        <is>
          <t>Stage 1: Intake</t>
        </is>
      </c>
      <c r="G63" s="19" t="inlineStr">
        <is>
          <t>4.6%</t>
        </is>
      </c>
      <c r="H63" s="17" t="inlineStr">
        <is>
          <t>Initial intake state awaiting first touchpoint</t>
        </is>
      </c>
    </row>
    <row r="64" ht="20" customHeight="1">
      <c r="A64" s="20" t="inlineStr">
        <is>
          <t>TOTAL SALES PIPELINE</t>
        </is>
      </c>
      <c r="B64" s="21" t="n">
        <v>2</v>
      </c>
      <c r="C64" s="21" t="n">
        <v>43</v>
      </c>
      <c r="D64" s="21" t="n">
        <v>225</v>
      </c>
      <c r="E64" s="21" t="n">
        <v>274</v>
      </c>
      <c r="F64" s="20" t="inlineStr">
        <is>
          <t>Active Sales</t>
        </is>
      </c>
      <c r="G64" s="22" t="inlineStr">
        <is>
          <t>100.0%</t>
        </is>
      </c>
      <c r="H64" s="20" t="inlineStr">
        <is>
          <t>Complete Sales Executive pipeline tracking</t>
        </is>
      </c>
    </row>
    <row r="66" ht="24" customHeight="1">
      <c r="A66" s="12" t="inlineStr">
        <is>
          <t>5. REJECTION REASON ANALYSIS (WHY WERE LEADS REJECTED BY SALES?)</t>
        </is>
      </c>
    </row>
    <row r="67" ht="24" customHeight="1">
      <c r="A67" s="13" t="inlineStr">
        <is>
          <t>Rejection Reason Category</t>
        </is>
      </c>
      <c r="B67" s="13" t="inlineStr">
        <is>
          <t>Disqualified Count</t>
        </is>
      </c>
      <c r="C67" s="13" t="inlineStr">
        <is>
          <t>% of Disqualifications</t>
        </is>
      </c>
      <c r="D67" s="13" t="inlineStr">
        <is>
          <t>Detailed Root Cause Analysis</t>
        </is>
      </c>
      <c r="E67" s="13" t="inlineStr">
        <is>
          <t>Operational &amp; Strategic Recommendation</t>
        </is>
      </c>
      <c r="F67" s="13" t="inlineStr">
        <is>
          <t>Campaign Optimization Action</t>
        </is>
      </c>
    </row>
    <row r="68" ht="20" customHeight="1">
      <c r="A68" s="14" t="inlineStr">
        <is>
          <t>Rejected (No Requirement)</t>
        </is>
      </c>
      <c r="B68" s="15" t="n">
        <v>18</v>
      </c>
      <c r="C68" s="16" t="inlineStr">
        <is>
          <t>22.0%</t>
        </is>
      </c>
      <c r="D68" s="14" t="inlineStr">
        <is>
          <t>Client stated they do not need any property at present</t>
        </is>
      </c>
      <c r="E68" s="14" t="inlineStr">
        <is>
          <t>Inquiry was accidental or curiosity click</t>
        </is>
      </c>
      <c r="F68" s="14" t="inlineStr">
        <is>
          <t>Refine ad copy to emphasize commitment</t>
        </is>
      </c>
    </row>
    <row r="69" ht="20" customHeight="1">
      <c r="A69" s="17" t="inlineStr">
        <is>
          <t>Rejected (Budget Mismatch)</t>
        </is>
      </c>
      <c r="B69" s="18" t="n">
        <v>17</v>
      </c>
      <c r="C69" s="19" t="inlineStr">
        <is>
          <t>20.7%</t>
        </is>
      </c>
      <c r="D69" s="17" t="inlineStr">
        <is>
          <t>Client budget is significantly below market rental rates</t>
        </is>
      </c>
      <c r="E69" s="17" t="inlineStr">
        <is>
          <t>Client expectations unrealistically low for locality</t>
        </is>
      </c>
      <c r="F69" s="17" t="inlineStr">
        <is>
          <t>Display starting prices clearly in ad creatives</t>
        </is>
      </c>
    </row>
    <row r="70" ht="20" customHeight="1">
      <c r="A70" s="14" t="inlineStr">
        <is>
          <t>Rejected (Locality Mismatch)</t>
        </is>
      </c>
      <c r="B70" s="15" t="n">
        <v>11</v>
      </c>
      <c r="C70" s="16" t="inlineStr">
        <is>
          <t>13.4%</t>
        </is>
      </c>
      <c r="D70" s="14" t="inlineStr">
        <is>
          <t>Client requested locations outside PropKart coverage</t>
        </is>
      </c>
      <c r="E70" s="14" t="inlineStr">
        <is>
          <t>Demand for non-serviced Ahmedabad micro-markets</t>
        </is>
      </c>
      <c r="F70" s="14" t="inlineStr">
        <is>
          <t>Geo-fence ad sets strictly to serviced zones</t>
        </is>
      </c>
    </row>
    <row r="71" ht="20" customHeight="1">
      <c r="A71" s="17" t="inlineStr">
        <is>
          <t>Rejected (Already Rented)</t>
        </is>
      </c>
      <c r="B71" s="18" t="n">
        <v>10</v>
      </c>
      <c r="C71" s="19" t="inlineStr">
        <is>
          <t>12.2%</t>
        </is>
      </c>
      <c r="D71" s="17" t="inlineStr">
        <is>
          <t>Client finalized alternative property before sales connect</t>
        </is>
      </c>
      <c r="E71" s="17" t="inlineStr">
        <is>
          <t>Response speed / turnaround time factor</t>
        </is>
      </c>
      <c r="F71" s="17" t="inlineStr">
        <is>
          <t>Reduce lead handoff latency from telecall to sales</t>
        </is>
      </c>
    </row>
    <row r="72" ht="20" customHeight="1">
      <c r="A72" s="14" t="inlineStr">
        <is>
          <t>Rejected (Not Answering)</t>
        </is>
      </c>
      <c r="B72" s="15" t="n">
        <v>4</v>
      </c>
      <c r="C72" s="16" t="inlineStr">
        <is>
          <t>4.9%</t>
        </is>
      </c>
      <c r="D72" s="14" t="inlineStr">
        <is>
          <t>Client repeatedly unresponsive across WhatsApp &amp; calls</t>
        </is>
      </c>
      <c r="E72" s="14" t="inlineStr">
        <is>
          <t>Lead became unreachable after initial interest</t>
        </is>
      </c>
      <c r="F72" s="14" t="inlineStr">
        <is>
          <t>Send automated WhatsApp template with listings</t>
        </is>
      </c>
    </row>
    <row r="73" ht="20" customHeight="1">
      <c r="A73" s="17" t="inlineStr">
        <is>
          <t>Rejected (Negotiation Failed)</t>
        </is>
      </c>
      <c r="B73" s="18" t="n">
        <v>2</v>
      </c>
      <c r="C73" s="19" t="inlineStr">
        <is>
          <t>2.4%</t>
        </is>
      </c>
      <c r="D73" s="17" t="inlineStr">
        <is>
          <t>Landlord and tenant could not agree on rent/deposit</t>
        </is>
      </c>
      <c r="E73" s="17" t="inlineStr">
        <is>
          <t>Commercial gap between offer and asking rate</t>
        </is>
      </c>
      <c r="F73" s="17" t="inlineStr">
        <is>
          <t>Train sales on dispute resolution &amp; structuring</t>
        </is>
      </c>
    </row>
    <row r="74" ht="20" customHeight="1">
      <c r="A74" s="14" t="inlineStr">
        <is>
          <t>Rejected (Broker / Channel Partner)</t>
        </is>
      </c>
      <c r="B74" s="15" t="n">
        <v>1</v>
      </c>
      <c r="C74" s="16" t="inlineStr">
        <is>
          <t>1.2%</t>
        </is>
      </c>
      <c r="D74" s="14" t="inlineStr">
        <is>
          <t>Lead turned out to be an external real estate broker</t>
        </is>
      </c>
      <c r="E74" s="14" t="inlineStr">
        <is>
          <t>Broker seeking co-brokerage or property access</t>
        </is>
      </c>
      <c r="F74" s="14" t="inlineStr">
        <is>
          <t>Add 'Are you a direct client or agent?' check</t>
        </is>
      </c>
    </row>
    <row r="75" ht="20" customHeight="1">
      <c r="A75" s="17" t="inlineStr">
        <is>
          <t>Rejected (Others / Personal Reasons)</t>
        </is>
      </c>
      <c r="B75" s="18" t="n">
        <v>19</v>
      </c>
      <c r="C75" s="19" t="inlineStr">
        <is>
          <t>23.2%</t>
        </is>
      </c>
      <c r="D75" s="17" t="inlineStr">
        <is>
          <t>Family relocation postponed, financing delay, etc.</t>
        </is>
      </c>
      <c r="E75" s="17" t="inlineStr">
        <is>
          <t>Personal client circumstances preventing move</t>
        </is>
      </c>
      <c r="F75" s="17" t="inlineStr">
        <is>
          <t>Tag for future re-engagement in 60-90 days</t>
        </is>
      </c>
    </row>
    <row r="76" ht="20" customHeight="1">
      <c r="A76" s="20" t="inlineStr">
        <is>
          <t>TOTAL DISQUALIFIED INQUIRIES</t>
        </is>
      </c>
      <c r="B76" s="21" t="n">
        <v>82</v>
      </c>
      <c r="C76" s="22" t="inlineStr">
        <is>
          <t>100.0%</t>
        </is>
      </c>
      <c r="D76" s="20" t="inlineStr">
        <is>
          <t>Complete Documentation of Disqualification Causes</t>
        </is>
      </c>
      <c r="E76" s="20" t="inlineStr">
        <is>
          <t>Full Transparency on Sales Disqualification Patterns</t>
        </is>
      </c>
      <c r="F76" s="20" t="inlineStr">
        <is>
          <t>Ongoing Lead Quality Feedback Loop</t>
        </is>
      </c>
    </row>
    <row r="78" ht="24" customHeight="1">
      <c r="A78" s="12" t="inlineStr">
        <is>
          <t>6. INVENTORY &amp; TOTAL PROPERTIES OVERVIEW (PORTFOLIO ANALYSIS)</t>
        </is>
      </c>
    </row>
    <row r="79" ht="24" customHeight="1">
      <c r="A79" s="13" t="inlineStr">
        <is>
          <t>Inventory Portfolio Segment</t>
        </is>
      </c>
      <c r="B79" s="13" t="inlineStr">
        <is>
          <t>Total Count</t>
        </is>
      </c>
      <c r="C79" s="13" t="inlineStr">
        <is>
          <t>Today</t>
        </is>
      </c>
      <c r="D79" s="13" t="inlineStr">
        <is>
          <t>Weekly (7 Days)</t>
        </is>
      </c>
      <c r="E79" s="13" t="inlineStr">
        <is>
          <t>Monthly (Sep)</t>
        </is>
      </c>
      <c r="F79" s="13" t="inlineStr">
        <is>
          <t>Yearly / All-Time</t>
        </is>
      </c>
      <c r="G79" s="13" t="inlineStr">
        <is>
          <t>Share (%)</t>
        </is>
      </c>
      <c r="H79" s="13" t="inlineStr">
        <is>
          <t>Portfolio Availability &amp; Status Meaning</t>
        </is>
      </c>
    </row>
    <row r="80" ht="20" customHeight="1">
      <c r="A80" s="14" t="inlineStr">
        <is>
          <t>Status: Available</t>
        </is>
      </c>
      <c r="B80" s="15" t="n">
        <v>127</v>
      </c>
      <c r="C80" s="15" t="n">
        <v>0</v>
      </c>
      <c r="D80" s="15" t="n">
        <v>18</v>
      </c>
      <c r="E80" s="15" t="n">
        <v>111</v>
      </c>
      <c r="F80" s="15" t="n">
        <v>127</v>
      </c>
      <c r="G80" s="16" t="inlineStr">
        <is>
          <t>88.2%</t>
        </is>
      </c>
      <c r="H80" s="14" t="inlineStr">
        <is>
          <t>Active available properties ready for tenant/buyer matching</t>
        </is>
      </c>
    </row>
    <row r="81" ht="20" customHeight="1">
      <c r="A81" s="17" t="inlineStr">
        <is>
          <t>Status: Rented Out</t>
        </is>
      </c>
      <c r="B81" s="18" t="n">
        <v>14</v>
      </c>
      <c r="C81" s="18" t="n">
        <v>0</v>
      </c>
      <c r="D81" s="18" t="n">
        <v>1</v>
      </c>
      <c r="E81" s="18" t="n">
        <v>13</v>
      </c>
      <c r="F81" s="18" t="n">
        <v>14</v>
      </c>
      <c r="G81" s="19" t="inlineStr">
        <is>
          <t>9.7%</t>
        </is>
      </c>
      <c r="H81" s="17" t="inlineStr">
        <is>
          <t>Successfully leased properties closed on PropKart</t>
        </is>
      </c>
    </row>
    <row r="82" ht="20" customHeight="1">
      <c r="A82" s="14" t="inlineStr">
        <is>
          <t>Status: Sold Out</t>
        </is>
      </c>
      <c r="B82" s="15" t="n">
        <v>2</v>
      </c>
      <c r="C82" s="15" t="n">
        <v>0</v>
      </c>
      <c r="D82" s="15" t="n">
        <v>1</v>
      </c>
      <c r="E82" s="15" t="n">
        <v>1</v>
      </c>
      <c r="F82" s="15" t="n">
        <v>2</v>
      </c>
      <c r="G82" s="16" t="inlineStr">
        <is>
          <t>1.4%</t>
        </is>
      </c>
      <c r="H82" s="14" t="inlineStr">
        <is>
          <t>Successfully sold resale properties</t>
        </is>
      </c>
    </row>
    <row r="83" ht="20" customHeight="1">
      <c r="A83" s="17" t="inlineStr">
        <is>
          <t>Status: To Be Available</t>
        </is>
      </c>
      <c r="B83" s="18" t="n">
        <v>1</v>
      </c>
      <c r="C83" s="18" t="n">
        <v>0</v>
      </c>
      <c r="D83" s="18" t="n">
        <v>0</v>
      </c>
      <c r="E83" s="18" t="n">
        <v>1</v>
      </c>
      <c r="F83" s="18" t="n">
        <v>1</v>
      </c>
      <c r="G83" s="19" t="inlineStr">
        <is>
          <t>0.7%</t>
        </is>
      </c>
      <c r="H83" s="17" t="inlineStr">
        <is>
          <t>Upcoming vacancy under notice period</t>
        </is>
      </c>
    </row>
    <row r="84" ht="20" customHeight="1">
      <c r="A84" s="14" t="inlineStr">
        <is>
          <t>Property Type: Flat / Apartment</t>
        </is>
      </c>
      <c r="B84" s="15" t="n">
        <v>112</v>
      </c>
      <c r="C84" s="15" t="n">
        <v>0</v>
      </c>
      <c r="D84" s="15" t="n">
        <v>16</v>
      </c>
      <c r="E84" s="15" t="n">
        <v>98</v>
      </c>
      <c r="F84" s="15" t="n">
        <v>112</v>
      </c>
      <c r="G84" s="16" t="inlineStr">
        <is>
          <t>77.8%</t>
        </is>
      </c>
      <c r="H84" s="14" t="inlineStr">
        <is>
          <t>Residential high-rise &amp; mid-rise inventory</t>
        </is>
      </c>
    </row>
    <row r="85" ht="20" customHeight="1">
      <c r="A85" s="17" t="inlineStr">
        <is>
          <t>Property Type: Office</t>
        </is>
      </c>
      <c r="B85" s="18" t="n">
        <v>16</v>
      </c>
      <c r="C85" s="18" t="n">
        <v>0</v>
      </c>
      <c r="D85" s="18" t="n">
        <v>2</v>
      </c>
      <c r="E85" s="18" t="n">
        <v>14</v>
      </c>
      <c r="F85" s="18" t="n">
        <v>16</v>
      </c>
      <c r="G85" s="19" t="inlineStr">
        <is>
          <t>11.1%</t>
        </is>
      </c>
      <c r="H85" s="17" t="inlineStr">
        <is>
          <t>Commercial office space inventory</t>
        </is>
      </c>
    </row>
    <row r="86" ht="20" customHeight="1">
      <c r="A86" s="14" t="inlineStr">
        <is>
          <t>Property Type: Villa / Bungalow</t>
        </is>
      </c>
      <c r="B86" s="15" t="n">
        <v>8</v>
      </c>
      <c r="C86" s="15" t="n">
        <v>0</v>
      </c>
      <c r="D86" s="15" t="n">
        <v>1</v>
      </c>
      <c r="E86" s="15" t="n">
        <v>7</v>
      </c>
      <c r="F86" s="15" t="n">
        <v>8</v>
      </c>
      <c r="G86" s="16" t="inlineStr">
        <is>
          <t>5.6%</t>
        </is>
      </c>
      <c r="H86" s="14" t="inlineStr">
        <is>
          <t>Independent luxury residential properties</t>
        </is>
      </c>
    </row>
    <row r="87" ht="20" customHeight="1">
      <c r="A87" s="17" t="inlineStr">
        <is>
          <t>Property Type: Shop / Showroom</t>
        </is>
      </c>
      <c r="B87" s="18" t="n">
        <v>5</v>
      </c>
      <c r="C87" s="18" t="n">
        <v>0</v>
      </c>
      <c r="D87" s="18" t="n">
        <v>1</v>
      </c>
      <c r="E87" s="18" t="n">
        <v>4</v>
      </c>
      <c r="F87" s="18" t="n">
        <v>5</v>
      </c>
      <c r="G87" s="19" t="inlineStr">
        <is>
          <t>3.5%</t>
        </is>
      </c>
      <c r="H87" s="17" t="inlineStr">
        <is>
          <t>Commercial retail properties</t>
        </is>
      </c>
    </row>
    <row r="88" ht="20" customHeight="1">
      <c r="A88" s="14" t="inlineStr">
        <is>
          <t>Property Type: Farmhouse / Others</t>
        </is>
      </c>
      <c r="B88" s="15" t="n">
        <v>3</v>
      </c>
      <c r="C88" s="15" t="n">
        <v>0</v>
      </c>
      <c r="D88" s="15" t="n">
        <v>0</v>
      </c>
      <c r="E88" s="15" t="n">
        <v>3</v>
      </c>
      <c r="F88" s="15" t="n">
        <v>3</v>
      </c>
      <c r="G88" s="16" t="inlineStr">
        <is>
          <t>2.1%</t>
        </is>
      </c>
      <c r="H88" s="14" t="inlineStr">
        <is>
          <t>Leisure and outlying land parcels</t>
        </is>
      </c>
    </row>
    <row r="89" ht="20" customHeight="1">
      <c r="A89" s="17" t="inlineStr">
        <is>
          <t>Listing Type: Rent</t>
        </is>
      </c>
      <c r="B89" s="18" t="n">
        <v>142</v>
      </c>
      <c r="C89" s="18" t="n">
        <v>0</v>
      </c>
      <c r="D89" s="18" t="n">
        <v>20</v>
      </c>
      <c r="E89" s="18" t="n">
        <v>124</v>
      </c>
      <c r="F89" s="18" t="n">
        <v>142</v>
      </c>
      <c r="G89" s="19" t="inlineStr">
        <is>
          <t>98.6%</t>
        </is>
      </c>
      <c r="H89" s="17" t="inlineStr">
        <is>
          <t>Rental property portfolio</t>
        </is>
      </c>
    </row>
    <row r="90" ht="20" customHeight="1">
      <c r="A90" s="14" t="inlineStr">
        <is>
          <t>Listing Type: Re-Sale</t>
        </is>
      </c>
      <c r="B90" s="15" t="n">
        <v>2</v>
      </c>
      <c r="C90" s="15" t="n">
        <v>0</v>
      </c>
      <c r="D90" s="15" t="n">
        <v>0</v>
      </c>
      <c r="E90" s="15" t="n">
        <v>2</v>
      </c>
      <c r="F90" s="15" t="n">
        <v>2</v>
      </c>
      <c r="G90" s="16" t="inlineStr">
        <is>
          <t>1.4%</t>
        </is>
      </c>
      <c r="H90" s="14" t="inlineStr">
        <is>
          <t>Outright resale property portfolio</t>
        </is>
      </c>
    </row>
    <row r="91" ht="20" customHeight="1">
      <c r="A91" s="17" t="inlineStr">
        <is>
          <t>Onboarded by: Rakesh Jadav</t>
        </is>
      </c>
      <c r="B91" s="18" t="n">
        <v>33</v>
      </c>
      <c r="C91" s="18" t="n">
        <v>0</v>
      </c>
      <c r="D91" s="18" t="n">
        <v>2</v>
      </c>
      <c r="E91" s="18" t="n">
        <v>6</v>
      </c>
      <c r="F91" s="18" t="n">
        <v>33</v>
      </c>
      <c r="G91" s="19" t="inlineStr">
        <is>
          <t>22.9%</t>
        </is>
      </c>
      <c r="H91" s="17" t="inlineStr">
        <is>
          <t>Senior Sales inventory onboarding</t>
        </is>
      </c>
    </row>
    <row r="92" ht="20" customHeight="1">
      <c r="A92" s="14" t="inlineStr">
        <is>
          <t>Onboarded by: Propkart Admin</t>
        </is>
      </c>
      <c r="B92" s="15" t="n">
        <v>30</v>
      </c>
      <c r="C92" s="15" t="n">
        <v>0</v>
      </c>
      <c r="D92" s="15" t="n">
        <v>17</v>
      </c>
      <c r="E92" s="15" t="n">
        <v>28</v>
      </c>
      <c r="F92" s="15" t="n">
        <v>30</v>
      </c>
      <c r="G92" s="16" t="inlineStr">
        <is>
          <t>20.8%</t>
        </is>
      </c>
      <c r="H92" s="14" t="inlineStr">
        <is>
          <t>Direct admin &amp; portal onboarding</t>
        </is>
      </c>
    </row>
    <row r="93" ht="20" customHeight="1">
      <c r="A93" s="17" t="inlineStr">
        <is>
          <t>Onboarded by: Daksh Jasoliya</t>
        </is>
      </c>
      <c r="B93" s="18" t="n">
        <v>26</v>
      </c>
      <c r="C93" s="18" t="n">
        <v>0</v>
      </c>
      <c r="D93" s="18" t="n">
        <v>14</v>
      </c>
      <c r="E93" s="18" t="n">
        <v>26</v>
      </c>
      <c r="F93" s="18" t="n">
        <v>26</v>
      </c>
      <c r="G93" s="19" t="inlineStr">
        <is>
          <t>18.1%</t>
        </is>
      </c>
      <c r="H93" s="17" t="inlineStr">
        <is>
          <t>Field sourcing and inventory onboarding</t>
        </is>
      </c>
    </row>
    <row r="94" ht="20" customHeight="1">
      <c r="A94" s="14" t="inlineStr">
        <is>
          <t>Onboarded by: Rajan Purani</t>
        </is>
      </c>
      <c r="B94" s="15" t="n">
        <v>23</v>
      </c>
      <c r="C94" s="15" t="n">
        <v>0</v>
      </c>
      <c r="D94" s="15" t="n">
        <v>1</v>
      </c>
      <c r="E94" s="15" t="n">
        <v>5</v>
      </c>
      <c r="F94" s="15" t="n">
        <v>23</v>
      </c>
      <c r="G94" s="16" t="inlineStr">
        <is>
          <t>16.0%</t>
        </is>
      </c>
      <c r="H94" s="14" t="inlineStr">
        <is>
          <t>Sales Lead inventory onboarding</t>
        </is>
      </c>
    </row>
    <row r="95" ht="20" customHeight="1">
      <c r="A95" s="17" t="inlineStr">
        <is>
          <t>Onboarded by: Somel Rathod</t>
        </is>
      </c>
      <c r="B95" s="18" t="n">
        <v>23</v>
      </c>
      <c r="C95" s="18" t="n">
        <v>0</v>
      </c>
      <c r="D95" s="18" t="n">
        <v>0</v>
      </c>
      <c r="E95" s="18" t="n">
        <v>5</v>
      </c>
      <c r="F95" s="18" t="n">
        <v>23</v>
      </c>
      <c r="G95" s="19" t="inlineStr">
        <is>
          <t>16.0%</t>
        </is>
      </c>
      <c r="H95" s="17" t="inlineStr">
        <is>
          <t>Senior Sales inventory onboarding</t>
        </is>
      </c>
    </row>
    <row r="96" ht="20" customHeight="1">
      <c r="A96" s="14" t="inlineStr">
        <is>
          <t>Onboarded by: Zeel Mudaliyar</t>
        </is>
      </c>
      <c r="B96" s="15" t="n">
        <v>6</v>
      </c>
      <c r="C96" s="15" t="n">
        <v>0</v>
      </c>
      <c r="D96" s="15" t="n">
        <v>2</v>
      </c>
      <c r="E96" s="15" t="n">
        <v>6</v>
      </c>
      <c r="F96" s="15" t="n">
        <v>6</v>
      </c>
      <c r="G96" s="16" t="inlineStr">
        <is>
          <t>4.2%</t>
        </is>
      </c>
      <c r="H96" s="14" t="inlineStr">
        <is>
          <t>Telecaller verified owner onboarding</t>
        </is>
      </c>
    </row>
    <row r="97" ht="20" customHeight="1">
      <c r="A97" s="17" t="inlineStr">
        <is>
          <t>Onboarded by: Prexa Vithalapara</t>
        </is>
      </c>
      <c r="B97" s="18" t="n">
        <v>2</v>
      </c>
      <c r="C97" s="18" t="n">
        <v>0</v>
      </c>
      <c r="D97" s="18" t="n">
        <v>1</v>
      </c>
      <c r="E97" s="18" t="n">
        <v>2</v>
      </c>
      <c r="F97" s="18" t="n">
        <v>2</v>
      </c>
      <c r="G97" s="19" t="inlineStr">
        <is>
          <t>1.4%</t>
        </is>
      </c>
      <c r="H97" s="17" t="inlineStr">
        <is>
          <t>Telecaller verified owner onboarding</t>
        </is>
      </c>
    </row>
    <row r="98" ht="20" customHeight="1">
      <c r="A98" s="14" t="inlineStr">
        <is>
          <t>Onboarded by: Viral Jadeja</t>
        </is>
      </c>
      <c r="B98" s="15" t="n">
        <v>1</v>
      </c>
      <c r="C98" s="15" t="n">
        <v>0</v>
      </c>
      <c r="D98" s="15" t="n">
        <v>0</v>
      </c>
      <c r="E98" s="15" t="n">
        <v>1</v>
      </c>
      <c r="F98" s="15" t="n">
        <v>1</v>
      </c>
      <c r="G98" s="16" t="inlineStr">
        <is>
          <t>0.7%</t>
        </is>
      </c>
      <c r="H98" s="14" t="inlineStr">
        <is>
          <t>Sales inventory onboarding</t>
        </is>
      </c>
    </row>
    <row r="99" ht="20" customHeight="1">
      <c r="A99" s="20" t="inlineStr">
        <is>
          <t>PORTFOLIO TOTAL PROPERTIES</t>
        </is>
      </c>
      <c r="B99" s="21" t="n">
        <v>144</v>
      </c>
      <c r="C99" s="21" t="n">
        <v>0</v>
      </c>
      <c r="D99" s="21" t="n">
        <v>20</v>
      </c>
      <c r="E99" s="21" t="n">
        <v>126</v>
      </c>
      <c r="F99" s="21" t="n">
        <v>144</v>
      </c>
      <c r="G99" s="22" t="inlineStr">
        <is>
          <t>100.0%</t>
        </is>
      </c>
      <c r="H99" s="20" t="inlineStr">
        <is>
          <t>Total verified inventory in PropKart database</t>
        </is>
      </c>
    </row>
  </sheetData>
  <mergeCells count="3">
    <mergeCell ref="A1:I1"/>
    <mergeCell ref="B5:I5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5" customWidth="1" min="2" max="2"/>
    <col width="42" customWidth="1" min="3" max="3"/>
    <col width="42" customWidth="1" min="4" max="4"/>
    <col width="23" customWidth="1" min="5" max="5"/>
    <col width="39" customWidth="1" min="6" max="6"/>
    <col width="33" customWidth="1" min="7" max="7"/>
    <col width="36" customWidth="1" min="8" max="8"/>
    <col width="65" customWidth="1" min="9" max="9"/>
  </cols>
  <sheetData>
    <row r="1" ht="28" customHeight="1">
      <c r="A1" s="23" t="inlineStr">
        <is>
          <t>date</t>
        </is>
      </c>
      <c r="B1" s="23" t="inlineStr">
        <is>
          <t>date filter</t>
        </is>
      </c>
      <c r="C1" s="23" t="inlineStr">
        <is>
          <t>lead source</t>
        </is>
      </c>
      <c r="D1" s="23" t="inlineStr">
        <is>
          <t>lead name</t>
        </is>
      </c>
      <c r="E1" s="23" t="inlineStr">
        <is>
          <t>allocated telecaller</t>
        </is>
      </c>
      <c r="F1" s="23" t="inlineStr">
        <is>
          <t>current status</t>
        </is>
      </c>
      <c r="G1" s="23" t="inlineStr">
        <is>
          <t>if assigned -- sales user name</t>
        </is>
      </c>
      <c r="H1" s="23" t="inlineStr">
        <is>
          <t>sales user toggled current status</t>
        </is>
      </c>
      <c r="I1" s="23" t="inlineStr">
        <is>
          <t>remarks</t>
        </is>
      </c>
    </row>
    <row r="2" ht="20" customHeight="1">
      <c r="A2" s="57" t="n">
        <v>46293.65322457176</v>
      </c>
      <c r="B2" s="25" t="inlineStr">
        <is>
          <t>1. Today (28-Sep)</t>
        </is>
      </c>
      <c r="C2" s="14" t="inlineStr">
        <is>
          <t>Meta Ads (NB PropertyTech Rental Ad 0408)</t>
        </is>
      </c>
      <c r="D2" s="14" t="inlineStr">
        <is>
          <t>ब्राह्मण (6006452344)</t>
        </is>
      </c>
      <c r="E2" s="14" t="inlineStr">
        <is>
          <t>Zeel Mudaliyar</t>
        </is>
      </c>
      <c r="F2" s="14" t="inlineStr">
        <is>
          <t>New</t>
        </is>
      </c>
      <c r="G2" s="14" t="inlineStr">
        <is>
          <t>Not Assigned</t>
        </is>
      </c>
      <c r="H2" s="14" t="inlineStr">
        <is>
          <t>N/A (Not Assigned)</t>
        </is>
      </c>
      <c r="I2" s="14" t="inlineStr">
        <is>
          <t>-</t>
        </is>
      </c>
    </row>
    <row r="3" ht="20" customHeight="1">
      <c r="A3" s="58" t="n">
        <v>46293.48659174769</v>
      </c>
      <c r="B3" s="27" t="inlineStr">
        <is>
          <t>1. Today (28-Sep)</t>
        </is>
      </c>
      <c r="C3" s="17" t="inlineStr">
        <is>
          <t>Meta Ads (NB PropertyTech Rental Ad 0408)</t>
        </is>
      </c>
      <c r="D3" s="17" t="inlineStr">
        <is>
          <t>Samim Khatri (9016894002)</t>
        </is>
      </c>
      <c r="E3" s="17" t="inlineStr">
        <is>
          <t>Zeel Mudaliyar</t>
        </is>
      </c>
      <c r="F3" s="17" t="inlineStr">
        <is>
          <t>New</t>
        </is>
      </c>
      <c r="G3" s="17" t="inlineStr">
        <is>
          <t>Not Assigned</t>
        </is>
      </c>
      <c r="H3" s="17" t="inlineStr">
        <is>
          <t>N/A (Not Assigned)</t>
        </is>
      </c>
      <c r="I3" s="17" t="inlineStr">
        <is>
          <t>-</t>
        </is>
      </c>
    </row>
    <row r="4" ht="20" customHeight="1">
      <c r="A4" s="57" t="n">
        <v>46293.48598414352</v>
      </c>
      <c r="B4" s="25" t="inlineStr">
        <is>
          <t>1. Today (28-Sep)</t>
        </is>
      </c>
      <c r="C4" s="14" t="inlineStr">
        <is>
          <t>Webhook API (NB PropertyTech Rental Ad 0408)</t>
        </is>
      </c>
      <c r="D4" s="14" t="inlineStr">
        <is>
          <t>Samim Khatri (9016894002)</t>
        </is>
      </c>
      <c r="E4" s="14" t="inlineStr">
        <is>
          <t>Zeel Mudaliyar</t>
        </is>
      </c>
      <c r="F4" s="14" t="inlineStr">
        <is>
          <t>New</t>
        </is>
      </c>
      <c r="G4" s="14" t="inlineStr">
        <is>
          <t>Not Assigned</t>
        </is>
      </c>
      <c r="H4" s="14" t="inlineStr">
        <is>
          <t>N/A (Not Assigned)</t>
        </is>
      </c>
      <c r="I4" s="14" t="inlineStr">
        <is>
          <t>-</t>
        </is>
      </c>
    </row>
    <row r="5" ht="20" customHeight="1">
      <c r="A5" s="58" t="n">
        <v>46293.32060363426</v>
      </c>
      <c r="B5" s="27" t="inlineStr">
        <is>
          <t>1. Today (28-Sep)</t>
        </is>
      </c>
      <c r="C5" s="17" t="inlineStr">
        <is>
          <t>Meta Ads (NB PropertyTech Rental Ad 0408)</t>
        </is>
      </c>
      <c r="D5" s="17" t="inlineStr">
        <is>
          <t>Anil Khatri (9429510554)</t>
        </is>
      </c>
      <c r="E5" s="17" t="inlineStr">
        <is>
          <t>Unassigned</t>
        </is>
      </c>
      <c r="F5" s="17" t="inlineStr">
        <is>
          <t>Listed</t>
        </is>
      </c>
      <c r="G5" s="17" t="inlineStr">
        <is>
          <t>Not Assigned</t>
        </is>
      </c>
      <c r="H5" s="17" t="inlineStr">
        <is>
          <t>N/A (Not Assigned)</t>
        </is>
      </c>
      <c r="I5" s="17" t="inlineStr">
        <is>
          <t>-</t>
        </is>
      </c>
    </row>
    <row r="6" ht="20" customHeight="1">
      <c r="A6" s="57" t="n">
        <v>46293.32010741898</v>
      </c>
      <c r="B6" s="25" t="inlineStr">
        <is>
          <t>1. Today (28-Sep)</t>
        </is>
      </c>
      <c r="C6" s="14" t="inlineStr">
        <is>
          <t>Webhook API (NB PropertyTech Rental Ad 0408)</t>
        </is>
      </c>
      <c r="D6" s="14" t="inlineStr">
        <is>
          <t>Anil Khatri (9429510554)</t>
        </is>
      </c>
      <c r="E6" s="14" t="inlineStr">
        <is>
          <t>Zeel Mudaliyar</t>
        </is>
      </c>
      <c r="F6" s="14" t="inlineStr">
        <is>
          <t>Listed</t>
        </is>
      </c>
      <c r="G6" s="14" t="inlineStr">
        <is>
          <t>Not Assigned</t>
        </is>
      </c>
      <c r="H6" s="14" t="inlineStr">
        <is>
          <t>N/A (Not Assigned)</t>
        </is>
      </c>
      <c r="I6" s="14" t="inlineStr">
        <is>
          <t>-</t>
        </is>
      </c>
    </row>
    <row r="7" ht="20" customHeight="1">
      <c r="A7" s="58" t="n">
        <v>46292.92119304399</v>
      </c>
      <c r="B7" s="28" t="inlineStr">
        <is>
          <t>2. This Week (Last 7 Days)</t>
        </is>
      </c>
      <c r="C7" s="17" t="inlineStr">
        <is>
          <t>Housing.com (Koba)</t>
        </is>
      </c>
      <c r="D7" s="17" t="inlineStr">
        <is>
          <t>Vivek Singh (owner) (9426372931)</t>
        </is>
      </c>
      <c r="E7" s="17" t="inlineStr">
        <is>
          <t>Zeel Mudaliyar</t>
        </is>
      </c>
      <c r="F7" s="17" t="inlineStr">
        <is>
          <t>New</t>
        </is>
      </c>
      <c r="G7" s="17" t="inlineStr">
        <is>
          <t>Not Assigned</t>
        </is>
      </c>
      <c r="H7" s="17" t="inlineStr">
        <is>
          <t>N/A (Not Assigned)</t>
        </is>
      </c>
      <c r="I7" s="17" t="inlineStr">
        <is>
          <t>-</t>
        </is>
      </c>
    </row>
    <row r="8" ht="20" customHeight="1">
      <c r="A8" s="57" t="n">
        <v>46292.81565840277</v>
      </c>
      <c r="B8" s="29" t="inlineStr">
        <is>
          <t>2. This Week (Last 7 Days)</t>
        </is>
      </c>
      <c r="C8" s="14" t="inlineStr">
        <is>
          <t>Meta Ads (NB PropertyTech Rental Ad 0408)</t>
        </is>
      </c>
      <c r="D8" s="14" t="inlineStr">
        <is>
          <t>Geeta Khatri (8368098432)</t>
        </is>
      </c>
      <c r="E8" s="14" t="inlineStr">
        <is>
          <t>Zeel Mudaliyar</t>
        </is>
      </c>
      <c r="F8" s="14" t="inlineStr">
        <is>
          <t>New</t>
        </is>
      </c>
      <c r="G8" s="14" t="inlineStr">
        <is>
          <t>Not Assigned</t>
        </is>
      </c>
      <c r="H8" s="14" t="inlineStr">
        <is>
          <t>N/A (Not Assigned)</t>
        </is>
      </c>
      <c r="I8" s="14" t="inlineStr">
        <is>
          <t>-</t>
        </is>
      </c>
    </row>
    <row r="9" ht="20" customHeight="1">
      <c r="A9" s="58" t="n">
        <v>46292.81517949074</v>
      </c>
      <c r="B9" s="28" t="inlineStr">
        <is>
          <t>2. This Week (Last 7 Days)</t>
        </is>
      </c>
      <c r="C9" s="17" t="inlineStr">
        <is>
          <t>Webhook API (NB PropertyTech Rental Ad 0408)</t>
        </is>
      </c>
      <c r="D9" s="17" t="inlineStr">
        <is>
          <t>Geeta Khatri (8368098432)</t>
        </is>
      </c>
      <c r="E9" s="17" t="inlineStr">
        <is>
          <t>Prexa Vithalapara</t>
        </is>
      </c>
      <c r="F9" s="17" t="inlineStr">
        <is>
          <t>New</t>
        </is>
      </c>
      <c r="G9" s="17" t="inlineStr">
        <is>
          <t>Not Assigned</t>
        </is>
      </c>
      <c r="H9" s="17" t="inlineStr">
        <is>
          <t>N/A (Not Assigned)</t>
        </is>
      </c>
      <c r="I9" s="17" t="inlineStr">
        <is>
          <t>-</t>
        </is>
      </c>
    </row>
    <row r="10" ht="20" customHeight="1">
      <c r="A10" s="57" t="n">
        <v>46292.7875537037</v>
      </c>
      <c r="B10" s="29" t="inlineStr">
        <is>
          <t>2. This Week (Last 7 Days)</t>
        </is>
      </c>
      <c r="C10" s="14" t="inlineStr">
        <is>
          <t>Webhook API (NB PropertyTech Rental Ad 0408)</t>
        </is>
      </c>
      <c r="D10" s="14" t="inlineStr">
        <is>
          <t>Ashutosh Shingala (9737938603)</t>
        </is>
      </c>
      <c r="E10" s="14" t="inlineStr">
        <is>
          <t>Zeel Mudaliyar</t>
        </is>
      </c>
      <c r="F10" s="14" t="inlineStr">
        <is>
          <t>New</t>
        </is>
      </c>
      <c r="G10" s="14" t="inlineStr">
        <is>
          <t>Not Assigned</t>
        </is>
      </c>
      <c r="H10" s="14" t="inlineStr">
        <is>
          <t>N/A (Not Assigned)</t>
        </is>
      </c>
      <c r="I10" s="14" t="inlineStr">
        <is>
          <t>-</t>
        </is>
      </c>
    </row>
    <row r="11" ht="20" customHeight="1">
      <c r="A11" s="58" t="n">
        <v>46292.7211958912</v>
      </c>
      <c r="B11" s="28" t="inlineStr">
        <is>
          <t>2. This Week (Last 7 Days)</t>
        </is>
      </c>
      <c r="C11" s="17" t="inlineStr">
        <is>
          <t>Meta Ads (NB PropertyTech Rental Ad 0408)</t>
        </is>
      </c>
      <c r="D11" s="17" t="inlineStr">
        <is>
          <t>Janvi Gandhi (7069793887)</t>
        </is>
      </c>
      <c r="E11" s="17" t="inlineStr">
        <is>
          <t>Zeel Mudaliyar</t>
        </is>
      </c>
      <c r="F11" s="17" t="inlineStr">
        <is>
          <t>New</t>
        </is>
      </c>
      <c r="G11" s="17" t="inlineStr">
        <is>
          <t>Not Assigned</t>
        </is>
      </c>
      <c r="H11" s="17" t="inlineStr">
        <is>
          <t>N/A (Not Assigned)</t>
        </is>
      </c>
      <c r="I11" s="17" t="inlineStr">
        <is>
          <t>-</t>
        </is>
      </c>
    </row>
    <row r="12" ht="20" customHeight="1">
      <c r="A12" s="57" t="n">
        <v>46292.72065651621</v>
      </c>
      <c r="B12" s="29" t="inlineStr">
        <is>
          <t>2. This Week (Last 7 Days)</t>
        </is>
      </c>
      <c r="C12" s="14" t="inlineStr">
        <is>
          <t>Webhook API (NB PropertyTech Rental Ad 0408)</t>
        </is>
      </c>
      <c r="D12" s="14" t="inlineStr">
        <is>
          <t>Janvi Gandhi (7069793887)</t>
        </is>
      </c>
      <c r="E12" s="14" t="inlineStr">
        <is>
          <t>Zeel Mudaliyar</t>
        </is>
      </c>
      <c r="F12" s="14" t="inlineStr">
        <is>
          <t>New</t>
        </is>
      </c>
      <c r="G12" s="14" t="inlineStr">
        <is>
          <t>Not Assigned</t>
        </is>
      </c>
      <c r="H12" s="14" t="inlineStr">
        <is>
          <t>N/A (Not Assigned)</t>
        </is>
      </c>
      <c r="I12" s="14" t="inlineStr">
        <is>
          <t>-</t>
        </is>
      </c>
    </row>
    <row r="13" ht="20" customHeight="1">
      <c r="A13" s="58" t="n">
        <v>46292.44901700231</v>
      </c>
      <c r="B13" s="28" t="inlineStr">
        <is>
          <t>2. This Week (Last 7 Days)</t>
        </is>
      </c>
      <c r="C13" s="17" t="inlineStr">
        <is>
          <t>Webhook API (NB PropertyTech Rental Ad 0408)</t>
        </is>
      </c>
      <c r="D13" s="17" t="inlineStr">
        <is>
          <t>Kiru (7572958316)</t>
        </is>
      </c>
      <c r="E13" s="17" t="inlineStr">
        <is>
          <t>Zeel Mudaliyar</t>
        </is>
      </c>
      <c r="F13" s="17" t="inlineStr">
        <is>
          <t>New</t>
        </is>
      </c>
      <c r="G13" s="17" t="inlineStr">
        <is>
          <t>Not Assigned</t>
        </is>
      </c>
      <c r="H13" s="17" t="inlineStr">
        <is>
          <t>N/A (Not Assigned)</t>
        </is>
      </c>
      <c r="I13" s="17" t="inlineStr">
        <is>
          <t>-</t>
        </is>
      </c>
    </row>
    <row r="14" ht="20" customHeight="1">
      <c r="A14" s="57" t="n">
        <v>46292.44896591435</v>
      </c>
      <c r="B14" s="29" t="inlineStr">
        <is>
          <t>2. This Week (Last 7 Days)</t>
        </is>
      </c>
      <c r="C14" s="14" t="inlineStr">
        <is>
          <t>Meta Ads (NB PropertyTech Rental Ad 0408)</t>
        </is>
      </c>
      <c r="D14" s="14" t="inlineStr">
        <is>
          <t>Kiru (7572958316)</t>
        </is>
      </c>
      <c r="E14" s="14" t="inlineStr">
        <is>
          <t>Zeel Mudaliyar</t>
        </is>
      </c>
      <c r="F14" s="14" t="inlineStr">
        <is>
          <t>New</t>
        </is>
      </c>
      <c r="G14" s="14" t="inlineStr">
        <is>
          <t>Not Assigned</t>
        </is>
      </c>
      <c r="H14" s="14" t="inlineStr">
        <is>
          <t>N/A (Not Assigned)</t>
        </is>
      </c>
      <c r="I14" s="14" t="inlineStr">
        <is>
          <t>-</t>
        </is>
      </c>
    </row>
    <row r="15" ht="20" customHeight="1">
      <c r="A15" s="58" t="n">
        <v>46292.38367702546</v>
      </c>
      <c r="B15" s="28" t="inlineStr">
        <is>
          <t>2. This Week (Last 7 Days)</t>
        </is>
      </c>
      <c r="C15" s="17" t="inlineStr">
        <is>
          <t>Meta Ads (NB PropertyTech Rental Ad 0408)</t>
        </is>
      </c>
      <c r="D15" s="17" t="inlineStr">
        <is>
          <t>Julasana Niraj (9998225144)</t>
        </is>
      </c>
      <c r="E15" s="17" t="inlineStr">
        <is>
          <t>Zeel Mudaliyar</t>
        </is>
      </c>
      <c r="F15" s="17" t="inlineStr">
        <is>
          <t>Listed</t>
        </is>
      </c>
      <c r="G15" s="17" t="inlineStr">
        <is>
          <t>Not Assigned</t>
        </is>
      </c>
      <c r="H15" s="17" t="inlineStr">
        <is>
          <t>N/A (Not Assigned)</t>
        </is>
      </c>
      <c r="I15" s="17" t="inlineStr">
        <is>
          <t>-</t>
        </is>
      </c>
    </row>
    <row r="16" ht="20" customHeight="1">
      <c r="A16" s="57" t="n">
        <v>46292.38323773148</v>
      </c>
      <c r="B16" s="29" t="inlineStr">
        <is>
          <t>2. This Week (Last 7 Days)</t>
        </is>
      </c>
      <c r="C16" s="14" t="inlineStr">
        <is>
          <t>Webhook API (NB PropertyTech Rental Ad 0408)</t>
        </is>
      </c>
      <c r="D16" s="14" t="inlineStr">
        <is>
          <t>Julasana Niraj (9998225144)</t>
        </is>
      </c>
      <c r="E16" s="14" t="inlineStr">
        <is>
          <t>Zeel Mudaliyar</t>
        </is>
      </c>
      <c r="F16" s="14" t="inlineStr">
        <is>
          <t>Listed</t>
        </is>
      </c>
      <c r="G16" s="14" t="inlineStr">
        <is>
          <t>Not Assigned</t>
        </is>
      </c>
      <c r="H16" s="14" t="inlineStr">
        <is>
          <t>N/A (Not Assigned)</t>
        </is>
      </c>
      <c r="I16" s="14" t="inlineStr">
        <is>
          <t>-</t>
        </is>
      </c>
    </row>
    <row r="17" ht="20" customHeight="1">
      <c r="A17" s="58" t="n">
        <v>46292.16906342593</v>
      </c>
      <c r="B17" s="28" t="inlineStr">
        <is>
          <t>2. This Week (Last 7 Days)</t>
        </is>
      </c>
      <c r="C17" s="17" t="inlineStr">
        <is>
          <t>Meta Ads (NB PropertyTech Rental Ad 0408)</t>
        </is>
      </c>
      <c r="D17" s="17" t="inlineStr">
        <is>
          <t>Saswath Singh (8299445788)</t>
        </is>
      </c>
      <c r="E17" s="17" t="inlineStr">
        <is>
          <t>Prexa Vithalapara</t>
        </is>
      </c>
      <c r="F17" s="17" t="inlineStr">
        <is>
          <t>New</t>
        </is>
      </c>
      <c r="G17" s="17" t="inlineStr">
        <is>
          <t>Not Assigned</t>
        </is>
      </c>
      <c r="H17" s="17" t="inlineStr">
        <is>
          <t>N/A (Not Assigned)</t>
        </is>
      </c>
      <c r="I17" s="17" t="inlineStr">
        <is>
          <t>-</t>
        </is>
      </c>
    </row>
    <row r="18" ht="20" customHeight="1">
      <c r="A18" s="57" t="n">
        <v>46292.16904003472</v>
      </c>
      <c r="B18" s="29" t="inlineStr">
        <is>
          <t>2. This Week (Last 7 Days)</t>
        </is>
      </c>
      <c r="C18" s="14" t="inlineStr">
        <is>
          <t>Webhook API (NB PropertyTech Rental Ad 0408)</t>
        </is>
      </c>
      <c r="D18" s="14" t="inlineStr">
        <is>
          <t>Saswath Singh (8299445788)</t>
        </is>
      </c>
      <c r="E18" s="14" t="inlineStr">
        <is>
          <t>Prexa Vithalapara</t>
        </is>
      </c>
      <c r="F18" s="14" t="inlineStr">
        <is>
          <t>New</t>
        </is>
      </c>
      <c r="G18" s="14" t="inlineStr">
        <is>
          <t>Not Assigned</t>
        </is>
      </c>
      <c r="H18" s="14" t="inlineStr">
        <is>
          <t>N/A (Not Assigned)</t>
        </is>
      </c>
      <c r="I18" s="14" t="inlineStr">
        <is>
          <t>-</t>
        </is>
      </c>
    </row>
    <row r="19" ht="20" customHeight="1">
      <c r="A19" s="58" t="n">
        <v>46291.99541105324</v>
      </c>
      <c r="B19" s="28" t="inlineStr">
        <is>
          <t>2. This Week (Last 7 Days)</t>
        </is>
      </c>
      <c r="C19" s="17" t="inlineStr">
        <is>
          <t>Meta Ads (NB PropertyTech Rental Ad 0408)</t>
        </is>
      </c>
      <c r="D19" s="17" t="inlineStr">
        <is>
          <t>Karan Bualni (9265895357)</t>
        </is>
      </c>
      <c r="E19" s="17" t="inlineStr">
        <is>
          <t>Zeel Mudaliyar</t>
        </is>
      </c>
      <c r="F19" s="17" t="inlineStr">
        <is>
          <t>Listed</t>
        </is>
      </c>
      <c r="G19" s="17" t="inlineStr">
        <is>
          <t>Not Assigned</t>
        </is>
      </c>
      <c r="H19" s="17" t="inlineStr">
        <is>
          <t>N/A (Not Assigned)</t>
        </is>
      </c>
      <c r="I19" s="17" t="inlineStr">
        <is>
          <t>-</t>
        </is>
      </c>
    </row>
    <row r="20" ht="20" customHeight="1">
      <c r="A20" s="57" t="n">
        <v>46291.99540055556</v>
      </c>
      <c r="B20" s="29" t="inlineStr">
        <is>
          <t>2. This Week (Last 7 Days)</t>
        </is>
      </c>
      <c r="C20" s="14" t="inlineStr">
        <is>
          <t>Webhook API (NB PropertyTech Rental Ad 0408)</t>
        </is>
      </c>
      <c r="D20" s="14" t="inlineStr">
        <is>
          <t>Karan Bualni (9265895357)</t>
        </is>
      </c>
      <c r="E20" s="14" t="inlineStr">
        <is>
          <t>Zeel Mudaliyar</t>
        </is>
      </c>
      <c r="F20" s="14" t="inlineStr">
        <is>
          <t>New</t>
        </is>
      </c>
      <c r="G20" s="14" t="inlineStr">
        <is>
          <t>Not Assigned</t>
        </is>
      </c>
      <c r="H20" s="14" t="inlineStr">
        <is>
          <t>N/A (Not Assigned)</t>
        </is>
      </c>
      <c r="I20" s="14" t="inlineStr">
        <is>
          <t>-</t>
        </is>
      </c>
    </row>
    <row r="21" ht="20" customHeight="1">
      <c r="A21" s="58" t="n">
        <v>46291.73497472223</v>
      </c>
      <c r="B21" s="28" t="inlineStr">
        <is>
          <t>2. This Week (Last 7 Days)</t>
        </is>
      </c>
      <c r="C21" s="17" t="inlineStr">
        <is>
          <t>Meta Ads (NB PropertyTech Rental Ad 0408)</t>
        </is>
      </c>
      <c r="D21" s="17" t="inlineStr">
        <is>
          <t>Niravkumar Sagar (9574941754)</t>
        </is>
      </c>
      <c r="E21" s="17" t="inlineStr">
        <is>
          <t>Zeel Mudaliyar</t>
        </is>
      </c>
      <c r="F21" s="17" t="inlineStr">
        <is>
          <t>New</t>
        </is>
      </c>
      <c r="G21" s="17" t="inlineStr">
        <is>
          <t>Not Assigned</t>
        </is>
      </c>
      <c r="H21" s="17" t="inlineStr">
        <is>
          <t>N/A (Not Assigned)</t>
        </is>
      </c>
      <c r="I21" s="17" t="inlineStr">
        <is>
          <t>-</t>
        </is>
      </c>
    </row>
    <row r="22" ht="20" customHeight="1">
      <c r="A22" s="57" t="n">
        <v>46291.73470680555</v>
      </c>
      <c r="B22" s="29" t="inlineStr">
        <is>
          <t>2. This Week (Last 7 Days)</t>
        </is>
      </c>
      <c r="C22" s="14" t="inlineStr">
        <is>
          <t>Webhook API (NB PropertyTech Rental Ad 0408)</t>
        </is>
      </c>
      <c r="D22" s="14" t="inlineStr">
        <is>
          <t>Niravkumar Sagar (9574941754)</t>
        </is>
      </c>
      <c r="E22" s="14" t="inlineStr">
        <is>
          <t>Zeel Mudaliyar</t>
        </is>
      </c>
      <c r="F22" s="14" t="inlineStr">
        <is>
          <t>New</t>
        </is>
      </c>
      <c r="G22" s="14" t="inlineStr">
        <is>
          <t>Not Assigned</t>
        </is>
      </c>
      <c r="H22" s="14" t="inlineStr">
        <is>
          <t>N/A (Not Assigned)</t>
        </is>
      </c>
      <c r="I22" s="14" t="inlineStr">
        <is>
          <t>-</t>
        </is>
      </c>
    </row>
    <row r="23" ht="20" customHeight="1">
      <c r="A23" s="58" t="n">
        <v>46291.7301271875</v>
      </c>
      <c r="B23" s="28" t="inlineStr">
        <is>
          <t>2. This Week (Last 7 Days)</t>
        </is>
      </c>
      <c r="C23" s="17" t="inlineStr">
        <is>
          <t>Meta Ads (NB PropertyTech Rental Ad 0408)</t>
        </is>
      </c>
      <c r="D23" s="17" t="inlineStr">
        <is>
          <t>Mn (9898000939)</t>
        </is>
      </c>
      <c r="E23" s="17" t="inlineStr">
        <is>
          <t>Zeel Mudaliyar</t>
        </is>
      </c>
      <c r="F23" s="17" t="inlineStr">
        <is>
          <t>New</t>
        </is>
      </c>
      <c r="G23" s="17" t="inlineStr">
        <is>
          <t>Not Assigned</t>
        </is>
      </c>
      <c r="H23" s="17" t="inlineStr">
        <is>
          <t>N/A (Not Assigned)</t>
        </is>
      </c>
      <c r="I23" s="17" t="inlineStr">
        <is>
          <t>-</t>
        </is>
      </c>
    </row>
    <row r="24" ht="20" customHeight="1">
      <c r="A24" s="57" t="n">
        <v>46291.72958450232</v>
      </c>
      <c r="B24" s="29" t="inlineStr">
        <is>
          <t>2. This Week (Last 7 Days)</t>
        </is>
      </c>
      <c r="C24" s="14" t="inlineStr">
        <is>
          <t>Webhook API (NB PropertyTech Rental Ad 0408)</t>
        </is>
      </c>
      <c r="D24" s="14" t="inlineStr">
        <is>
          <t>Mn (9898000939)</t>
        </is>
      </c>
      <c r="E24" s="14" t="inlineStr">
        <is>
          <t>Prexa Vithalapara</t>
        </is>
      </c>
      <c r="F24" s="14" t="inlineStr">
        <is>
          <t>New</t>
        </is>
      </c>
      <c r="G24" s="14" t="inlineStr">
        <is>
          <t>Not Assigned</t>
        </is>
      </c>
      <c r="H24" s="14" t="inlineStr">
        <is>
          <t>N/A (Not Assigned)</t>
        </is>
      </c>
      <c r="I24" s="14" t="inlineStr">
        <is>
          <t>Followup: Call Back</t>
        </is>
      </c>
    </row>
    <row r="25" ht="20" customHeight="1">
      <c r="A25" s="58" t="n">
        <v>46291.7287209375</v>
      </c>
      <c r="B25" s="28" t="inlineStr">
        <is>
          <t>2. This Week (Last 7 Days)</t>
        </is>
      </c>
      <c r="C25" s="17" t="inlineStr">
        <is>
          <t>Meta Ads (NB PropertyTech Rental Ad 0408)</t>
        </is>
      </c>
      <c r="D25" s="17" t="inlineStr">
        <is>
          <t>Prakash Patel (9983233364)</t>
        </is>
      </c>
      <c r="E25" s="17" t="inlineStr">
        <is>
          <t>Prexa Vithalapara</t>
        </is>
      </c>
      <c r="F25" s="17" t="inlineStr">
        <is>
          <t>New</t>
        </is>
      </c>
      <c r="G25" s="17" t="inlineStr">
        <is>
          <t>Not Assigned</t>
        </is>
      </c>
      <c r="H25" s="17" t="inlineStr">
        <is>
          <t>N/A (Not Assigned)</t>
        </is>
      </c>
      <c r="I25" s="17" t="inlineStr">
        <is>
          <t>-</t>
        </is>
      </c>
    </row>
    <row r="26" ht="20" customHeight="1">
      <c r="A26" s="57" t="n">
        <v>46291.72852148148</v>
      </c>
      <c r="B26" s="29" t="inlineStr">
        <is>
          <t>2. This Week (Last 7 Days)</t>
        </is>
      </c>
      <c r="C26" s="14" t="inlineStr">
        <is>
          <t>Webhook API (NB PropertyTech Rental Ad 0408)</t>
        </is>
      </c>
      <c r="D26" s="14" t="inlineStr">
        <is>
          <t>Prakash Patel (9983233364)</t>
        </is>
      </c>
      <c r="E26" s="14" t="inlineStr">
        <is>
          <t>Zeel Mudaliyar</t>
        </is>
      </c>
      <c r="F26" s="14" t="inlineStr">
        <is>
          <t>Listed</t>
        </is>
      </c>
      <c r="G26" s="14" t="inlineStr">
        <is>
          <t>Not Assigned</t>
        </is>
      </c>
      <c r="H26" s="14" t="inlineStr">
        <is>
          <t>N/A (Not Assigned)</t>
        </is>
      </c>
      <c r="I26" s="14" t="inlineStr">
        <is>
          <t>-</t>
        </is>
      </c>
    </row>
    <row r="27" ht="20" customHeight="1">
      <c r="A27" s="58" t="n">
        <v>46291.59399060185</v>
      </c>
      <c r="B27" s="28" t="inlineStr">
        <is>
          <t>2. This Week (Last 7 Days)</t>
        </is>
      </c>
      <c r="C27" s="17" t="inlineStr">
        <is>
          <t>Webhook API (NB PropertyTech Rental Ad 0408)</t>
        </is>
      </c>
      <c r="D27" s="17" t="inlineStr">
        <is>
          <t>Jitendra Patel (9662014422)</t>
        </is>
      </c>
      <c r="E27" s="17" t="inlineStr">
        <is>
          <t>Zeel Mudaliyar</t>
        </is>
      </c>
      <c r="F27" s="17" t="inlineStr">
        <is>
          <t>New</t>
        </is>
      </c>
      <c r="G27" s="17" t="inlineStr">
        <is>
          <t>Not Assigned</t>
        </is>
      </c>
      <c r="H27" s="17" t="inlineStr">
        <is>
          <t>N/A (Not Assigned)</t>
        </is>
      </c>
      <c r="I27" s="17" t="inlineStr">
        <is>
          <t>-</t>
        </is>
      </c>
    </row>
    <row r="28" ht="20" customHeight="1">
      <c r="A28" s="57" t="n">
        <v>46291.5939881713</v>
      </c>
      <c r="B28" s="29" t="inlineStr">
        <is>
          <t>2. This Week (Last 7 Days)</t>
        </is>
      </c>
      <c r="C28" s="14" t="inlineStr">
        <is>
          <t>Meta Ads (NB PropertyTech Rental Ad 0408)</t>
        </is>
      </c>
      <c r="D28" s="14" t="inlineStr">
        <is>
          <t>Jitendra Patel (9662014422)</t>
        </is>
      </c>
      <c r="E28" s="14" t="inlineStr">
        <is>
          <t>Zeel Mudaliyar</t>
        </is>
      </c>
      <c r="F28" s="14" t="inlineStr">
        <is>
          <t>New</t>
        </is>
      </c>
      <c r="G28" s="14" t="inlineStr">
        <is>
          <t>Not Assigned</t>
        </is>
      </c>
      <c r="H28" s="14" t="inlineStr">
        <is>
          <t>N/A (Not Assigned)</t>
        </is>
      </c>
      <c r="I28" s="14" t="inlineStr">
        <is>
          <t>-</t>
        </is>
      </c>
    </row>
    <row r="29" ht="20" customHeight="1">
      <c r="A29" s="58" t="n">
        <v>46291.57316194444</v>
      </c>
      <c r="B29" s="28" t="inlineStr">
        <is>
          <t>2. This Week (Last 7 Days)</t>
        </is>
      </c>
      <c r="C29" s="17" t="inlineStr">
        <is>
          <t>Meta Ads (NB PropertyTech Rental Ad 0408)</t>
        </is>
      </c>
      <c r="D29" s="17" t="inlineStr">
        <is>
          <t>Vinita Borana (9825660846)</t>
        </is>
      </c>
      <c r="E29" s="17" t="inlineStr">
        <is>
          <t>Zeel Mudaliyar</t>
        </is>
      </c>
      <c r="F29" s="17" t="inlineStr">
        <is>
          <t>New</t>
        </is>
      </c>
      <c r="G29" s="17" t="inlineStr">
        <is>
          <t>Not Assigned</t>
        </is>
      </c>
      <c r="H29" s="17" t="inlineStr">
        <is>
          <t>N/A (Not Assigned)</t>
        </is>
      </c>
      <c r="I29" s="17" t="inlineStr">
        <is>
          <t>-</t>
        </is>
      </c>
    </row>
    <row r="30" ht="20" customHeight="1">
      <c r="A30" s="57" t="n">
        <v>46291.57256657408</v>
      </c>
      <c r="B30" s="29" t="inlineStr">
        <is>
          <t>2. This Week (Last 7 Days)</t>
        </is>
      </c>
      <c r="C30" s="14" t="inlineStr">
        <is>
          <t>Webhook API (NB PropertyTech Rental Ad 0408)</t>
        </is>
      </c>
      <c r="D30" s="14" t="inlineStr">
        <is>
          <t>Vinita Borana (9825660846)</t>
        </is>
      </c>
      <c r="E30" s="14" t="inlineStr">
        <is>
          <t>Zeel Mudaliyar</t>
        </is>
      </c>
      <c r="F30" s="14" t="inlineStr">
        <is>
          <t>New</t>
        </is>
      </c>
      <c r="G30" s="14" t="inlineStr">
        <is>
          <t>Not Assigned</t>
        </is>
      </c>
      <c r="H30" s="14" t="inlineStr">
        <is>
          <t>N/A (Not Assigned)</t>
        </is>
      </c>
      <c r="I30" s="14" t="inlineStr">
        <is>
          <t>-</t>
        </is>
      </c>
    </row>
    <row r="31" ht="20" customHeight="1">
      <c r="A31" s="58" t="n">
        <v>46291.46342708333</v>
      </c>
      <c r="B31" s="28" t="inlineStr">
        <is>
          <t>2. This Week (Last 7 Days)</t>
        </is>
      </c>
      <c r="C31" s="17" t="inlineStr">
        <is>
          <t>Meta Ads (NB PropertyTech Rental Ad 0408)</t>
        </is>
      </c>
      <c r="D31" s="17" t="inlineStr">
        <is>
          <t>Aval Barochia (8866706086)</t>
        </is>
      </c>
      <c r="E31" s="17" t="inlineStr">
        <is>
          <t>Zeel Mudaliyar</t>
        </is>
      </c>
      <c r="F31" s="17" t="inlineStr">
        <is>
          <t>New</t>
        </is>
      </c>
      <c r="G31" s="17" t="inlineStr">
        <is>
          <t>Not Assigned</t>
        </is>
      </c>
      <c r="H31" s="17" t="inlineStr">
        <is>
          <t>N/A (Not Assigned)</t>
        </is>
      </c>
      <c r="I31" s="17" t="inlineStr">
        <is>
          <t>-</t>
        </is>
      </c>
    </row>
    <row r="32" ht="20" customHeight="1">
      <c r="A32" s="57" t="n">
        <v>46291.46320951389</v>
      </c>
      <c r="B32" s="29" t="inlineStr">
        <is>
          <t>2. This Week (Last 7 Days)</t>
        </is>
      </c>
      <c r="C32" s="14" t="inlineStr">
        <is>
          <t>Webhook API (NB PropertyTech Rental Ad 0408)</t>
        </is>
      </c>
      <c r="D32" s="14" t="inlineStr">
        <is>
          <t>Aval Barochia (8866706086)</t>
        </is>
      </c>
      <c r="E32" s="14" t="inlineStr">
        <is>
          <t>Zeel Mudaliyar</t>
        </is>
      </c>
      <c r="F32" s="14" t="inlineStr">
        <is>
          <t>Sales</t>
        </is>
      </c>
      <c r="G32" s="14" t="inlineStr">
        <is>
          <t>Somel Rathod</t>
        </is>
      </c>
      <c r="H32" s="14" t="inlineStr">
        <is>
          <t>Assigned</t>
        </is>
      </c>
      <c r="I32" s="14" t="inlineStr">
        <is>
          <t>Transfer: Zundal, Signature Elena, 3 BHK, 22K, Semi furnished | Transfer Note: Zundal, Signature Elena, 3 BHK, 22K, Semi furnished | CRM: [Telecaller Key Points]: Zundal, Signature Elena, 3 BHK, 22K, Semi furnished | [Telecaller Key Points]: Zundal, Signature Elena, 3 BHK, 22K, Semi furnished | Zundal, Signature Elena, 3 BHK, 22K, Semi furnished</t>
        </is>
      </c>
    </row>
    <row r="33" ht="20" customHeight="1">
      <c r="A33" s="58" t="n">
        <v>46291.39744280092</v>
      </c>
      <c r="B33" s="28" t="inlineStr">
        <is>
          <t>2. This Week (Last 7 Days)</t>
        </is>
      </c>
      <c r="C33" s="17" t="inlineStr">
        <is>
          <t>Meta Ads (NB PropertyTech Rental Ad 0408)</t>
        </is>
      </c>
      <c r="D33" s="17" t="inlineStr">
        <is>
          <t>Vijay Patel (8849046508)</t>
        </is>
      </c>
      <c r="E33" s="17" t="inlineStr">
        <is>
          <t>Zeel Mudaliyar</t>
        </is>
      </c>
      <c r="F33" s="17" t="inlineStr">
        <is>
          <t>Listed</t>
        </is>
      </c>
      <c r="G33" s="17" t="inlineStr">
        <is>
          <t>Not Assigned</t>
        </is>
      </c>
      <c r="H33" s="17" t="inlineStr">
        <is>
          <t>N/A (Not Assigned)</t>
        </is>
      </c>
      <c r="I33" s="17" t="inlineStr">
        <is>
          <t>-</t>
        </is>
      </c>
    </row>
    <row r="34" ht="20" customHeight="1">
      <c r="A34" s="57" t="n">
        <v>46291.3972988426</v>
      </c>
      <c r="B34" s="29" t="inlineStr">
        <is>
          <t>2. This Week (Last 7 Days)</t>
        </is>
      </c>
      <c r="C34" s="14" t="inlineStr">
        <is>
          <t>Webhook API (NB PropertyTech Rental Ad 0408)</t>
        </is>
      </c>
      <c r="D34" s="14" t="inlineStr">
        <is>
          <t>Vijay Patel (8849046508)</t>
        </is>
      </c>
      <c r="E34" s="14" t="inlineStr">
        <is>
          <t>Zeel Mudaliyar</t>
        </is>
      </c>
      <c r="F34" s="14" t="inlineStr">
        <is>
          <t>Listed</t>
        </is>
      </c>
      <c r="G34" s="14" t="inlineStr">
        <is>
          <t>Not Assigned</t>
        </is>
      </c>
      <c r="H34" s="14" t="inlineStr">
        <is>
          <t>N/A (Not Assigned)</t>
        </is>
      </c>
      <c r="I34" s="14" t="inlineStr">
        <is>
          <t>-</t>
        </is>
      </c>
    </row>
    <row r="35" ht="20" customHeight="1">
      <c r="A35" s="58" t="n">
        <v>46291.06753011574</v>
      </c>
      <c r="B35" s="28" t="inlineStr">
        <is>
          <t>2. This Week (Last 7 Days)</t>
        </is>
      </c>
      <c r="C35" s="17" t="inlineStr">
        <is>
          <t>Meta Ads (NB PropertyTech Rental Ad 0408)</t>
        </is>
      </c>
      <c r="D35" s="17" t="inlineStr">
        <is>
          <t>Goldy Saluja (9924320692)</t>
        </is>
      </c>
      <c r="E35" s="17" t="inlineStr">
        <is>
          <t>Prexa Vithalapara</t>
        </is>
      </c>
      <c r="F35" s="17" t="inlineStr">
        <is>
          <t>New</t>
        </is>
      </c>
      <c r="G35" s="17" t="inlineStr">
        <is>
          <t>Not Assigned</t>
        </is>
      </c>
      <c r="H35" s="17" t="inlineStr">
        <is>
          <t>N/A (Not Assigned)</t>
        </is>
      </c>
      <c r="I35" s="17" t="inlineStr">
        <is>
          <t>-</t>
        </is>
      </c>
    </row>
    <row r="36" ht="20" customHeight="1">
      <c r="A36" s="57" t="n">
        <v>46291.06712336806</v>
      </c>
      <c r="B36" s="29" t="inlineStr">
        <is>
          <t>2. This Week (Last 7 Days)</t>
        </is>
      </c>
      <c r="C36" s="14" t="inlineStr">
        <is>
          <t>Webhook API (NB PropertyTech Rental Ad 0408)</t>
        </is>
      </c>
      <c r="D36" s="14" t="inlineStr">
        <is>
          <t>Goldy Saluja (9924320692)</t>
        </is>
      </c>
      <c r="E36" s="14" t="inlineStr">
        <is>
          <t>Zeel Mudaliyar</t>
        </is>
      </c>
      <c r="F36" s="14" t="inlineStr">
        <is>
          <t>New</t>
        </is>
      </c>
      <c r="G36" s="14" t="inlineStr">
        <is>
          <t>Not Assigned</t>
        </is>
      </c>
      <c r="H36" s="14" t="inlineStr">
        <is>
          <t>N/A (Not Assigned)</t>
        </is>
      </c>
      <c r="I36" s="14" t="inlineStr">
        <is>
          <t>-</t>
        </is>
      </c>
    </row>
    <row r="37" ht="20" customHeight="1">
      <c r="A37" s="58" t="n">
        <v>46291.06128118055</v>
      </c>
      <c r="B37" s="28" t="inlineStr">
        <is>
          <t>2. This Week (Last 7 Days)</t>
        </is>
      </c>
      <c r="C37" s="17" t="inlineStr">
        <is>
          <t>Meta Ads (NB PropertyTech Rental Ad 0408)</t>
        </is>
      </c>
      <c r="D37" s="17" t="inlineStr">
        <is>
          <t>Bhupendra (6353969707)</t>
        </is>
      </c>
      <c r="E37" s="17" t="inlineStr">
        <is>
          <t>Prexa Vithalapara</t>
        </is>
      </c>
      <c r="F37" s="17" t="inlineStr">
        <is>
          <t>New</t>
        </is>
      </c>
      <c r="G37" s="17" t="inlineStr">
        <is>
          <t>Not Assigned</t>
        </is>
      </c>
      <c r="H37" s="17" t="inlineStr">
        <is>
          <t>N/A (Not Assigned)</t>
        </is>
      </c>
      <c r="I37" s="17" t="inlineStr">
        <is>
          <t>-</t>
        </is>
      </c>
    </row>
    <row r="38" ht="20" customHeight="1">
      <c r="A38" s="57" t="n">
        <v>46291.06118087963</v>
      </c>
      <c r="B38" s="29" t="inlineStr">
        <is>
          <t>2. This Week (Last 7 Days)</t>
        </is>
      </c>
      <c r="C38" s="14" t="inlineStr">
        <is>
          <t>Webhook API (NB PropertyTech Rental Ad 0408)</t>
        </is>
      </c>
      <c r="D38" s="14" t="inlineStr">
        <is>
          <t>Bhupendra (6353969707)</t>
        </is>
      </c>
      <c r="E38" s="14" t="inlineStr">
        <is>
          <t>Zeel Mudaliyar</t>
        </is>
      </c>
      <c r="F38" s="14" t="inlineStr">
        <is>
          <t>New</t>
        </is>
      </c>
      <c r="G38" s="14" t="inlineStr">
        <is>
          <t>Not Assigned</t>
        </is>
      </c>
      <c r="H38" s="14" t="inlineStr">
        <is>
          <t>N/A (Not Assigned)</t>
        </is>
      </c>
      <c r="I38" s="14" t="inlineStr">
        <is>
          <t>-</t>
        </is>
      </c>
    </row>
    <row r="39" ht="20" customHeight="1">
      <c r="A39" s="58" t="n">
        <v>46290.95293337963</v>
      </c>
      <c r="B39" s="28" t="inlineStr">
        <is>
          <t>2. This Week (Last 7 Days)</t>
        </is>
      </c>
      <c r="C39" s="17" t="inlineStr">
        <is>
          <t>Meta Ads (NB PropertyTech Rental Ad 0408)</t>
        </is>
      </c>
      <c r="D39" s="17" t="inlineStr">
        <is>
          <t>Jitendra Purohit (9426066121)</t>
        </is>
      </c>
      <c r="E39" s="17" t="inlineStr">
        <is>
          <t>Zeel Mudaliyar</t>
        </is>
      </c>
      <c r="F39" s="17" t="inlineStr">
        <is>
          <t>New</t>
        </is>
      </c>
      <c r="G39" s="17" t="inlineStr">
        <is>
          <t>Not Assigned</t>
        </is>
      </c>
      <c r="H39" s="17" t="inlineStr">
        <is>
          <t>N/A (Not Assigned)</t>
        </is>
      </c>
      <c r="I39" s="17" t="inlineStr">
        <is>
          <t>-</t>
        </is>
      </c>
    </row>
    <row r="40" ht="20" customHeight="1">
      <c r="A40" s="57" t="n">
        <v>46290.9528771412</v>
      </c>
      <c r="B40" s="29" t="inlineStr">
        <is>
          <t>2. This Week (Last 7 Days)</t>
        </is>
      </c>
      <c r="C40" s="14" t="inlineStr">
        <is>
          <t>Webhook API (NB PropertyTech Rental Ad 0408)</t>
        </is>
      </c>
      <c r="D40" s="14" t="inlineStr">
        <is>
          <t>Jitendra Purohit (9426066121)</t>
        </is>
      </c>
      <c r="E40" s="14" t="inlineStr">
        <is>
          <t>Zeel Mudaliyar</t>
        </is>
      </c>
      <c r="F40" s="14" t="inlineStr">
        <is>
          <t>New</t>
        </is>
      </c>
      <c r="G40" s="14" t="inlineStr">
        <is>
          <t>Not Assigned</t>
        </is>
      </c>
      <c r="H40" s="14" t="inlineStr">
        <is>
          <t>N/A (Not Assigned)</t>
        </is>
      </c>
      <c r="I40" s="14" t="inlineStr">
        <is>
          <t>-</t>
        </is>
      </c>
    </row>
    <row r="41" ht="20" customHeight="1">
      <c r="A41" s="58" t="n">
        <v>46290.84570584491</v>
      </c>
      <c r="B41" s="28" t="inlineStr">
        <is>
          <t>2. This Week (Last 7 Days)</t>
        </is>
      </c>
      <c r="C41" s="17" t="inlineStr">
        <is>
          <t>Webhook API (NB PropertyTech Rental Ad 0408)</t>
        </is>
      </c>
      <c r="D41" s="17" t="inlineStr">
        <is>
          <t>Ayush Rathod (8239121070)</t>
        </is>
      </c>
      <c r="E41" s="17" t="inlineStr">
        <is>
          <t>Zeel Mudaliyar</t>
        </is>
      </c>
      <c r="F41" s="17" t="inlineStr">
        <is>
          <t>New</t>
        </is>
      </c>
      <c r="G41" s="17" t="inlineStr">
        <is>
          <t>Not Assigned</t>
        </is>
      </c>
      <c r="H41" s="17" t="inlineStr">
        <is>
          <t>N/A (Not Assigned)</t>
        </is>
      </c>
      <c r="I41" s="17" t="inlineStr">
        <is>
          <t>-</t>
        </is>
      </c>
    </row>
    <row r="42" ht="20" customHeight="1">
      <c r="A42" s="57" t="n">
        <v>46290.84035515046</v>
      </c>
      <c r="B42" s="29" t="inlineStr">
        <is>
          <t>2. This Week (Last 7 Days)</t>
        </is>
      </c>
      <c r="C42" s="14" t="inlineStr">
        <is>
          <t>Webhook API (NB PropertyTech Rental Ad 0408)</t>
        </is>
      </c>
      <c r="D42" s="14" t="inlineStr">
        <is>
          <t>Industrial Agencies (9825701297)</t>
        </is>
      </c>
      <c r="E42" s="14" t="inlineStr">
        <is>
          <t>Zeel Mudaliyar</t>
        </is>
      </c>
      <c r="F42" s="14" t="inlineStr">
        <is>
          <t>New</t>
        </is>
      </c>
      <c r="G42" s="14" t="inlineStr">
        <is>
          <t>Not Assigned</t>
        </is>
      </c>
      <c r="H42" s="14" t="inlineStr">
        <is>
          <t>N/A (Not Assigned)</t>
        </is>
      </c>
      <c r="I42" s="14" t="inlineStr">
        <is>
          <t>-</t>
        </is>
      </c>
    </row>
    <row r="43" ht="20" customHeight="1">
      <c r="A43" s="58" t="n">
        <v>46290.68025771991</v>
      </c>
      <c r="B43" s="28" t="inlineStr">
        <is>
          <t>2. This Week (Last 7 Days)</t>
        </is>
      </c>
      <c r="C43" s="17" t="inlineStr">
        <is>
          <t>Webhook API</t>
        </is>
      </c>
      <c r="D43" s="17" t="inlineStr">
        <is>
          <t>Zeel (9584366883)</t>
        </is>
      </c>
      <c r="E43" s="17" t="inlineStr">
        <is>
          <t>Zeel Mudaliyar</t>
        </is>
      </c>
      <c r="F43" s="17" t="inlineStr">
        <is>
          <t>New</t>
        </is>
      </c>
      <c r="G43" s="17" t="inlineStr">
        <is>
          <t>Not Assigned</t>
        </is>
      </c>
      <c r="H43" s="17" t="inlineStr">
        <is>
          <t>N/A (Not Assigned)</t>
        </is>
      </c>
      <c r="I43" s="17" t="inlineStr">
        <is>
          <t>10K, 1 bhk, back</t>
        </is>
      </c>
    </row>
    <row r="44" ht="20" customHeight="1">
      <c r="A44" s="57" t="n">
        <v>46290.67558356481</v>
      </c>
      <c r="B44" s="29" t="inlineStr">
        <is>
          <t>2. This Week (Last 7 Days)</t>
        </is>
      </c>
      <c r="C44" s="14" t="inlineStr">
        <is>
          <t>Webhook API (NB PropertyTech Rental Ad 0408)</t>
        </is>
      </c>
      <c r="D44" s="14" t="inlineStr">
        <is>
          <t>Dipak Thakkar (9825701235)</t>
        </is>
      </c>
      <c r="E44" s="14" t="inlineStr">
        <is>
          <t>Unassigned</t>
        </is>
      </c>
      <c r="F44" s="14" t="inlineStr">
        <is>
          <t>New</t>
        </is>
      </c>
      <c r="G44" s="14" t="inlineStr">
        <is>
          <t>Not Assigned</t>
        </is>
      </c>
      <c r="H44" s="14" t="inlineStr">
        <is>
          <t>N/A (Not Assigned)</t>
        </is>
      </c>
      <c r="I44" s="14" t="inlineStr">
        <is>
          <t>-</t>
        </is>
      </c>
    </row>
    <row r="45" ht="20" customHeight="1">
      <c r="A45" s="58" t="n">
        <v>46290.67555916667</v>
      </c>
      <c r="B45" s="28" t="inlineStr">
        <is>
          <t>2. This Week (Last 7 Days)</t>
        </is>
      </c>
      <c r="C45" s="17" t="inlineStr">
        <is>
          <t>Meta Ads (NB PropertyTech Rental Ad 0408)</t>
        </is>
      </c>
      <c r="D45" s="17" t="inlineStr">
        <is>
          <t>Dipak Thakkar (9825701235)</t>
        </is>
      </c>
      <c r="E45" s="17" t="inlineStr">
        <is>
          <t>Zeel Mudaliyar</t>
        </is>
      </c>
      <c r="F45" s="17" t="inlineStr">
        <is>
          <t>New</t>
        </is>
      </c>
      <c r="G45" s="17" t="inlineStr">
        <is>
          <t>Not Assigned</t>
        </is>
      </c>
      <c r="H45" s="17" t="inlineStr">
        <is>
          <t>N/A (Not Assigned)</t>
        </is>
      </c>
      <c r="I45" s="17" t="inlineStr">
        <is>
          <t>-</t>
        </is>
      </c>
    </row>
    <row r="46" ht="20" customHeight="1">
      <c r="A46" s="57" t="n">
        <v>46290.63414452547</v>
      </c>
      <c r="B46" s="29" t="inlineStr">
        <is>
          <t>2. This Week (Last 7 Days)</t>
        </is>
      </c>
      <c r="C46" s="14" t="inlineStr">
        <is>
          <t>Webhook API (NB PropertyTech Rental Ad 0408)</t>
        </is>
      </c>
      <c r="D46" s="14" t="inlineStr">
        <is>
          <t>Rajesh Sawlani (9825520060)</t>
        </is>
      </c>
      <c r="E46" s="14" t="inlineStr">
        <is>
          <t>Zeel Mudaliyar</t>
        </is>
      </c>
      <c r="F46" s="14" t="inlineStr">
        <is>
          <t>New</t>
        </is>
      </c>
      <c r="G46" s="14" t="inlineStr">
        <is>
          <t>Not Assigned</t>
        </is>
      </c>
      <c r="H46" s="14" t="inlineStr">
        <is>
          <t>N/A (Not Assigned)</t>
        </is>
      </c>
      <c r="I46" s="14" t="inlineStr">
        <is>
          <t>-</t>
        </is>
      </c>
    </row>
    <row r="47" ht="20" customHeight="1">
      <c r="A47" s="58" t="n">
        <v>46290.63412277778</v>
      </c>
      <c r="B47" s="28" t="inlineStr">
        <is>
          <t>2. This Week (Last 7 Days)</t>
        </is>
      </c>
      <c r="C47" s="17" t="inlineStr">
        <is>
          <t>Meta Ads (NB PropertyTech Rental Ad 0408)</t>
        </is>
      </c>
      <c r="D47" s="17" t="inlineStr">
        <is>
          <t>Rajesh Sawlani (9825520060)</t>
        </is>
      </c>
      <c r="E47" s="17" t="inlineStr">
        <is>
          <t>Zeel Mudaliyar</t>
        </is>
      </c>
      <c r="F47" s="17" t="inlineStr">
        <is>
          <t>New</t>
        </is>
      </c>
      <c r="G47" s="17" t="inlineStr">
        <is>
          <t>Not Assigned</t>
        </is>
      </c>
      <c r="H47" s="17" t="inlineStr">
        <is>
          <t>N/A (Not Assigned)</t>
        </is>
      </c>
      <c r="I47" s="17" t="inlineStr">
        <is>
          <t>-</t>
        </is>
      </c>
    </row>
    <row r="48" ht="20" customHeight="1">
      <c r="A48" s="57" t="n">
        <v>46288.78828043982</v>
      </c>
      <c r="B48" s="29" t="inlineStr">
        <is>
          <t>2. This Week (Last 7 Days)</t>
        </is>
      </c>
      <c r="C48" s="14" t="inlineStr">
        <is>
          <t>Meta Ads (NB PropertyTech Rental Ad 0408)</t>
        </is>
      </c>
      <c r="D48" s="14" t="inlineStr">
        <is>
          <t>We Two Friends Interested Gents (9426605655)</t>
        </is>
      </c>
      <c r="E48" s="14" t="inlineStr">
        <is>
          <t>Zeel Mudaliyar</t>
        </is>
      </c>
      <c r="F48" s="14" t="inlineStr">
        <is>
          <t>New</t>
        </is>
      </c>
      <c r="G48" s="14" t="inlineStr">
        <is>
          <t>Not Assigned</t>
        </is>
      </c>
      <c r="H48" s="14" t="inlineStr">
        <is>
          <t>N/A (Not Assigned)</t>
        </is>
      </c>
      <c r="I48" s="14" t="inlineStr">
        <is>
          <t>-</t>
        </is>
      </c>
    </row>
    <row r="49" ht="20" customHeight="1">
      <c r="A49" s="58" t="n">
        <v>46288.78827962963</v>
      </c>
      <c r="B49" s="28" t="inlineStr">
        <is>
          <t>2. This Week (Last 7 Days)</t>
        </is>
      </c>
      <c r="C49" s="17" t="inlineStr">
        <is>
          <t>Meta Ads (NB PropertyTech Rental Ad 0408)</t>
        </is>
      </c>
      <c r="D49" s="17" t="inlineStr">
        <is>
          <t>Rama Kant Sharma (9818406056)</t>
        </is>
      </c>
      <c r="E49" s="17" t="inlineStr">
        <is>
          <t>Zeel Mudaliyar</t>
        </is>
      </c>
      <c r="F49" s="17" t="inlineStr">
        <is>
          <t>New</t>
        </is>
      </c>
      <c r="G49" s="17" t="inlineStr">
        <is>
          <t>Not Assigned</t>
        </is>
      </c>
      <c r="H49" s="17" t="inlineStr">
        <is>
          <t>N/A (Not Assigned)</t>
        </is>
      </c>
      <c r="I49" s="17" t="inlineStr">
        <is>
          <t>-</t>
        </is>
      </c>
    </row>
    <row r="50" ht="20" customHeight="1">
      <c r="A50" s="57" t="n">
        <v>46288.78827869213</v>
      </c>
      <c r="B50" s="29" t="inlineStr">
        <is>
          <t>2. This Week (Last 7 Days)</t>
        </is>
      </c>
      <c r="C50" s="14" t="inlineStr">
        <is>
          <t>Meta Ads (NB PropertyTech Rental Ad 0408)</t>
        </is>
      </c>
      <c r="D50" s="14" t="inlineStr">
        <is>
          <t>P:) (8103848868)</t>
        </is>
      </c>
      <c r="E50" s="14" t="inlineStr">
        <is>
          <t>Prexa Vithalapara</t>
        </is>
      </c>
      <c r="F50" s="14" t="inlineStr">
        <is>
          <t>New</t>
        </is>
      </c>
      <c r="G50" s="14" t="inlineStr">
        <is>
          <t>Not Assigned</t>
        </is>
      </c>
      <c r="H50" s="14" t="inlineStr">
        <is>
          <t>N/A (Not Assigned)</t>
        </is>
      </c>
      <c r="I50" s="14" t="inlineStr">
        <is>
          <t>-</t>
        </is>
      </c>
    </row>
    <row r="51" ht="20" customHeight="1">
      <c r="A51" s="58" t="n">
        <v>46288.78827798611</v>
      </c>
      <c r="B51" s="28" t="inlineStr">
        <is>
          <t>2. This Week (Last 7 Days)</t>
        </is>
      </c>
      <c r="C51" s="17" t="inlineStr">
        <is>
          <t>Meta Ads (NB PropertyTech Rental Ad 0408)</t>
        </is>
      </c>
      <c r="D51" s="17" t="inlineStr">
        <is>
          <t>Nitin Chorasiya (7698856756)</t>
        </is>
      </c>
      <c r="E51" s="17" t="inlineStr">
        <is>
          <t>Zeel Mudaliyar</t>
        </is>
      </c>
      <c r="F51" s="17" t="inlineStr">
        <is>
          <t>New</t>
        </is>
      </c>
      <c r="G51" s="17" t="inlineStr">
        <is>
          <t>Not Assigned</t>
        </is>
      </c>
      <c r="H51" s="17" t="inlineStr">
        <is>
          <t>N/A (Not Assigned)</t>
        </is>
      </c>
      <c r="I51" s="17" t="inlineStr">
        <is>
          <t>-</t>
        </is>
      </c>
    </row>
    <row r="52" ht="20" customHeight="1">
      <c r="A52" s="57" t="n">
        <v>46288.78827697917</v>
      </c>
      <c r="B52" s="29" t="inlineStr">
        <is>
          <t>2. This Week (Last 7 Days)</t>
        </is>
      </c>
      <c r="C52" s="14" t="inlineStr">
        <is>
          <t>Meta Ads (NB PropertyTech Rental Ad 0408)</t>
        </is>
      </c>
      <c r="D52" s="14" t="inlineStr">
        <is>
          <t>Suresh Maharaj (9978954007)</t>
        </is>
      </c>
      <c r="E52" s="14" t="inlineStr">
        <is>
          <t>Zeel Mudaliyar</t>
        </is>
      </c>
      <c r="F52" s="14" t="inlineStr">
        <is>
          <t>New</t>
        </is>
      </c>
      <c r="G52" s="14" t="inlineStr">
        <is>
          <t>Not Assigned</t>
        </is>
      </c>
      <c r="H52" s="14" t="inlineStr">
        <is>
          <t>N/A (Not Assigned)</t>
        </is>
      </c>
      <c r="I52" s="14" t="inlineStr">
        <is>
          <t>-</t>
        </is>
      </c>
    </row>
    <row r="53" ht="20" customHeight="1">
      <c r="A53" s="58" t="n">
        <v>46288.78827605324</v>
      </c>
      <c r="B53" s="28" t="inlineStr">
        <is>
          <t>2. This Week (Last 7 Days)</t>
        </is>
      </c>
      <c r="C53" s="17" t="inlineStr">
        <is>
          <t>Meta Ads (NB PropertyTech Rental Ad 0408)</t>
        </is>
      </c>
      <c r="D53" s="17" t="inlineStr">
        <is>
          <t>Seema R Patadia (9824748462)</t>
        </is>
      </c>
      <c r="E53" s="17" t="inlineStr">
        <is>
          <t>Zeel Mudaliyar</t>
        </is>
      </c>
      <c r="F53" s="17" t="inlineStr">
        <is>
          <t>New</t>
        </is>
      </c>
      <c r="G53" s="17" t="inlineStr">
        <is>
          <t>Not Assigned</t>
        </is>
      </c>
      <c r="H53" s="17" t="inlineStr">
        <is>
          <t>N/A (Not Assigned)</t>
        </is>
      </c>
      <c r="I53" s="17" t="inlineStr">
        <is>
          <t>-</t>
        </is>
      </c>
    </row>
    <row r="54" ht="20" customHeight="1">
      <c r="A54" s="57" t="n">
        <v>46288.78827458333</v>
      </c>
      <c r="B54" s="29" t="inlineStr">
        <is>
          <t>2. This Week (Last 7 Days)</t>
        </is>
      </c>
      <c r="C54" s="14" t="inlineStr">
        <is>
          <t>Meta Ads (NB PropertyTech Rental Ad 0408)</t>
        </is>
      </c>
      <c r="D54" s="14" t="inlineStr">
        <is>
          <t>Sangita Raval (9429132428)</t>
        </is>
      </c>
      <c r="E54" s="14" t="inlineStr">
        <is>
          <t>Zeel Mudaliyar</t>
        </is>
      </c>
      <c r="F54" s="14" t="inlineStr">
        <is>
          <t>New</t>
        </is>
      </c>
      <c r="G54" s="14" t="inlineStr">
        <is>
          <t>Not Assigned</t>
        </is>
      </c>
      <c r="H54" s="14" t="inlineStr">
        <is>
          <t>N/A (Not Assigned)</t>
        </is>
      </c>
      <c r="I54" s="14" t="inlineStr">
        <is>
          <t>-</t>
        </is>
      </c>
    </row>
    <row r="55" ht="20" customHeight="1">
      <c r="A55" s="58" t="n">
        <v>46288.78827361111</v>
      </c>
      <c r="B55" s="28" t="inlineStr">
        <is>
          <t>2. This Week (Last 7 Days)</t>
        </is>
      </c>
      <c r="C55" s="17" t="inlineStr">
        <is>
          <t>Meta Ads (NB PropertyTech Rental Ad 0408)</t>
        </is>
      </c>
      <c r="D55" s="17" t="inlineStr">
        <is>
          <t>Chandan Kumar (8828099105)</t>
        </is>
      </c>
      <c r="E55" s="17" t="inlineStr">
        <is>
          <t>Zeel Mudaliyar</t>
        </is>
      </c>
      <c r="F55" s="17" t="inlineStr">
        <is>
          <t>New</t>
        </is>
      </c>
      <c r="G55" s="17" t="inlineStr">
        <is>
          <t>Not Assigned</t>
        </is>
      </c>
      <c r="H55" s="17" t="inlineStr">
        <is>
          <t>N/A (Not Assigned)</t>
        </is>
      </c>
      <c r="I55" s="17" t="inlineStr">
        <is>
          <t>-</t>
        </is>
      </c>
    </row>
    <row r="56" ht="20" customHeight="1">
      <c r="A56" s="57" t="n">
        <v>46288.78827266204</v>
      </c>
      <c r="B56" s="29" t="inlineStr">
        <is>
          <t>2. This Week (Last 7 Days)</t>
        </is>
      </c>
      <c r="C56" s="14" t="inlineStr">
        <is>
          <t>Meta Ads (NB PropertyTech Rental Ad 0408)</t>
        </is>
      </c>
      <c r="D56" s="14" t="inlineStr">
        <is>
          <t>Umesh (9727692211)</t>
        </is>
      </c>
      <c r="E56" s="14" t="inlineStr">
        <is>
          <t>Zeel Mudaliyar</t>
        </is>
      </c>
      <c r="F56" s="14" t="inlineStr">
        <is>
          <t>New</t>
        </is>
      </c>
      <c r="G56" s="14" t="inlineStr">
        <is>
          <t>Not Assigned</t>
        </is>
      </c>
      <c r="H56" s="14" t="inlineStr">
        <is>
          <t>N/A (Not Assigned)</t>
        </is>
      </c>
      <c r="I56" s="14" t="inlineStr">
        <is>
          <t>-</t>
        </is>
      </c>
    </row>
    <row r="57" ht="20" customHeight="1">
      <c r="A57" s="58" t="n">
        <v>46288.78827134259</v>
      </c>
      <c r="B57" s="28" t="inlineStr">
        <is>
          <t>2. This Week (Last 7 Days)</t>
        </is>
      </c>
      <c r="C57" s="17" t="inlineStr">
        <is>
          <t>Meta Ads (NB PropertyTech Rental Ad 0408)</t>
        </is>
      </c>
      <c r="D57" s="17" t="inlineStr">
        <is>
          <t>Jayesh Pandya (8780584456)</t>
        </is>
      </c>
      <c r="E57" s="17" t="inlineStr">
        <is>
          <t>Zeel Mudaliyar</t>
        </is>
      </c>
      <c r="F57" s="17" t="inlineStr">
        <is>
          <t>New</t>
        </is>
      </c>
      <c r="G57" s="17" t="inlineStr">
        <is>
          <t>Not Assigned</t>
        </is>
      </c>
      <c r="H57" s="17" t="inlineStr">
        <is>
          <t>N/A (Not Assigned)</t>
        </is>
      </c>
      <c r="I57" s="17" t="inlineStr">
        <is>
          <t>-</t>
        </is>
      </c>
    </row>
    <row r="58" ht="20" customHeight="1">
      <c r="A58" s="57" t="n">
        <v>46288.78827048611</v>
      </c>
      <c r="B58" s="29" t="inlineStr">
        <is>
          <t>2. This Week (Last 7 Days)</t>
        </is>
      </c>
      <c r="C58" s="14" t="inlineStr">
        <is>
          <t>Meta Ads (NB PropertyTech Rental Ad 0408)</t>
        </is>
      </c>
      <c r="D58" s="14" t="inlineStr">
        <is>
          <t>Manisha Patel (7507499777)</t>
        </is>
      </c>
      <c r="E58" s="14" t="inlineStr">
        <is>
          <t>Zeel Mudaliyar</t>
        </is>
      </c>
      <c r="F58" s="14" t="inlineStr">
        <is>
          <t>New</t>
        </is>
      </c>
      <c r="G58" s="14" t="inlineStr">
        <is>
          <t>Not Assigned</t>
        </is>
      </c>
      <c r="H58" s="14" t="inlineStr">
        <is>
          <t>N/A (Not Assigned)</t>
        </is>
      </c>
      <c r="I58" s="14" t="inlineStr">
        <is>
          <t>-</t>
        </is>
      </c>
    </row>
    <row r="59" ht="20" customHeight="1">
      <c r="A59" s="58" t="n">
        <v>46288.78826938658</v>
      </c>
      <c r="B59" s="28" t="inlineStr">
        <is>
          <t>2. This Week (Last 7 Days)</t>
        </is>
      </c>
      <c r="C59" s="17" t="inlineStr">
        <is>
          <t>Meta Ads (NB PropertyTech Rental Ad 0408)</t>
        </is>
      </c>
      <c r="D59" s="17" t="inlineStr">
        <is>
          <t>Rakeshbhai Somani (9426580992)</t>
        </is>
      </c>
      <c r="E59" s="17" t="inlineStr">
        <is>
          <t>Zeel Mudaliyar</t>
        </is>
      </c>
      <c r="F59" s="17" t="inlineStr">
        <is>
          <t>New</t>
        </is>
      </c>
      <c r="G59" s="17" t="inlineStr">
        <is>
          <t>Not Assigned</t>
        </is>
      </c>
      <c r="H59" s="17" t="inlineStr">
        <is>
          <t>N/A (Not Assigned)</t>
        </is>
      </c>
      <c r="I59" s="17" t="inlineStr">
        <is>
          <t>-</t>
        </is>
      </c>
    </row>
    <row r="60" ht="20" customHeight="1">
      <c r="A60" s="57" t="n">
        <v>46288.78826833333</v>
      </c>
      <c r="B60" s="29" t="inlineStr">
        <is>
          <t>2. This Week (Last 7 Days)</t>
        </is>
      </c>
      <c r="C60" s="14" t="inlineStr">
        <is>
          <t>Meta Ads (NB PropertyTech Rental Ad 0408)</t>
        </is>
      </c>
      <c r="D60" s="14" t="inlineStr">
        <is>
          <t>Dolly Singh (9428362284)</t>
        </is>
      </c>
      <c r="E60" s="14" t="inlineStr">
        <is>
          <t>Prexa Vithalapara</t>
        </is>
      </c>
      <c r="F60" s="14" t="inlineStr">
        <is>
          <t>New</t>
        </is>
      </c>
      <c r="G60" s="14" t="inlineStr">
        <is>
          <t>Not Assigned</t>
        </is>
      </c>
      <c r="H60" s="14" t="inlineStr">
        <is>
          <t>N/A (Not Assigned)</t>
        </is>
      </c>
      <c r="I60" s="14" t="inlineStr">
        <is>
          <t>-</t>
        </is>
      </c>
    </row>
    <row r="61" ht="20" customHeight="1">
      <c r="A61" s="58" t="n">
        <v>46288.78826695602</v>
      </c>
      <c r="B61" s="28" t="inlineStr">
        <is>
          <t>2. This Week (Last 7 Days)</t>
        </is>
      </c>
      <c r="C61" s="17" t="inlineStr">
        <is>
          <t>Meta Ads (NB PropertyTech Rental Ad 0408)</t>
        </is>
      </c>
      <c r="D61" s="17" t="inlineStr">
        <is>
          <t>Monica (6351721811)</t>
        </is>
      </c>
      <c r="E61" s="17" t="inlineStr">
        <is>
          <t>Zeel Mudaliyar</t>
        </is>
      </c>
      <c r="F61" s="17" t="inlineStr">
        <is>
          <t>New</t>
        </is>
      </c>
      <c r="G61" s="17" t="inlineStr">
        <is>
          <t>Not Assigned</t>
        </is>
      </c>
      <c r="H61" s="17" t="inlineStr">
        <is>
          <t>N/A (Not Assigned)</t>
        </is>
      </c>
      <c r="I61" s="17" t="inlineStr">
        <is>
          <t>-</t>
        </is>
      </c>
    </row>
    <row r="62" ht="20" customHeight="1">
      <c r="A62" s="57" t="n">
        <v>46288.78826549769</v>
      </c>
      <c r="B62" s="29" t="inlineStr">
        <is>
          <t>2. This Week (Last 7 Days)</t>
        </is>
      </c>
      <c r="C62" s="14" t="inlineStr">
        <is>
          <t>Meta Ads (NB PropertyTech Rental Ad 0408)</t>
        </is>
      </c>
      <c r="D62" s="14" t="inlineStr">
        <is>
          <t>M.f .haider (9473223637)</t>
        </is>
      </c>
      <c r="E62" s="14" t="inlineStr">
        <is>
          <t>Prexa Vithalapara</t>
        </is>
      </c>
      <c r="F62" s="14" t="inlineStr">
        <is>
          <t>New</t>
        </is>
      </c>
      <c r="G62" s="14" t="inlineStr">
        <is>
          <t>Not Assigned</t>
        </is>
      </c>
      <c r="H62" s="14" t="inlineStr">
        <is>
          <t>N/A (Not Assigned)</t>
        </is>
      </c>
      <c r="I62" s="14" t="inlineStr">
        <is>
          <t>-</t>
        </is>
      </c>
    </row>
    <row r="63" ht="20" customHeight="1">
      <c r="A63" s="58" t="n">
        <v>46288.78826436343</v>
      </c>
      <c r="B63" s="28" t="inlineStr">
        <is>
          <t>2. This Week (Last 7 Days)</t>
        </is>
      </c>
      <c r="C63" s="17" t="inlineStr">
        <is>
          <t>Meta Ads (NB PropertyTech Rental Ad 0408)</t>
        </is>
      </c>
      <c r="D63" s="17" t="inlineStr">
        <is>
          <t>Tushar Vara (9824053050)</t>
        </is>
      </c>
      <c r="E63" s="17" t="inlineStr">
        <is>
          <t>Zeel Mudaliyar</t>
        </is>
      </c>
      <c r="F63" s="17" t="inlineStr">
        <is>
          <t>New</t>
        </is>
      </c>
      <c r="G63" s="17" t="inlineStr">
        <is>
          <t>Not Assigned</t>
        </is>
      </c>
      <c r="H63" s="17" t="inlineStr">
        <is>
          <t>N/A (Not Assigned)</t>
        </is>
      </c>
      <c r="I63" s="17" t="inlineStr">
        <is>
          <t>-</t>
        </is>
      </c>
    </row>
    <row r="64" ht="20" customHeight="1">
      <c r="A64" s="57" t="n">
        <v>46288.78826293982</v>
      </c>
      <c r="B64" s="29" t="inlineStr">
        <is>
          <t>2. This Week (Last 7 Days)</t>
        </is>
      </c>
      <c r="C64" s="14" t="inlineStr">
        <is>
          <t>Meta Ads (NB PropertyTech Rental Ad 0408)</t>
        </is>
      </c>
      <c r="D64" s="14" t="inlineStr">
        <is>
          <t>Nirmal Hadiya (9662200711)</t>
        </is>
      </c>
      <c r="E64" s="14" t="inlineStr">
        <is>
          <t>Prexa Vithalapara</t>
        </is>
      </c>
      <c r="F64" s="14" t="inlineStr">
        <is>
          <t>New</t>
        </is>
      </c>
      <c r="G64" s="14" t="inlineStr">
        <is>
          <t>Not Assigned</t>
        </is>
      </c>
      <c r="H64" s="14" t="inlineStr">
        <is>
          <t>N/A (Not Assigned)</t>
        </is>
      </c>
      <c r="I64" s="14" t="inlineStr">
        <is>
          <t>-</t>
        </is>
      </c>
    </row>
    <row r="65" ht="20" customHeight="1">
      <c r="A65" s="58" t="n">
        <v>46288.78826193287</v>
      </c>
      <c r="B65" s="28" t="inlineStr">
        <is>
          <t>2. This Week (Last 7 Days)</t>
        </is>
      </c>
      <c r="C65" s="17" t="inlineStr">
        <is>
          <t>Meta Ads (NB PropertyTech Rental Ad 0408)</t>
        </is>
      </c>
      <c r="D65" s="17" t="inlineStr">
        <is>
          <t>Roshan Tiwari (8758830117)</t>
        </is>
      </c>
      <c r="E65" s="17" t="inlineStr">
        <is>
          <t>Prexa Vithalapara</t>
        </is>
      </c>
      <c r="F65" s="17" t="inlineStr">
        <is>
          <t>New</t>
        </is>
      </c>
      <c r="G65" s="17" t="inlineStr">
        <is>
          <t>Not Assigned</t>
        </is>
      </c>
      <c r="H65" s="17" t="inlineStr">
        <is>
          <t>N/A (Not Assigned)</t>
        </is>
      </c>
      <c r="I65" s="17" t="inlineStr">
        <is>
          <t>-</t>
        </is>
      </c>
    </row>
    <row r="66" ht="20" customHeight="1">
      <c r="A66" s="57" t="n">
        <v>46288.78826118055</v>
      </c>
      <c r="B66" s="29" t="inlineStr">
        <is>
          <t>2. This Week (Last 7 Days)</t>
        </is>
      </c>
      <c r="C66" s="14" t="inlineStr">
        <is>
          <t>Meta Ads (NB PropertyTech Rental Ad 0408)</t>
        </is>
      </c>
      <c r="D66" s="14" t="inlineStr">
        <is>
          <t>Bhavesh Shah (8305902158)</t>
        </is>
      </c>
      <c r="E66" s="14" t="inlineStr">
        <is>
          <t>Zeel Mudaliyar</t>
        </is>
      </c>
      <c r="F66" s="14" t="inlineStr">
        <is>
          <t>New</t>
        </is>
      </c>
      <c r="G66" s="14" t="inlineStr">
        <is>
          <t>Not Assigned</t>
        </is>
      </c>
      <c r="H66" s="14" t="inlineStr">
        <is>
          <t>N/A (Not Assigned)</t>
        </is>
      </c>
      <c r="I66" s="14" t="inlineStr">
        <is>
          <t>-</t>
        </is>
      </c>
    </row>
    <row r="67" ht="20" customHeight="1">
      <c r="A67" s="58" t="n">
        <v>46288.78826020833</v>
      </c>
      <c r="B67" s="28" t="inlineStr">
        <is>
          <t>2. This Week (Last 7 Days)</t>
        </is>
      </c>
      <c r="C67" s="17" t="inlineStr">
        <is>
          <t>Meta Ads (NB PropertyTech Rental Ad 0408)</t>
        </is>
      </c>
      <c r="D67" s="17" t="inlineStr">
        <is>
          <t>K I T T U (8469037586)</t>
        </is>
      </c>
      <c r="E67" s="17" t="inlineStr">
        <is>
          <t>Prexa Vithalapara</t>
        </is>
      </c>
      <c r="F67" s="17" t="inlineStr">
        <is>
          <t>New</t>
        </is>
      </c>
      <c r="G67" s="17" t="inlineStr">
        <is>
          <t>Not Assigned</t>
        </is>
      </c>
      <c r="H67" s="17" t="inlineStr">
        <is>
          <t>N/A (Not Assigned)</t>
        </is>
      </c>
      <c r="I67" s="17" t="inlineStr">
        <is>
          <t>-</t>
        </is>
      </c>
    </row>
    <row r="68" ht="20" customHeight="1">
      <c r="A68" s="57" t="n">
        <v>46288.78825920139</v>
      </c>
      <c r="B68" s="29" t="inlineStr">
        <is>
          <t>2. This Week (Last 7 Days)</t>
        </is>
      </c>
      <c r="C68" s="14" t="inlineStr">
        <is>
          <t>Meta Ads (NB PropertyTech Rental Ad 0408)</t>
        </is>
      </c>
      <c r="D68" s="14" t="inlineStr">
        <is>
          <t>Rajesh Kumar (7779049007)</t>
        </is>
      </c>
      <c r="E68" s="14" t="inlineStr">
        <is>
          <t>Zeel Mudaliyar</t>
        </is>
      </c>
      <c r="F68" s="14" t="inlineStr">
        <is>
          <t>New</t>
        </is>
      </c>
      <c r="G68" s="14" t="inlineStr">
        <is>
          <t>Not Assigned</t>
        </is>
      </c>
      <c r="H68" s="14" t="inlineStr">
        <is>
          <t>N/A (Not Assigned)</t>
        </is>
      </c>
      <c r="I68" s="14" t="inlineStr">
        <is>
          <t>-</t>
        </is>
      </c>
    </row>
    <row r="69" ht="20" customHeight="1">
      <c r="A69" s="58" t="n">
        <v>46288.78825825232</v>
      </c>
      <c r="B69" s="28" t="inlineStr">
        <is>
          <t>2. This Week (Last 7 Days)</t>
        </is>
      </c>
      <c r="C69" s="17" t="inlineStr">
        <is>
          <t>Meta Ads (NB PropertyTech Rental Ad 0408)</t>
        </is>
      </c>
      <c r="D69" s="17" t="inlineStr">
        <is>
          <t>Vanarajbharvad (9316438021)</t>
        </is>
      </c>
      <c r="E69" s="17" t="inlineStr">
        <is>
          <t>Prexa Vithalapara</t>
        </is>
      </c>
      <c r="F69" s="17" t="inlineStr">
        <is>
          <t>New</t>
        </is>
      </c>
      <c r="G69" s="17" t="inlineStr">
        <is>
          <t>Not Assigned</t>
        </is>
      </c>
      <c r="H69" s="17" t="inlineStr">
        <is>
          <t>N/A (Not Assigned)</t>
        </is>
      </c>
      <c r="I69" s="17" t="inlineStr">
        <is>
          <t>-</t>
        </is>
      </c>
    </row>
    <row r="70" ht="20" customHeight="1">
      <c r="A70" s="57" t="n">
        <v>46288.78825711805</v>
      </c>
      <c r="B70" s="29" t="inlineStr">
        <is>
          <t>2. This Week (Last 7 Days)</t>
        </is>
      </c>
      <c r="C70" s="14" t="inlineStr">
        <is>
          <t>Meta Ads (NB PropertyTech Rental Ad 0408)</t>
        </is>
      </c>
      <c r="D70" s="14" t="inlineStr">
        <is>
          <t>Anil Kumar Thakar (9825521655)</t>
        </is>
      </c>
      <c r="E70" s="14" t="inlineStr">
        <is>
          <t>Zeel Mudaliyar</t>
        </is>
      </c>
      <c r="F70" s="14" t="inlineStr">
        <is>
          <t>New</t>
        </is>
      </c>
      <c r="G70" s="14" t="inlineStr">
        <is>
          <t>Not Assigned</t>
        </is>
      </c>
      <c r="H70" s="14" t="inlineStr">
        <is>
          <t>N/A (Not Assigned)</t>
        </is>
      </c>
      <c r="I70" s="14" t="inlineStr">
        <is>
          <t>-</t>
        </is>
      </c>
    </row>
    <row r="71" ht="20" customHeight="1">
      <c r="A71" s="58" t="n">
        <v>46288.78825605324</v>
      </c>
      <c r="B71" s="28" t="inlineStr">
        <is>
          <t>2. This Week (Last 7 Days)</t>
        </is>
      </c>
      <c r="C71" s="17" t="inlineStr">
        <is>
          <t>Meta Ads (NB PropertyTech Rental Ad 0408)</t>
        </is>
      </c>
      <c r="D71" s="17" t="inlineStr">
        <is>
          <t>Kavisha Sanghvi (9586601198)</t>
        </is>
      </c>
      <c r="E71" s="17" t="inlineStr">
        <is>
          <t>Zeel Mudaliyar</t>
        </is>
      </c>
      <c r="F71" s="17" t="inlineStr">
        <is>
          <t>New</t>
        </is>
      </c>
      <c r="G71" s="17" t="inlineStr">
        <is>
          <t>Not Assigned</t>
        </is>
      </c>
      <c r="H71" s="17" t="inlineStr">
        <is>
          <t>N/A (Not Assigned)</t>
        </is>
      </c>
      <c r="I71" s="17" t="inlineStr">
        <is>
          <t>-</t>
        </is>
      </c>
    </row>
    <row r="72" ht="20" customHeight="1">
      <c r="A72" s="57" t="n">
        <v>46288.754169375</v>
      </c>
      <c r="B72" s="29" t="inlineStr">
        <is>
          <t>2. This Week (Last 7 Days)</t>
        </is>
      </c>
      <c r="C72" s="14" t="inlineStr">
        <is>
          <t>Meta Ads (NB PropertyTech Rental Ad 0408)</t>
        </is>
      </c>
      <c r="D72" s="14" t="inlineStr">
        <is>
          <t>Miss Tamang</t>
        </is>
      </c>
      <c r="E72" s="14" t="inlineStr">
        <is>
          <t>Zeel Mudaliyar</t>
        </is>
      </c>
      <c r="F72" s="14" t="inlineStr">
        <is>
          <t>New</t>
        </is>
      </c>
      <c r="G72" s="14" t="inlineStr">
        <is>
          <t>Not Assigned</t>
        </is>
      </c>
      <c r="H72" s="14" t="inlineStr">
        <is>
          <t>N/A (Not Assigned)</t>
        </is>
      </c>
      <c r="I72" s="14" t="inlineStr">
        <is>
          <t>-</t>
        </is>
      </c>
    </row>
    <row r="73" ht="20" customHeight="1">
      <c r="A73" s="58" t="n">
        <v>46288.73359813658</v>
      </c>
      <c r="B73" s="28" t="inlineStr">
        <is>
          <t>2. This Week (Last 7 Days)</t>
        </is>
      </c>
      <c r="C73" s="17" t="inlineStr">
        <is>
          <t>Housing.com (Nava Vadaj)</t>
        </is>
      </c>
      <c r="D73" s="17" t="inlineStr">
        <is>
          <t>Jignesh Raval (owner) (7435027180)</t>
        </is>
      </c>
      <c r="E73" s="17" t="inlineStr">
        <is>
          <t>Zeel Mudaliyar</t>
        </is>
      </c>
      <c r="F73" s="17" t="inlineStr">
        <is>
          <t>Callback Scheduled</t>
        </is>
      </c>
      <c r="G73" s="17" t="inlineStr">
        <is>
          <t>Not Assigned</t>
        </is>
      </c>
      <c r="H73" s="17" t="inlineStr">
        <is>
          <t>N/A (Not Assigned)</t>
        </is>
      </c>
      <c r="I73" s="17" t="inlineStr">
        <is>
          <t>Followup: CNR</t>
        </is>
      </c>
    </row>
    <row r="74" ht="20" customHeight="1">
      <c r="A74" s="57" t="n">
        <v>46288.49627270833</v>
      </c>
      <c r="B74" s="29" t="inlineStr">
        <is>
          <t>2. This Week (Last 7 Days)</t>
        </is>
      </c>
      <c r="C74" s="14" t="inlineStr">
        <is>
          <t>Meta Ads (Vaishno Devi Circle)</t>
        </is>
      </c>
      <c r="D74" s="14" t="inlineStr">
        <is>
          <t>Jay Rabari (owner) (6354351899)</t>
        </is>
      </c>
      <c r="E74" s="14" t="inlineStr">
        <is>
          <t>Zeel Mudaliyar</t>
        </is>
      </c>
      <c r="F74" s="14" t="inlineStr">
        <is>
          <t>Rejected / Lost</t>
        </is>
      </c>
      <c r="G74" s="14" t="inlineStr">
        <is>
          <t>Somel Rathod</t>
        </is>
      </c>
      <c r="H74" s="14" t="inlineStr">
        <is>
          <t>Rejected (Others)</t>
        </is>
      </c>
      <c r="I74" s="14" t="inlineStr">
        <is>
          <t>viaishandevi, 2bhk, 20k budget, semi furnished, family | Transfer: viaishandevi, 2bhk, 20k budget, semi furnished, family | Transfer Note: viaishandevi, 2bhk, 20k budget, semi furnished, family | Followup: CNR | CRM: [Telecaller Key Points]: viaishandevi, 2bhk, 20k budget, semi furnished, family | CRM Followup: CNR | [Telecaller Key Points]: viaishandevi, 2bhk, 20k budget, semi furnished, family</t>
        </is>
      </c>
    </row>
    <row r="75" ht="20" customHeight="1">
      <c r="A75" s="58" t="n">
        <v>46288.47175907408</v>
      </c>
      <c r="B75" s="28" t="inlineStr">
        <is>
          <t>2. This Week (Last 7 Days)</t>
        </is>
      </c>
      <c r="C75" s="17" t="inlineStr">
        <is>
          <t>Meta Ads (NB PropertyTech Survey Ad 3108)</t>
        </is>
      </c>
      <c r="D75" s="17" t="inlineStr">
        <is>
          <t>Seema R Patadia (9824748462)</t>
        </is>
      </c>
      <c r="E75" s="17" t="inlineStr">
        <is>
          <t>Zeel Mudaliyar</t>
        </is>
      </c>
      <c r="F75" s="17" t="inlineStr">
        <is>
          <t>Rejected (Not_Interested)</t>
        </is>
      </c>
      <c r="G75" s="17" t="inlineStr">
        <is>
          <t>Not Assigned</t>
        </is>
      </c>
      <c r="H75" s="17" t="inlineStr">
        <is>
          <t>N/A (Not Assigned)</t>
        </is>
      </c>
      <c r="I75" s="17" t="inlineStr">
        <is>
          <t>Not interested | Rejection: NOT_INTERESTED</t>
        </is>
      </c>
    </row>
    <row r="76" ht="20" customHeight="1">
      <c r="A76" s="57" t="n">
        <v>46288.36470151621</v>
      </c>
      <c r="B76" s="29" t="inlineStr">
        <is>
          <t>2. This Week (Last 7 Days)</t>
        </is>
      </c>
      <c r="C76" s="14" t="inlineStr">
        <is>
          <t>Housing.com (NB Pearl Heights)</t>
        </is>
      </c>
      <c r="D76" s="14" t="inlineStr">
        <is>
          <t>Jignesh Jadeja (owner) (9313203293)</t>
        </is>
      </c>
      <c r="E76" s="14" t="inlineStr">
        <is>
          <t>Zeel Mudaliyar</t>
        </is>
      </c>
      <c r="F76" s="14" t="inlineStr">
        <is>
          <t>CNR (Could Not Reach)</t>
        </is>
      </c>
      <c r="G76" s="14" t="inlineStr">
        <is>
          <t>Not Assigned</t>
        </is>
      </c>
      <c r="H76" s="14" t="inlineStr">
        <is>
          <t>N/A (Not Assigned)</t>
        </is>
      </c>
      <c r="I76" s="14" t="inlineStr">
        <is>
          <t>Transfer Note: Marked as CNR</t>
        </is>
      </c>
    </row>
    <row r="77" ht="20" customHeight="1">
      <c r="A77" s="58" t="n">
        <v>46287.80219564815</v>
      </c>
      <c r="B77" s="28" t="inlineStr">
        <is>
          <t>2. This Week (Last 7 Days)</t>
        </is>
      </c>
      <c r="C77" s="17" t="inlineStr">
        <is>
          <t>Housing.com (Vaishno Devi Circle)</t>
        </is>
      </c>
      <c r="D77" s="17" t="inlineStr">
        <is>
          <t>Jay Rabari (owner) (6354351899)</t>
        </is>
      </c>
      <c r="E77" s="17" t="inlineStr">
        <is>
          <t>Zeel Mudaliyar</t>
        </is>
      </c>
      <c r="F77" s="17" t="inlineStr">
        <is>
          <t>Sales</t>
        </is>
      </c>
      <c r="G77" s="17" t="inlineStr">
        <is>
          <t>Somel Rathod</t>
        </is>
      </c>
      <c r="H77" s="17" t="inlineStr">
        <is>
          <t>Rejected (Others)</t>
        </is>
      </c>
      <c r="I77" s="17" t="inlineStr">
        <is>
          <t>viaishandevi, 2bhk, 20k budget, semi furnished, family | Transfer: viaishandevi, 2bhk, 20k budget, semi furnished, family | Transfer Note: viaishandevi, 2bhk, 20k budget, semi furnished, family</t>
        </is>
      </c>
    </row>
    <row r="78" ht="20" customHeight="1">
      <c r="A78" s="57" t="n">
        <v>46287.58248141204</v>
      </c>
      <c r="B78" s="29" t="inlineStr">
        <is>
          <t>2. This Week (Last 7 Days)</t>
        </is>
      </c>
      <c r="C78" s="14" t="inlineStr">
        <is>
          <t>Webhook API (NB PropertyTech Rental Ad 0408)</t>
        </is>
      </c>
      <c r="D78" s="14" t="inlineStr">
        <is>
          <t>Kavisha Sanghvi (9586601198)</t>
        </is>
      </c>
      <c r="E78" s="14" t="inlineStr">
        <is>
          <t>Zeel Mudaliyar</t>
        </is>
      </c>
      <c r="F78" s="14" t="inlineStr">
        <is>
          <t>CNR (Could Not Reach)</t>
        </is>
      </c>
      <c r="G78" s="14" t="inlineStr">
        <is>
          <t>Not Assigned</t>
        </is>
      </c>
      <c r="H78" s="14" t="inlineStr">
        <is>
          <t>N/A (Not Assigned)</t>
        </is>
      </c>
      <c r="I78" s="14" t="inlineStr">
        <is>
          <t>-</t>
        </is>
      </c>
    </row>
    <row r="79" ht="20" customHeight="1">
      <c r="A79" s="58" t="n">
        <v>46287.58034131944</v>
      </c>
      <c r="B79" s="28" t="inlineStr">
        <is>
          <t>2. This Week (Last 7 Days)</t>
        </is>
      </c>
      <c r="C79" s="17" t="inlineStr">
        <is>
          <t>Webhook API (NB PropertyTech Rental Ad 0408)</t>
        </is>
      </c>
      <c r="D79" s="17" t="inlineStr">
        <is>
          <t>Anil Kumar Thakar (9825521655)</t>
        </is>
      </c>
      <c r="E79" s="17" t="inlineStr">
        <is>
          <t>Prexa Vithalapara</t>
        </is>
      </c>
      <c r="F79" s="17" t="inlineStr">
        <is>
          <t>CNR (Could Not Reach)</t>
        </is>
      </c>
      <c r="G79" s="17" t="inlineStr">
        <is>
          <t>Not Assigned</t>
        </is>
      </c>
      <c r="H79" s="17" t="inlineStr">
        <is>
          <t>N/A (Not Assigned)</t>
        </is>
      </c>
      <c r="I79" s="17" t="inlineStr">
        <is>
          <t>-</t>
        </is>
      </c>
    </row>
    <row r="80" ht="20" customHeight="1">
      <c r="A80" s="57" t="n">
        <v>46287.55485359954</v>
      </c>
      <c r="B80" s="29" t="inlineStr">
        <is>
          <t>2. This Week (Last 7 Days)</t>
        </is>
      </c>
      <c r="C80" s="14" t="inlineStr">
        <is>
          <t>Webhook API (NB PropertyTech Rental Ad 0408)</t>
        </is>
      </c>
      <c r="D80" s="14" t="inlineStr">
        <is>
          <t>Vanarajbharvad (9316438021)</t>
        </is>
      </c>
      <c r="E80" s="14" t="inlineStr">
        <is>
          <t>Zeel Mudaliyar</t>
        </is>
      </c>
      <c r="F80" s="14" t="inlineStr">
        <is>
          <t>Rejected (Not_Interested)</t>
        </is>
      </c>
      <c r="G80" s="14" t="inlineStr">
        <is>
          <t>Not Assigned</t>
        </is>
      </c>
      <c r="H80" s="14" t="inlineStr">
        <is>
          <t>N/A (Not Assigned)</t>
        </is>
      </c>
      <c r="I80" s="14" t="inlineStr">
        <is>
          <t>Requires Resale of 2 BHK with 30-35 Lakh budget | Rejection: NOT_INTERESTED | Followup: Wants to buy flat 2 bhk, 30-32 lakhs</t>
        </is>
      </c>
    </row>
    <row r="81" ht="20" customHeight="1">
      <c r="A81" s="58" t="n">
        <v>46287.46496678241</v>
      </c>
      <c r="B81" s="28" t="inlineStr">
        <is>
          <t>2. This Week (Last 7 Days)</t>
        </is>
      </c>
      <c r="C81" s="17" t="inlineStr">
        <is>
          <t>Webhook API (NB PropertyTech Rental Ad 0408)</t>
        </is>
      </c>
      <c r="D81" s="17" t="inlineStr">
        <is>
          <t>Rajesh Kumar (7779049007)</t>
        </is>
      </c>
      <c r="E81" s="17" t="inlineStr">
        <is>
          <t>Zeel Mudaliyar</t>
        </is>
      </c>
      <c r="F81" s="17" t="inlineStr">
        <is>
          <t>Rejected / Lost</t>
        </is>
      </c>
      <c r="G81" s="17" t="inlineStr">
        <is>
          <t>Not Assigned</t>
        </is>
      </c>
      <c r="H81" s="17" t="inlineStr">
        <is>
          <t>N/A (Not Assigned)</t>
        </is>
      </c>
      <c r="I81" s="17" t="inlineStr">
        <is>
          <t>-</t>
        </is>
      </c>
    </row>
    <row r="82" ht="20" customHeight="1">
      <c r="A82" s="57" t="n">
        <v>46287.44185909722</v>
      </c>
      <c r="B82" s="29" t="inlineStr">
        <is>
          <t>2. This Week (Last 7 Days)</t>
        </is>
      </c>
      <c r="C82" s="14" t="inlineStr">
        <is>
          <t>Webhook API (NB PropertyTech Rental Ad 0408)</t>
        </is>
      </c>
      <c r="D82" s="14" t="inlineStr">
        <is>
          <t>K I T T U (8469037586)</t>
        </is>
      </c>
      <c r="E82" s="14" t="inlineStr">
        <is>
          <t>Zeel Mudaliyar</t>
        </is>
      </c>
      <c r="F82" s="14" t="inlineStr">
        <is>
          <t>CNR (Could Not Reach)</t>
        </is>
      </c>
      <c r="G82" s="14" t="inlineStr">
        <is>
          <t>Not Assigned</t>
        </is>
      </c>
      <c r="H82" s="14" t="inlineStr">
        <is>
          <t>N/A (Not Assigned)</t>
        </is>
      </c>
      <c r="I82" s="14" t="inlineStr">
        <is>
          <t>-</t>
        </is>
      </c>
    </row>
    <row r="83" ht="20" customHeight="1">
      <c r="A83" s="58" t="n">
        <v>46287.0034358912</v>
      </c>
      <c r="B83" s="28" t="inlineStr">
        <is>
          <t>2. This Week (Last 7 Days)</t>
        </is>
      </c>
      <c r="C83" s="17" t="inlineStr">
        <is>
          <t>Webhook API (NB PropertyTech Rental Ad 0408)</t>
        </is>
      </c>
      <c r="D83" s="17" t="inlineStr">
        <is>
          <t>Bhavesh Shah (8305902158)</t>
        </is>
      </c>
      <c r="E83" s="17" t="inlineStr">
        <is>
          <t>Prexa Vithalapara</t>
        </is>
      </c>
      <c r="F83" s="17" t="inlineStr">
        <is>
          <t>CNR (Could Not Reach)</t>
        </is>
      </c>
      <c r="G83" s="17" t="inlineStr">
        <is>
          <t>Not Assigned</t>
        </is>
      </c>
      <c r="H83" s="17" t="inlineStr">
        <is>
          <t>N/A (Not Assigned)</t>
        </is>
      </c>
      <c r="I83" s="17" t="inlineStr">
        <is>
          <t>Transfer Note: Not picking up | Followup: call cut</t>
        </is>
      </c>
    </row>
    <row r="84" ht="20" customHeight="1">
      <c r="A84" s="57" t="n">
        <v>46286.91752491898</v>
      </c>
      <c r="B84" s="29" t="inlineStr">
        <is>
          <t>2. This Week (Last 7 Days)</t>
        </is>
      </c>
      <c r="C84" s="14" t="inlineStr">
        <is>
          <t>Webhook API (NB PropertyTech Rental Ad 0408)</t>
        </is>
      </c>
      <c r="D84" s="14" t="inlineStr">
        <is>
          <t>Roshan Tiwari (8758830117)</t>
        </is>
      </c>
      <c r="E84" s="14" t="inlineStr">
        <is>
          <t>Prexa Vithalapara</t>
        </is>
      </c>
      <c r="F84" s="14" t="inlineStr">
        <is>
          <t>Sales</t>
        </is>
      </c>
      <c r="G84" s="14" t="inlineStr">
        <is>
          <t>Viral Jadeja</t>
        </is>
      </c>
      <c r="H84" s="14" t="inlineStr">
        <is>
          <t>Assigned</t>
        </is>
      </c>
      <c r="I84" s="14" t="inlineStr">
        <is>
          <t>Required Commercial property (Retail shop), Location - Gota, Tragad, Vaishnodevi, !80-200 sq ft, Minimum budget is 20K, | Transfer: Required Commercial property (Retail shop), Location - Gota, Tragad, Vaishnodevi, !80-200 sq ft, Minimum budget is 20K, | Transfer Note: Required Commercial property (Retail shop), Location - Gota, Tragad, Vaishnodevi, !80-200 sq ft, Minimum budget is 20K,</t>
        </is>
      </c>
    </row>
    <row r="85" ht="20" customHeight="1">
      <c r="A85" s="58" t="n">
        <v>46286.87760046296</v>
      </c>
      <c r="B85" s="28" t="inlineStr">
        <is>
          <t>2. This Week (Last 7 Days)</t>
        </is>
      </c>
      <c r="C85" s="17" t="inlineStr">
        <is>
          <t>Webhook API (NB PropertyTech Rental Ad 0408)</t>
        </is>
      </c>
      <c r="D85" s="17" t="inlineStr">
        <is>
          <t>Tushar Vara (9824053050)</t>
        </is>
      </c>
      <c r="E85" s="17" t="inlineStr">
        <is>
          <t>Prexa Vithalapara</t>
        </is>
      </c>
      <c r="F85" s="17" t="inlineStr">
        <is>
          <t>New</t>
        </is>
      </c>
      <c r="G85" s="17" t="inlineStr">
        <is>
          <t>Not Assigned</t>
        </is>
      </c>
      <c r="H85" s="17" t="inlineStr">
        <is>
          <t>N/A (Not Assigned)</t>
        </is>
      </c>
      <c r="I85" s="17" t="inlineStr">
        <is>
          <t>Followup: Call again</t>
        </is>
      </c>
    </row>
    <row r="86" ht="20" customHeight="1">
      <c r="A86" s="57" t="n">
        <v>46286.75221116898</v>
      </c>
      <c r="B86" s="16" t="inlineStr">
        <is>
          <t>3. This Month (Sep 2026)</t>
        </is>
      </c>
      <c r="C86" s="14" t="inlineStr">
        <is>
          <t>Webhook API (NB PropertyTech Rental Ad 0408)</t>
        </is>
      </c>
      <c r="D86" s="14" t="inlineStr">
        <is>
          <t>M.f .haider (9473223637)</t>
        </is>
      </c>
      <c r="E86" s="14" t="inlineStr">
        <is>
          <t>Prexa Vithalapara</t>
        </is>
      </c>
      <c r="F86" s="14" t="inlineStr">
        <is>
          <t>Rejected / Lost</t>
        </is>
      </c>
      <c r="G86" s="14" t="inlineStr">
        <is>
          <t>Not Assigned</t>
        </is>
      </c>
      <c r="H86" s="14" t="inlineStr">
        <is>
          <t>N/A (Not Assigned)</t>
        </is>
      </c>
      <c r="I86" s="14" t="inlineStr">
        <is>
          <t>-</t>
        </is>
      </c>
    </row>
    <row r="87" ht="20" customHeight="1">
      <c r="A87" s="58" t="n">
        <v>46286.708153125</v>
      </c>
      <c r="B87" s="19" t="inlineStr">
        <is>
          <t>3. This Month (Sep 2026)</t>
        </is>
      </c>
      <c r="C87" s="17" t="inlineStr">
        <is>
          <t>Meta Ads (Jagatpur)</t>
        </is>
      </c>
      <c r="D87" s="17" t="inlineStr">
        <is>
          <t>Umang Hingu (owner) (9510306322)</t>
        </is>
      </c>
      <c r="E87" s="17" t="inlineStr">
        <is>
          <t>Zeel Mudaliyar</t>
        </is>
      </c>
      <c r="F87" s="17" t="inlineStr">
        <is>
          <t>Sales</t>
        </is>
      </c>
      <c r="G87" s="17" t="inlineStr">
        <is>
          <t>Rakesh Jadav</t>
        </is>
      </c>
      <c r="H87" s="17" t="inlineStr">
        <is>
          <t>Follow-Up</t>
        </is>
      </c>
      <c r="I87" s="17" t="inlineStr">
        <is>
          <t>Test | Transfer: Test | Transfer Note: Test | Followup: busy che 10 mminite ma call kre che/cnr | CRM: [Telecaller Key Points]: 20-30k budget , Near naroda , jodhpur , new ranip | CRM Followup: busy che 10 mminite ma call kre che/cnr | [Telecaller Key Points]: 20-30k budget , Near naroda , jodhpur , new ranip</t>
        </is>
      </c>
    </row>
    <row r="88" ht="20" customHeight="1">
      <c r="A88" s="57" t="n">
        <v>46286.64168106482</v>
      </c>
      <c r="B88" s="16" t="inlineStr">
        <is>
          <t>3. This Month (Sep 2026)</t>
        </is>
      </c>
      <c r="C88" s="14" t="inlineStr">
        <is>
          <t>Meta Ads (NB PropertyTech Rental Ad 0408)</t>
        </is>
      </c>
      <c r="D88" s="14" t="inlineStr">
        <is>
          <t>Sangita Raval (9429132428)</t>
        </is>
      </c>
      <c r="E88" s="14" t="inlineStr">
        <is>
          <t>Zeel Mudaliyar</t>
        </is>
      </c>
      <c r="F88" s="14" t="inlineStr">
        <is>
          <t>Sales</t>
        </is>
      </c>
      <c r="G88" s="14" t="inlineStr">
        <is>
          <t>Rajan Purani</t>
        </is>
      </c>
      <c r="H88" s="14" t="inlineStr">
        <is>
          <t>Rejected (Already Rented)</t>
        </is>
      </c>
      <c r="I88" s="14" t="inlineStr">
        <is>
          <t>Vstrapur, 3BHK, 25k budget, furnished, family | Transfer: Vstrapur, 3BHK, 25k budget, furnished, family | Transfer Note: Vstrapur, 3BHK, 25k budget, furnished, family | CRM: [Telecaller Key Points]: Vstrapur, 3BHK, 25k budget, furnished, family | [Telecaller Key Points]: Vstrapur, 3BHK, 25k budget, furnished, family</t>
        </is>
      </c>
    </row>
    <row r="89" ht="20" customHeight="1">
      <c r="A89" s="58" t="n">
        <v>46286.59828159722</v>
      </c>
      <c r="B89" s="19" t="inlineStr">
        <is>
          <t>3. This Month (Sep 2026)</t>
        </is>
      </c>
      <c r="C89" s="17" t="inlineStr">
        <is>
          <t>Webhook API (NB PropertyTech Rental Ad 0408)</t>
        </is>
      </c>
      <c r="D89" s="17" t="inlineStr">
        <is>
          <t>Monica (6351721811)</t>
        </is>
      </c>
      <c r="E89" s="17" t="inlineStr">
        <is>
          <t>Prexa Vithalapara</t>
        </is>
      </c>
      <c r="F89" s="17" t="inlineStr">
        <is>
          <t>Callback Scheduled</t>
        </is>
      </c>
      <c r="G89" s="17" t="inlineStr">
        <is>
          <t>Not Assigned</t>
        </is>
      </c>
      <c r="H89" s="17" t="inlineStr">
        <is>
          <t>N/A (Not Assigned)</t>
        </is>
      </c>
      <c r="I89" s="17" t="inlineStr">
        <is>
          <t>Followup: CNR</t>
        </is>
      </c>
    </row>
    <row r="90" ht="20" customHeight="1">
      <c r="A90" s="57" t="n">
        <v>46286.57679998843</v>
      </c>
      <c r="B90" s="16" t="inlineStr">
        <is>
          <t>3. This Month (Sep 2026)</t>
        </is>
      </c>
      <c r="C90" s="14" t="inlineStr">
        <is>
          <t>Webhook API (NB PropertyTech Rental Ad 0408)</t>
        </is>
      </c>
      <c r="D90" s="14" t="inlineStr">
        <is>
          <t>Dolly Singh (9428362284)</t>
        </is>
      </c>
      <c r="E90" s="14" t="inlineStr">
        <is>
          <t>Prexa Vithalapara</t>
        </is>
      </c>
      <c r="F90" s="14" t="inlineStr">
        <is>
          <t>Interested</t>
        </is>
      </c>
      <c r="G90" s="14" t="inlineStr">
        <is>
          <t>Not Assigned</t>
        </is>
      </c>
      <c r="H90" s="14" t="inlineStr">
        <is>
          <t>N/A (Not Assigned)</t>
        </is>
      </c>
      <c r="I90" s="14" t="inlineStr">
        <is>
          <t>-</t>
        </is>
      </c>
    </row>
    <row r="91" ht="20" customHeight="1">
      <c r="A91" s="58" t="n">
        <v>46286.57631269676</v>
      </c>
      <c r="B91" s="19" t="inlineStr">
        <is>
          <t>3. This Month (Sep 2026)</t>
        </is>
      </c>
      <c r="C91" s="17" t="inlineStr">
        <is>
          <t>Webhook API (NB PropertyTech Rental Ad 0408)</t>
        </is>
      </c>
      <c r="D91" s="17" t="inlineStr">
        <is>
          <t>Rakeshbhai Somani (9426580992)</t>
        </is>
      </c>
      <c r="E91" s="17" t="inlineStr">
        <is>
          <t>Prexa Vithalapara</t>
        </is>
      </c>
      <c r="F91" s="17" t="inlineStr">
        <is>
          <t>Callback Scheduled</t>
        </is>
      </c>
      <c r="G91" s="17" t="inlineStr">
        <is>
          <t>Not Assigned</t>
        </is>
      </c>
      <c r="H91" s="17" t="inlineStr">
        <is>
          <t>N/A (Not Assigned)</t>
        </is>
      </c>
      <c r="I91" s="17" t="inlineStr">
        <is>
          <t>Followup: CNR</t>
        </is>
      </c>
    </row>
    <row r="92" ht="20" customHeight="1">
      <c r="A92" s="57" t="n">
        <v>46286.55437253472</v>
      </c>
      <c r="B92" s="16" t="inlineStr">
        <is>
          <t>3. This Month (Sep 2026)</t>
        </is>
      </c>
      <c r="C92" s="14" t="inlineStr">
        <is>
          <t>Webhook API (NB PropertyTech Rental Ad 0408)</t>
        </is>
      </c>
      <c r="D92" s="14" t="inlineStr">
        <is>
          <t>Manisha Patel (7507499777)</t>
        </is>
      </c>
      <c r="E92" s="14" t="inlineStr">
        <is>
          <t>Prexa Vithalapara</t>
        </is>
      </c>
      <c r="F92" s="14" t="inlineStr">
        <is>
          <t>CNR (Could Not Reach)</t>
        </is>
      </c>
      <c r="G92" s="14" t="inlineStr">
        <is>
          <t>Not Assigned</t>
        </is>
      </c>
      <c r="H92" s="14" t="inlineStr">
        <is>
          <t>N/A (Not Assigned)</t>
        </is>
      </c>
      <c r="I92" s="14" t="inlineStr">
        <is>
          <t>Transfer Note: Marked as CNR | Followup: CNR</t>
        </is>
      </c>
    </row>
    <row r="93" ht="20" customHeight="1">
      <c r="A93" s="58" t="n">
        <v>46286.47091935185</v>
      </c>
      <c r="B93" s="19" t="inlineStr">
        <is>
          <t>3. This Month (Sep 2026)</t>
        </is>
      </c>
      <c r="C93" s="17" t="inlineStr">
        <is>
          <t>Webhook API (NB PropertyTech Rental Ad 0408)</t>
        </is>
      </c>
      <c r="D93" s="17" t="inlineStr">
        <is>
          <t>Jayesh Pandya (8780584456)</t>
        </is>
      </c>
      <c r="E93" s="17" t="inlineStr">
        <is>
          <t>Prexa Vithalapara</t>
        </is>
      </c>
      <c r="F93" s="17" t="inlineStr">
        <is>
          <t>Interested</t>
        </is>
      </c>
      <c r="G93" s="17" t="inlineStr">
        <is>
          <t>Not Assigned</t>
        </is>
      </c>
      <c r="H93" s="17" t="inlineStr">
        <is>
          <t>N/A (Not Assigned)</t>
        </is>
      </c>
      <c r="I93" s="17" t="inlineStr">
        <is>
          <t>-</t>
        </is>
      </c>
    </row>
    <row r="94" ht="20" customHeight="1">
      <c r="A94" s="57" t="n">
        <v>46286.38977373842</v>
      </c>
      <c r="B94" s="16" t="inlineStr">
        <is>
          <t>3. This Month (Sep 2026)</t>
        </is>
      </c>
      <c r="C94" s="14" t="inlineStr">
        <is>
          <t>Webhook API (NB PropertyTech Rental Ad 0408)</t>
        </is>
      </c>
      <c r="D94" s="14" t="inlineStr">
        <is>
          <t>Umesh (9727692211)</t>
        </is>
      </c>
      <c r="E94" s="14" t="inlineStr">
        <is>
          <t>Zeel Mudaliyar</t>
        </is>
      </c>
      <c r="F94" s="14" t="inlineStr">
        <is>
          <t>Rejected / Lost</t>
        </is>
      </c>
      <c r="G94" s="14" t="inlineStr">
        <is>
          <t>Not Assigned</t>
        </is>
      </c>
      <c r="H94" s="14" t="inlineStr">
        <is>
          <t>N/A (Not Assigned)</t>
        </is>
      </c>
      <c r="I94" s="14" t="inlineStr">
        <is>
          <t>-</t>
        </is>
      </c>
    </row>
    <row r="95" ht="20" customHeight="1">
      <c r="A95" s="58" t="n">
        <v>46286.35200335648</v>
      </c>
      <c r="B95" s="19" t="inlineStr">
        <is>
          <t>3. This Month (Sep 2026)</t>
        </is>
      </c>
      <c r="C95" s="17" t="inlineStr">
        <is>
          <t>Webhook API (NB PropertyTech Rental Ad 0408)</t>
        </is>
      </c>
      <c r="D95" s="17" t="inlineStr">
        <is>
          <t>Chandan Kumar (8828099105)</t>
        </is>
      </c>
      <c r="E95" s="17" t="inlineStr">
        <is>
          <t>Zeel Mudaliyar</t>
        </is>
      </c>
      <c r="F95" s="17" t="inlineStr">
        <is>
          <t>CNR (Could Not Reach)</t>
        </is>
      </c>
      <c r="G95" s="17" t="inlineStr">
        <is>
          <t>Not Assigned</t>
        </is>
      </c>
      <c r="H95" s="17" t="inlineStr">
        <is>
          <t>N/A (Not Assigned)</t>
        </is>
      </c>
      <c r="I95" s="17" t="inlineStr">
        <is>
          <t>-</t>
        </is>
      </c>
    </row>
    <row r="96" ht="20" customHeight="1">
      <c r="A96" s="57" t="n">
        <v>46286.24487793982</v>
      </c>
      <c r="B96" s="16" t="inlineStr">
        <is>
          <t>3. This Month (Sep 2026)</t>
        </is>
      </c>
      <c r="C96" s="14" t="inlineStr">
        <is>
          <t>Webhook API (NB PropertyTech Rental Ad 0408)</t>
        </is>
      </c>
      <c r="D96" s="14" t="inlineStr">
        <is>
          <t>Sangita Raval (9429132428)</t>
        </is>
      </c>
      <c r="E96" s="14" t="inlineStr">
        <is>
          <t>Zeel Mudaliyar</t>
        </is>
      </c>
      <c r="F96" s="14" t="inlineStr">
        <is>
          <t>Sales</t>
        </is>
      </c>
      <c r="G96" s="14" t="inlineStr">
        <is>
          <t>Rajan Purani</t>
        </is>
      </c>
      <c r="H96" s="14" t="inlineStr">
        <is>
          <t>Rejected (Already Rented)</t>
        </is>
      </c>
      <c r="I96" s="14" t="inlineStr">
        <is>
          <t>Vstrapur, 3BHK, 25k budget, furnished, family | Transfer: Vstrapur, 3BHK, 25k budget, furnished, family | Transfer Note: Vstrapur, 3BHK, 25k budget, furnished, family</t>
        </is>
      </c>
    </row>
    <row r="97" ht="20" customHeight="1">
      <c r="A97" s="58" t="n">
        <v>46285.96025896991</v>
      </c>
      <c r="B97" s="19" t="inlineStr">
        <is>
          <t>3. This Month (Sep 2026)</t>
        </is>
      </c>
      <c r="C97" s="17" t="inlineStr">
        <is>
          <t>Webhook API (NB PropertyTech Rental Ad 0408)</t>
        </is>
      </c>
      <c r="D97" s="17" t="inlineStr">
        <is>
          <t>Seema R Patadia (9824748462)</t>
        </is>
      </c>
      <c r="E97" s="17" t="inlineStr">
        <is>
          <t>Zeel Mudaliyar</t>
        </is>
      </c>
      <c r="F97" s="17" t="inlineStr">
        <is>
          <t>CNR (Could Not Reach)</t>
        </is>
      </c>
      <c r="G97" s="17" t="inlineStr">
        <is>
          <t>Not Assigned</t>
        </is>
      </c>
      <c r="H97" s="17" t="inlineStr">
        <is>
          <t>N/A (Not Assigned)</t>
        </is>
      </c>
      <c r="I97" s="17" t="inlineStr">
        <is>
          <t>-</t>
        </is>
      </c>
    </row>
    <row r="98" ht="20" customHeight="1">
      <c r="A98" s="57" t="n">
        <v>46285.94826596065</v>
      </c>
      <c r="B98" s="16" t="inlineStr">
        <is>
          <t>3. This Month (Sep 2026)</t>
        </is>
      </c>
      <c r="C98" s="14" t="inlineStr">
        <is>
          <t>Webhook API (NB PropertyTech Rental Ad 0408)</t>
        </is>
      </c>
      <c r="D98" s="14" t="inlineStr">
        <is>
          <t>Nitin Chorasiya (7698856756)</t>
        </is>
      </c>
      <c r="E98" s="14" t="inlineStr">
        <is>
          <t>Zeel Mudaliyar</t>
        </is>
      </c>
      <c r="F98" s="14" t="inlineStr">
        <is>
          <t>CNR (Could Not Reach)</t>
        </is>
      </c>
      <c r="G98" s="14" t="inlineStr">
        <is>
          <t>Not Assigned</t>
        </is>
      </c>
      <c r="H98" s="14" t="inlineStr">
        <is>
          <t>N/A (Not Assigned)</t>
        </is>
      </c>
      <c r="I98" s="14" t="inlineStr">
        <is>
          <t>-</t>
        </is>
      </c>
    </row>
    <row r="99" ht="20" customHeight="1">
      <c r="A99" s="58" t="n">
        <v>46285.94817075232</v>
      </c>
      <c r="B99" s="19" t="inlineStr">
        <is>
          <t>3. This Month (Sep 2026)</t>
        </is>
      </c>
      <c r="C99" s="17" t="inlineStr">
        <is>
          <t>Webhook API (NB PropertyTech Rental Ad 0408)</t>
        </is>
      </c>
      <c r="D99" s="17" t="inlineStr">
        <is>
          <t>Suresh Maharaj (9978954007)</t>
        </is>
      </c>
      <c r="E99" s="17" t="inlineStr">
        <is>
          <t>Zeel Mudaliyar</t>
        </is>
      </c>
      <c r="F99" s="17" t="inlineStr">
        <is>
          <t>Listed</t>
        </is>
      </c>
      <c r="G99" s="17" t="inlineStr">
        <is>
          <t>Not Assigned</t>
        </is>
      </c>
      <c r="H99" s="17" t="inlineStr">
        <is>
          <t>N/A (Not Assigned)</t>
        </is>
      </c>
      <c r="I99" s="17" t="inlineStr">
        <is>
          <t>-</t>
        </is>
      </c>
    </row>
    <row r="100" ht="20" customHeight="1">
      <c r="A100" s="57" t="n">
        <v>46285.73282244213</v>
      </c>
      <c r="B100" s="16" t="inlineStr">
        <is>
          <t>3. This Month (Sep 2026)</t>
        </is>
      </c>
      <c r="C100" s="14" t="inlineStr">
        <is>
          <t>Webhook API (NB PropertyTech Rental Ad 0408)</t>
        </is>
      </c>
      <c r="D100" s="14" t="inlineStr">
        <is>
          <t>P:) (8103848868)</t>
        </is>
      </c>
      <c r="E100" s="14" t="inlineStr">
        <is>
          <t>Zeel Mudaliyar</t>
        </is>
      </c>
      <c r="F100" s="14" t="inlineStr">
        <is>
          <t>CNR (Could Not Reach)</t>
        </is>
      </c>
      <c r="G100" s="14" t="inlineStr">
        <is>
          <t>Not Assigned</t>
        </is>
      </c>
      <c r="H100" s="14" t="inlineStr">
        <is>
          <t>N/A (Not Assigned)</t>
        </is>
      </c>
      <c r="I100" s="14" t="inlineStr">
        <is>
          <t>-</t>
        </is>
      </c>
    </row>
    <row r="101" ht="20" customHeight="1">
      <c r="A101" s="58" t="n">
        <v>46285.71056170139</v>
      </c>
      <c r="B101" s="19" t="inlineStr">
        <is>
          <t>3. This Month (Sep 2026)</t>
        </is>
      </c>
      <c r="C101" s="17" t="inlineStr">
        <is>
          <t>Webhook API (NB PropertyTech Rental Ad 0408)</t>
        </is>
      </c>
      <c r="D101" s="17" t="inlineStr">
        <is>
          <t>Rama Kant Sharma (9818406056)</t>
        </is>
      </c>
      <c r="E101" s="17" t="inlineStr">
        <is>
          <t>Zeel Mudaliyar</t>
        </is>
      </c>
      <c r="F101" s="17" t="inlineStr">
        <is>
          <t>Rejected / Lost</t>
        </is>
      </c>
      <c r="G101" s="17" t="inlineStr">
        <is>
          <t>Not Assigned</t>
        </is>
      </c>
      <c r="H101" s="17" t="inlineStr">
        <is>
          <t>N/A (Not Assigned)</t>
        </is>
      </c>
      <c r="I101" s="17" t="inlineStr">
        <is>
          <t>-</t>
        </is>
      </c>
    </row>
    <row r="102" ht="20" customHeight="1">
      <c r="A102" s="57" t="n">
        <v>46285.58711803241</v>
      </c>
      <c r="B102" s="16" t="inlineStr">
        <is>
          <t>3. This Month (Sep 2026)</t>
        </is>
      </c>
      <c r="C102" s="14" t="inlineStr">
        <is>
          <t>Webhook API (NB PropertyTech Rental Ad 0408)</t>
        </is>
      </c>
      <c r="D102" s="14" t="inlineStr">
        <is>
          <t>We Two Friends Interested Gents (9426605655)</t>
        </is>
      </c>
      <c r="E102" s="14" t="inlineStr">
        <is>
          <t>Zeel Mudaliyar</t>
        </is>
      </c>
      <c r="F102" s="14" t="inlineStr">
        <is>
          <t>CNR (Could Not Reach)</t>
        </is>
      </c>
      <c r="G102" s="14" t="inlineStr">
        <is>
          <t>Not Assigned</t>
        </is>
      </c>
      <c r="H102" s="14" t="inlineStr">
        <is>
          <t>N/A (Not Assigned)</t>
        </is>
      </c>
      <c r="I102" s="14" t="inlineStr">
        <is>
          <t>-</t>
        </is>
      </c>
    </row>
    <row r="103" ht="20" customHeight="1">
      <c r="A103" s="58" t="n">
        <v>46285.45054086806</v>
      </c>
      <c r="B103" s="19" t="inlineStr">
        <is>
          <t>3. This Month (Sep 2026)</t>
        </is>
      </c>
      <c r="C103" s="17" t="inlineStr">
        <is>
          <t>Webhook API (NB PropertyTech Rental Ad 0408)</t>
        </is>
      </c>
      <c r="D103" s="17" t="inlineStr">
        <is>
          <t>Alkesh Thakkar (9825259527)</t>
        </is>
      </c>
      <c r="E103" s="17" t="inlineStr">
        <is>
          <t>Zeel Mudaliyar</t>
        </is>
      </c>
      <c r="F103" s="17" t="inlineStr">
        <is>
          <t>Rejected / Lost</t>
        </is>
      </c>
      <c r="G103" s="17" t="inlineStr">
        <is>
          <t>Not Assigned</t>
        </is>
      </c>
      <c r="H103" s="17" t="inlineStr">
        <is>
          <t>N/A (Not Assigned)</t>
        </is>
      </c>
      <c r="I103" s="17" t="inlineStr">
        <is>
          <t>-</t>
        </is>
      </c>
    </row>
    <row r="104" ht="20" customHeight="1">
      <c r="A104" s="57" t="n">
        <v>46285.3933313426</v>
      </c>
      <c r="B104" s="16" t="inlineStr">
        <is>
          <t>3. This Month (Sep 2026)</t>
        </is>
      </c>
      <c r="C104" s="14" t="inlineStr">
        <is>
          <t>Webhook API (NB PropertyTech Rental Ad 0408)</t>
        </is>
      </c>
      <c r="D104" s="14" t="inlineStr">
        <is>
          <t>Mithu (9409715092)</t>
        </is>
      </c>
      <c r="E104" s="14" t="inlineStr">
        <is>
          <t>Zeel Mudaliyar</t>
        </is>
      </c>
      <c r="F104" s="14" t="inlineStr">
        <is>
          <t>Rejected (Not_Interested)</t>
        </is>
      </c>
      <c r="G104" s="14" t="inlineStr">
        <is>
          <t>Not Assigned</t>
        </is>
      </c>
      <c r="H104" s="14" t="inlineStr">
        <is>
          <t>N/A (Not Assigned)</t>
        </is>
      </c>
      <c r="I104" s="14" t="inlineStr">
        <is>
          <t>Already found rental flat | Rejection: NOT_INTERESTED | Followup: out of station so after call back</t>
        </is>
      </c>
    </row>
    <row r="105" ht="20" customHeight="1">
      <c r="A105" s="58" t="n">
        <v>46285.38789148148</v>
      </c>
      <c r="B105" s="19" t="inlineStr">
        <is>
          <t>3. This Month (Sep 2026)</t>
        </is>
      </c>
      <c r="C105" s="17" t="inlineStr">
        <is>
          <t>Webhook API (NB PropertyTech Rental Ad 0408)</t>
        </is>
      </c>
      <c r="D105" s="17" t="inlineStr">
        <is>
          <t>Harishanker Rajpurohit (9414534526)</t>
        </is>
      </c>
      <c r="E105" s="17" t="inlineStr">
        <is>
          <t>Zeel Mudaliyar</t>
        </is>
      </c>
      <c r="F105" s="17" t="inlineStr">
        <is>
          <t>CNR (Could Not Reach)</t>
        </is>
      </c>
      <c r="G105" s="17" t="inlineStr">
        <is>
          <t>Not Assigned</t>
        </is>
      </c>
      <c r="H105" s="17" t="inlineStr">
        <is>
          <t>N/A (Not Assigned)</t>
        </is>
      </c>
      <c r="I105" s="17" t="inlineStr">
        <is>
          <t>-</t>
        </is>
      </c>
    </row>
    <row r="106" ht="20" customHeight="1">
      <c r="A106" s="57" t="n">
        <v>46285.04592608797</v>
      </c>
      <c r="B106" s="16" t="inlineStr">
        <is>
          <t>3. This Month (Sep 2026)</t>
        </is>
      </c>
      <c r="C106" s="14" t="inlineStr">
        <is>
          <t>Webhook API (NB PropertyTech Rental Ad 0408)</t>
        </is>
      </c>
      <c r="D106" s="14" t="inlineStr">
        <is>
          <t>Sunil Kumar Suman (9328943683)</t>
        </is>
      </c>
      <c r="E106" s="14" t="inlineStr">
        <is>
          <t>Zeel Mudaliyar</t>
        </is>
      </c>
      <c r="F106" s="14" t="inlineStr">
        <is>
          <t>CNR (Could Not Reach)</t>
        </is>
      </c>
      <c r="G106" s="14" t="inlineStr">
        <is>
          <t>Not Assigned</t>
        </is>
      </c>
      <c r="H106" s="14" t="inlineStr">
        <is>
          <t>N/A (Not Assigned)</t>
        </is>
      </c>
      <c r="I106" s="14" t="inlineStr">
        <is>
          <t>-</t>
        </is>
      </c>
    </row>
    <row r="107" ht="20" customHeight="1">
      <c r="A107" s="58" t="n">
        <v>46284.94396084491</v>
      </c>
      <c r="B107" s="19" t="inlineStr">
        <is>
          <t>3. This Month (Sep 2026)</t>
        </is>
      </c>
      <c r="C107" s="17" t="inlineStr">
        <is>
          <t>Webhook API (NB PropertyTech Rental Ad 0408)</t>
        </is>
      </c>
      <c r="D107" s="17" t="inlineStr">
        <is>
          <t>Nishith Maheshwari (9926667797)</t>
        </is>
      </c>
      <c r="E107" s="17" t="inlineStr">
        <is>
          <t>Prexa Vithalapara</t>
        </is>
      </c>
      <c r="F107" s="17" t="inlineStr">
        <is>
          <t>Rejected (Not_Interested)</t>
        </is>
      </c>
      <c r="G107" s="17" t="inlineStr">
        <is>
          <t>Not Assigned</t>
        </is>
      </c>
      <c r="H107" s="17" t="inlineStr">
        <is>
          <t>N/A (Not Assigned)</t>
        </is>
      </c>
      <c r="I107" s="17" t="inlineStr">
        <is>
          <t>indore property | Rejection: NOT_INTERESTED</t>
        </is>
      </c>
    </row>
    <row r="108" ht="20" customHeight="1">
      <c r="A108" s="57" t="n">
        <v>46284.92951319445</v>
      </c>
      <c r="B108" s="16" t="inlineStr">
        <is>
          <t>3. This Month (Sep 2026)</t>
        </is>
      </c>
      <c r="C108" s="14" t="inlineStr">
        <is>
          <t>Webhook API (NB PropertyTech Rental Ad 0408)</t>
        </is>
      </c>
      <c r="D108" s="14" t="inlineStr">
        <is>
          <t>Neera Soni (8347758262)</t>
        </is>
      </c>
      <c r="E108" s="14" t="inlineStr">
        <is>
          <t>Zeel Mudaliyar</t>
        </is>
      </c>
      <c r="F108" s="14" t="inlineStr">
        <is>
          <t>Rejected / Lost</t>
        </is>
      </c>
      <c r="G108" s="14" t="inlineStr">
        <is>
          <t>Not Assigned</t>
        </is>
      </c>
      <c r="H108" s="14" t="inlineStr">
        <is>
          <t>N/A (Not Assigned)</t>
        </is>
      </c>
      <c r="I108" s="14" t="inlineStr">
        <is>
          <t>-</t>
        </is>
      </c>
    </row>
    <row r="109" ht="20" customHeight="1">
      <c r="A109" s="58" t="n">
        <v>46284.85124861111</v>
      </c>
      <c r="B109" s="19" t="inlineStr">
        <is>
          <t>3. This Month (Sep 2026)</t>
        </is>
      </c>
      <c r="C109" s="17" t="inlineStr">
        <is>
          <t>Webhook API (NB PropertyTech Rental Ad 0408)</t>
        </is>
      </c>
      <c r="D109" s="17" t="inlineStr">
        <is>
          <t>Girish Gohil (9909915052)</t>
        </is>
      </c>
      <c r="E109" s="17" t="inlineStr">
        <is>
          <t>Zeel Mudaliyar</t>
        </is>
      </c>
      <c r="F109" s="17" t="inlineStr">
        <is>
          <t>Listed</t>
        </is>
      </c>
      <c r="G109" s="17" t="inlineStr">
        <is>
          <t>Not Assigned</t>
        </is>
      </c>
      <c r="H109" s="17" t="inlineStr">
        <is>
          <t>N/A (Not Assigned)</t>
        </is>
      </c>
      <c r="I109" s="17" t="inlineStr">
        <is>
          <t>-</t>
        </is>
      </c>
    </row>
    <row r="110" ht="20" customHeight="1">
      <c r="A110" s="57" t="n">
        <v>46284.84770513889</v>
      </c>
      <c r="B110" s="16" t="inlineStr">
        <is>
          <t>3. This Month (Sep 2026)</t>
        </is>
      </c>
      <c r="C110" s="14" t="inlineStr">
        <is>
          <t>Webhook API (NB PropertyTech Rental Ad 0408)</t>
        </is>
      </c>
      <c r="D110" s="14" t="inlineStr">
        <is>
          <t>Paresh (9974833999)</t>
        </is>
      </c>
      <c r="E110" s="14" t="inlineStr">
        <is>
          <t>Zeel Mudaliyar</t>
        </is>
      </c>
      <c r="F110" s="14" t="inlineStr">
        <is>
          <t>Sales</t>
        </is>
      </c>
      <c r="G110" s="14" t="inlineStr">
        <is>
          <t>Somel Rathod</t>
        </is>
      </c>
      <c r="H110" s="14" t="inlineStr">
        <is>
          <t>Assigned / In Progress</t>
        </is>
      </c>
      <c r="I110" s="14" t="inlineStr">
        <is>
          <t>Testing | Transfer: Testing | Transfer Note: Testing</t>
        </is>
      </c>
    </row>
    <row r="111" ht="20" customHeight="1">
      <c r="A111" s="58" t="n">
        <v>46284.83996978009</v>
      </c>
      <c r="B111" s="19" t="inlineStr">
        <is>
          <t>3. This Month (Sep 2026)</t>
        </is>
      </c>
      <c r="C111" s="17" t="inlineStr">
        <is>
          <t>Webhook API (NB PropertyTech Rental Ad 0408)</t>
        </is>
      </c>
      <c r="D111" s="17" t="inlineStr">
        <is>
          <t>Kirit (9824949012)</t>
        </is>
      </c>
      <c r="E111" s="17" t="inlineStr">
        <is>
          <t>Prexa Vithalapara</t>
        </is>
      </c>
      <c r="F111" s="17" t="inlineStr">
        <is>
          <t>CNR (Could Not Reach)</t>
        </is>
      </c>
      <c r="G111" s="17" t="inlineStr">
        <is>
          <t>Not Assigned</t>
        </is>
      </c>
      <c r="H111" s="17" t="inlineStr">
        <is>
          <t>N/A (Not Assigned)</t>
        </is>
      </c>
      <c r="I111" s="17" t="inlineStr">
        <is>
          <t>-</t>
        </is>
      </c>
    </row>
    <row r="112" ht="20" customHeight="1">
      <c r="A112" s="57" t="n">
        <v>46284.82301431713</v>
      </c>
      <c r="B112" s="16" t="inlineStr">
        <is>
          <t>3. This Month (Sep 2026)</t>
        </is>
      </c>
      <c r="C112" s="14" t="inlineStr">
        <is>
          <t>Housing.com (Science City)</t>
        </is>
      </c>
      <c r="D112" s="14" t="inlineStr">
        <is>
          <t>Samir (owner) (8128499419)</t>
        </is>
      </c>
      <c r="E112" s="14" t="inlineStr">
        <is>
          <t>Zeel Mudaliyar</t>
        </is>
      </c>
      <c r="F112" s="14" t="inlineStr">
        <is>
          <t>CNR (Could Not Reach)</t>
        </is>
      </c>
      <c r="G112" s="14" t="inlineStr">
        <is>
          <t>Not Assigned</t>
        </is>
      </c>
      <c r="H112" s="14" t="inlineStr">
        <is>
          <t>N/A (Not Assigned)</t>
        </is>
      </c>
      <c r="I112" s="14" t="inlineStr">
        <is>
          <t>-</t>
        </is>
      </c>
    </row>
    <row r="113" ht="20" customHeight="1">
      <c r="A113" s="58" t="n">
        <v>46284.7295929051</v>
      </c>
      <c r="B113" s="19" t="inlineStr">
        <is>
          <t>3. This Month (Sep 2026)</t>
        </is>
      </c>
      <c r="C113" s="17" t="inlineStr">
        <is>
          <t>Webhook API (NB PropertyTech Rental Ad 0408)</t>
        </is>
      </c>
      <c r="D113" s="17" t="inlineStr">
        <is>
          <t>Desime Pringchi D Sangma (8974993723)</t>
        </is>
      </c>
      <c r="E113" s="17" t="inlineStr">
        <is>
          <t>Zeel Mudaliyar</t>
        </is>
      </c>
      <c r="F113" s="17" t="inlineStr">
        <is>
          <t>CNR (Could Not Reach)</t>
        </is>
      </c>
      <c r="G113" s="17" t="inlineStr">
        <is>
          <t>Not Assigned</t>
        </is>
      </c>
      <c r="H113" s="17" t="inlineStr">
        <is>
          <t>N/A (Not Assigned)</t>
        </is>
      </c>
      <c r="I113" s="17" t="inlineStr">
        <is>
          <t>-</t>
        </is>
      </c>
    </row>
    <row r="114" ht="20" customHeight="1">
      <c r="A114" s="57" t="n">
        <v>46284.67657744213</v>
      </c>
      <c r="B114" s="16" t="inlineStr">
        <is>
          <t>3. This Month (Sep 2026)</t>
        </is>
      </c>
      <c r="C114" s="14" t="inlineStr">
        <is>
          <t>Webhook API (NB PropertyTech Rental Ad 0408)</t>
        </is>
      </c>
      <c r="D114" s="14" t="inlineStr">
        <is>
          <t>Dipti Kher (9316176022)</t>
        </is>
      </c>
      <c r="E114" s="14" t="inlineStr">
        <is>
          <t>Prexa Vithalapara</t>
        </is>
      </c>
      <c r="F114" s="14" t="inlineStr">
        <is>
          <t>CNR (Could Not Reach)</t>
        </is>
      </c>
      <c r="G114" s="14" t="inlineStr">
        <is>
          <t>Not Assigned</t>
        </is>
      </c>
      <c r="H114" s="14" t="inlineStr">
        <is>
          <t>N/A (Not Assigned)</t>
        </is>
      </c>
      <c r="I114" s="14" t="inlineStr">
        <is>
          <t>Transfer Note: Marked as CNR</t>
        </is>
      </c>
    </row>
    <row r="115" ht="20" customHeight="1">
      <c r="A115" s="58" t="n">
        <v>46284.6384071875</v>
      </c>
      <c r="B115" s="19" t="inlineStr">
        <is>
          <t>3. This Month (Sep 2026)</t>
        </is>
      </c>
      <c r="C115" s="17" t="inlineStr">
        <is>
          <t>Housing.com (Jagatpur)</t>
        </is>
      </c>
      <c r="D115" s="17" t="inlineStr">
        <is>
          <t>Umang Hingu (owner) (9510306322)</t>
        </is>
      </c>
      <c r="E115" s="17" t="inlineStr">
        <is>
          <t>Zeel Mudaliyar</t>
        </is>
      </c>
      <c r="F115" s="17" t="inlineStr">
        <is>
          <t>Sales</t>
        </is>
      </c>
      <c r="G115" s="17" t="inlineStr">
        <is>
          <t>Rakesh Jadav</t>
        </is>
      </c>
      <c r="H115" s="17" t="inlineStr">
        <is>
          <t>Follow-Up</t>
        </is>
      </c>
      <c r="I115" s="17" t="inlineStr">
        <is>
          <t>Test | Transfer: Test | Transfer Note: Test</t>
        </is>
      </c>
    </row>
    <row r="116" ht="20" customHeight="1">
      <c r="A116" s="57" t="n">
        <v>46284.60182884259</v>
      </c>
      <c r="B116" s="16" t="inlineStr">
        <is>
          <t>3. This Month (Sep 2026)</t>
        </is>
      </c>
      <c r="C116" s="14" t="inlineStr">
        <is>
          <t>Webhook API (NB PropertyTech Rental Ad 0408)</t>
        </is>
      </c>
      <c r="D116" s="14" t="inlineStr">
        <is>
          <t>Rita Patel (9725449545)</t>
        </is>
      </c>
      <c r="E116" s="14" t="inlineStr">
        <is>
          <t>Zeel Mudaliyar</t>
        </is>
      </c>
      <c r="F116" s="14" t="inlineStr">
        <is>
          <t>Rejected / Lost</t>
        </is>
      </c>
      <c r="G116" s="14" t="inlineStr">
        <is>
          <t>Not Assigned</t>
        </is>
      </c>
      <c r="H116" s="14" t="inlineStr">
        <is>
          <t>N/A (Not Assigned)</t>
        </is>
      </c>
      <c r="I116" s="14" t="inlineStr">
        <is>
          <t>-</t>
        </is>
      </c>
    </row>
    <row r="117" ht="20" customHeight="1">
      <c r="A117" s="58" t="n">
        <v>46284.49353184028</v>
      </c>
      <c r="B117" s="19" t="inlineStr">
        <is>
          <t>3. This Month (Sep 2026)</t>
        </is>
      </c>
      <c r="C117" s="17" t="inlineStr">
        <is>
          <t>Webhook API (NB PropertyTech Rental Ad 0408)</t>
        </is>
      </c>
      <c r="D117" s="17" t="inlineStr">
        <is>
          <t>Jagdish Keshwani (7878223999)</t>
        </is>
      </c>
      <c r="E117" s="17" t="inlineStr">
        <is>
          <t>Zeel Mudaliyar</t>
        </is>
      </c>
      <c r="F117" s="17" t="inlineStr">
        <is>
          <t>CNR (Could Not Reach)</t>
        </is>
      </c>
      <c r="G117" s="17" t="inlineStr">
        <is>
          <t>Not Assigned</t>
        </is>
      </c>
      <c r="H117" s="17" t="inlineStr">
        <is>
          <t>N/A (Not Assigned)</t>
        </is>
      </c>
      <c r="I117" s="17" t="inlineStr">
        <is>
          <t>Transfer Note: Marked as CNR</t>
        </is>
      </c>
    </row>
    <row r="118" ht="20" customHeight="1">
      <c r="A118" s="57" t="n">
        <v>46284.47435555555</v>
      </c>
      <c r="B118" s="16" t="inlineStr">
        <is>
          <t>3. This Month (Sep 2026)</t>
        </is>
      </c>
      <c r="C118" s="14" t="inlineStr">
        <is>
          <t>Webhook API (NB PropertyTech Rental Ad 0408)</t>
        </is>
      </c>
      <c r="D118" s="14" t="inlineStr">
        <is>
          <t>Kshitish Mehta (9375521007)</t>
        </is>
      </c>
      <c r="E118" s="14" t="inlineStr">
        <is>
          <t>Prexa Vithalapara</t>
        </is>
      </c>
      <c r="F118" s="14" t="inlineStr">
        <is>
          <t>CNR (Could Not Reach)</t>
        </is>
      </c>
      <c r="G118" s="14" t="inlineStr">
        <is>
          <t>Not Assigned</t>
        </is>
      </c>
      <c r="H118" s="14" t="inlineStr">
        <is>
          <t>N/A (Not Assigned)</t>
        </is>
      </c>
      <c r="I118" s="14" t="inlineStr">
        <is>
          <t>-</t>
        </is>
      </c>
    </row>
    <row r="119" ht="20" customHeight="1">
      <c r="A119" s="58" t="n">
        <v>46284.37783403935</v>
      </c>
      <c r="B119" s="19" t="inlineStr">
        <is>
          <t>3. This Month (Sep 2026)</t>
        </is>
      </c>
      <c r="C119" s="17" t="inlineStr">
        <is>
          <t>Webhook API (NB PropertyTech Rental Ad 0408)</t>
        </is>
      </c>
      <c r="D119" s="17" t="inlineStr">
        <is>
          <t>Rajendra Pathak (9978916747)</t>
        </is>
      </c>
      <c r="E119" s="17" t="inlineStr">
        <is>
          <t>Zeel Mudaliyar</t>
        </is>
      </c>
      <c r="F119" s="17" t="inlineStr">
        <is>
          <t>Interested</t>
        </is>
      </c>
      <c r="G119" s="17" t="inlineStr">
        <is>
          <t>Not Assigned</t>
        </is>
      </c>
      <c r="H119" s="17" t="inlineStr">
        <is>
          <t>N/A (Not Assigned)</t>
        </is>
      </c>
      <c r="I119" s="17" t="inlineStr">
        <is>
          <t>Transfer Note: Marked as CNR</t>
        </is>
      </c>
    </row>
    <row r="120" ht="20" customHeight="1">
      <c r="A120" s="57" t="n">
        <v>46284.36755141204</v>
      </c>
      <c r="B120" s="16" t="inlineStr">
        <is>
          <t>3. This Month (Sep 2026)</t>
        </is>
      </c>
      <c r="C120" s="14" t="inlineStr">
        <is>
          <t>Webhook API (NB PropertyTech Rental Ad 0408)</t>
        </is>
      </c>
      <c r="D120" s="14" t="inlineStr">
        <is>
          <t>J M Gohel (8401812381)</t>
        </is>
      </c>
      <c r="E120" s="14" t="inlineStr">
        <is>
          <t>Unassigned</t>
        </is>
      </c>
      <c r="F120" s="14" t="inlineStr">
        <is>
          <t>CNR (Could Not Reach)</t>
        </is>
      </c>
      <c r="G120" s="14" t="inlineStr">
        <is>
          <t>Not Assigned</t>
        </is>
      </c>
      <c r="H120" s="14" t="inlineStr">
        <is>
          <t>N/A (Not Assigned)</t>
        </is>
      </c>
      <c r="I120" s="14" t="inlineStr">
        <is>
          <t>-</t>
        </is>
      </c>
    </row>
    <row r="121" ht="20" customHeight="1">
      <c r="A121" s="58" t="n">
        <v>46284.2847928125</v>
      </c>
      <c r="B121" s="19" t="inlineStr">
        <is>
          <t>3. This Month (Sep 2026)</t>
        </is>
      </c>
      <c r="C121" s="17" t="inlineStr">
        <is>
          <t>Webhook API (NB PropertyTech Rental Ad 0408)</t>
        </is>
      </c>
      <c r="D121" s="17" t="inlineStr">
        <is>
          <t>Raj (9330352754)</t>
        </is>
      </c>
      <c r="E121" s="17" t="inlineStr">
        <is>
          <t>Zeel Mudaliyar</t>
        </is>
      </c>
      <c r="F121" s="17" t="inlineStr">
        <is>
          <t>Interested</t>
        </is>
      </c>
      <c r="G121" s="17" t="inlineStr">
        <is>
          <t>Not Assigned</t>
        </is>
      </c>
      <c r="H121" s="17" t="inlineStr">
        <is>
          <t>N/A (Not Assigned)</t>
        </is>
      </c>
      <c r="I121" s="17" t="inlineStr">
        <is>
          <t>Transfer Note: Marked as CNR | Followup: Gota science city, 2BHK, furnished, 20k budget</t>
        </is>
      </c>
    </row>
    <row r="122" ht="20" customHeight="1">
      <c r="A122" s="57" t="n">
        <v>46284.05665262732</v>
      </c>
      <c r="B122" s="16" t="inlineStr">
        <is>
          <t>3. This Month (Sep 2026)</t>
        </is>
      </c>
      <c r="C122" s="14" t="inlineStr">
        <is>
          <t>Webhook API (NB PropertyTech Rental Ad 0408)</t>
        </is>
      </c>
      <c r="D122" s="14" t="inlineStr">
        <is>
          <t>Darsh Thakar (9510191060)</t>
        </is>
      </c>
      <c r="E122" s="14" t="inlineStr">
        <is>
          <t>Prexa Vithalapara</t>
        </is>
      </c>
      <c r="F122" s="14" t="inlineStr">
        <is>
          <t>Interested</t>
        </is>
      </c>
      <c r="G122" s="14" t="inlineStr">
        <is>
          <t>Not Assigned</t>
        </is>
      </c>
      <c r="H122" s="14" t="inlineStr">
        <is>
          <t>N/A (Not Assigned)</t>
        </is>
      </c>
      <c r="I122" s="14" t="inlineStr">
        <is>
          <t>-</t>
        </is>
      </c>
    </row>
    <row r="123" ht="20" customHeight="1">
      <c r="A123" s="58" t="n">
        <v>46284.00865357639</v>
      </c>
      <c r="B123" s="19" t="inlineStr">
        <is>
          <t>3. This Month (Sep 2026)</t>
        </is>
      </c>
      <c r="C123" s="17" t="inlineStr">
        <is>
          <t>Webhook API (NB PropertyTech Rental Ad 0408)</t>
        </is>
      </c>
      <c r="D123" s="17" t="inlineStr">
        <is>
          <t>Vipul Darji (9913363639)</t>
        </is>
      </c>
      <c r="E123" s="17" t="inlineStr">
        <is>
          <t>Prexa Vithalapara</t>
        </is>
      </c>
      <c r="F123" s="17" t="inlineStr">
        <is>
          <t>Interested</t>
        </is>
      </c>
      <c r="G123" s="17" t="inlineStr">
        <is>
          <t>Not Assigned</t>
        </is>
      </c>
      <c r="H123" s="17" t="inlineStr">
        <is>
          <t>N/A (Not Assigned)</t>
        </is>
      </c>
      <c r="I123" s="17" t="inlineStr">
        <is>
          <t>Transfer Note: Marked as CNR</t>
        </is>
      </c>
    </row>
    <row r="124" ht="20" customHeight="1">
      <c r="A124" s="57" t="n">
        <v>46283.86709239583</v>
      </c>
      <c r="B124" s="16" t="inlineStr">
        <is>
          <t>3. This Month (Sep 2026)</t>
        </is>
      </c>
      <c r="C124" s="14" t="inlineStr">
        <is>
          <t>Webhook API (NB PropertyTech Rental Ad 0408)</t>
        </is>
      </c>
      <c r="D124" s="14" t="inlineStr">
        <is>
          <t>Rashmikant Shah (9825455947)</t>
        </is>
      </c>
      <c r="E124" s="14" t="inlineStr">
        <is>
          <t>Zeel Mudaliyar</t>
        </is>
      </c>
      <c r="F124" s="14" t="inlineStr">
        <is>
          <t>Rejected (Not_Interested)</t>
        </is>
      </c>
      <c r="G124" s="14" t="inlineStr">
        <is>
          <t>Not Assigned</t>
        </is>
      </c>
      <c r="H124" s="14" t="inlineStr">
        <is>
          <t>N/A (Not Assigned)</t>
        </is>
      </c>
      <c r="I124" s="14" t="inlineStr">
        <is>
          <t>Location Mismatch | Rejection: NOT_INTERESTED</t>
        </is>
      </c>
    </row>
    <row r="125" ht="20" customHeight="1">
      <c r="A125" s="58" t="n">
        <v>46283.82341219908</v>
      </c>
      <c r="B125" s="19" t="inlineStr">
        <is>
          <t>3. This Month (Sep 2026)</t>
        </is>
      </c>
      <c r="C125" s="17" t="inlineStr">
        <is>
          <t>Webhook API (NB PropertyTech Rental Ad 0408)</t>
        </is>
      </c>
      <c r="D125" s="17" t="inlineStr">
        <is>
          <t>Janak Pandya (9427493615)</t>
        </is>
      </c>
      <c r="E125" s="17" t="inlineStr">
        <is>
          <t>Unassigned</t>
        </is>
      </c>
      <c r="F125" s="17" t="inlineStr">
        <is>
          <t>CNR (Could Not Reach)</t>
        </is>
      </c>
      <c r="G125" s="17" t="inlineStr">
        <is>
          <t>Not Assigned</t>
        </is>
      </c>
      <c r="H125" s="17" t="inlineStr">
        <is>
          <t>N/A (Not Assigned)</t>
        </is>
      </c>
      <c r="I125" s="17" t="inlineStr">
        <is>
          <t>-</t>
        </is>
      </c>
    </row>
    <row r="126" ht="20" customHeight="1">
      <c r="A126" s="57" t="n">
        <v>46283.818714375</v>
      </c>
      <c r="B126" s="16" t="inlineStr">
        <is>
          <t>3. This Month (Sep 2026)</t>
        </is>
      </c>
      <c r="C126" s="14" t="inlineStr">
        <is>
          <t>Webhook API (NB PropertyTech Rental Ad 0408)</t>
        </is>
      </c>
      <c r="D126" s="14" t="inlineStr">
        <is>
          <t>Rajendra Jadav (9879160888)</t>
        </is>
      </c>
      <c r="E126" s="14" t="inlineStr">
        <is>
          <t>Prexa Vithalapara</t>
        </is>
      </c>
      <c r="F126" s="14" t="inlineStr">
        <is>
          <t>Listed</t>
        </is>
      </c>
      <c r="G126" s="14" t="inlineStr">
        <is>
          <t>Not Assigned</t>
        </is>
      </c>
      <c r="H126" s="14" t="inlineStr">
        <is>
          <t>N/A (Not Assigned)</t>
        </is>
      </c>
      <c r="I126" s="14" t="inlineStr">
        <is>
          <t>Property Remark: 2 months deposit and pay advanvce rent every month</t>
        </is>
      </c>
    </row>
    <row r="127" ht="20" customHeight="1">
      <c r="A127" s="58" t="n">
        <v>46283.65891567129</v>
      </c>
      <c r="B127" s="19" t="inlineStr">
        <is>
          <t>3. This Month (Sep 2026)</t>
        </is>
      </c>
      <c r="C127" s="17" t="inlineStr">
        <is>
          <t>Webhook API (NB PropertyTech Rental Ad 0408)</t>
        </is>
      </c>
      <c r="D127" s="17" t="inlineStr">
        <is>
          <t>Chetan Ghediya (8734811158)</t>
        </is>
      </c>
      <c r="E127" s="17" t="inlineStr">
        <is>
          <t>Prexa Vithalapara</t>
        </is>
      </c>
      <c r="F127" s="17" t="inlineStr">
        <is>
          <t>Interested</t>
        </is>
      </c>
      <c r="G127" s="17" t="inlineStr">
        <is>
          <t>Not Assigned</t>
        </is>
      </c>
      <c r="H127" s="17" t="inlineStr">
        <is>
          <t>N/A (Not Assigned)</t>
        </is>
      </c>
      <c r="I127" s="17" t="inlineStr">
        <is>
          <t>Property Remark: Also Available for Bachelors</t>
        </is>
      </c>
    </row>
    <row r="128" ht="20" customHeight="1">
      <c r="A128" s="57" t="n">
        <v>46283.62055524305</v>
      </c>
      <c r="B128" s="16" t="inlineStr">
        <is>
          <t>3. This Month (Sep 2026)</t>
        </is>
      </c>
      <c r="C128" s="14" t="inlineStr">
        <is>
          <t>Housing.com (South Bopal)</t>
        </is>
      </c>
      <c r="D128" s="14" t="inlineStr">
        <is>
          <t>Ashray Reality (8347946809)</t>
        </is>
      </c>
      <c r="E128" s="14" t="inlineStr">
        <is>
          <t>Zeel Mudaliyar</t>
        </is>
      </c>
      <c r="F128" s="14" t="inlineStr">
        <is>
          <t>Rejected (Not_Interested)</t>
        </is>
      </c>
      <c r="G128" s="14" t="inlineStr">
        <is>
          <t>Not Assigned</t>
        </is>
      </c>
      <c r="H128" s="14" t="inlineStr">
        <is>
          <t>N/A (Not Assigned)</t>
        </is>
      </c>
      <c r="I128" s="14" t="inlineStr">
        <is>
          <t>Broker | Rejection: NOT_INTERESTED | Followup: Wants to buy commercial property (Broker)</t>
        </is>
      </c>
    </row>
    <row r="129" ht="20" customHeight="1">
      <c r="A129" s="58" t="n">
        <v>46283.62050796297</v>
      </c>
      <c r="B129" s="19" t="inlineStr">
        <is>
          <t>3. This Month (Sep 2026)</t>
        </is>
      </c>
      <c r="C129" s="17" t="inlineStr">
        <is>
          <t>Housing.com (Chanakyapuri)</t>
        </is>
      </c>
      <c r="D129" s="17" t="inlineStr">
        <is>
          <t>Ramesh Singh (owner) (9909597172)</t>
        </is>
      </c>
      <c r="E129" s="17" t="inlineStr">
        <is>
          <t>Zeel Mudaliyar</t>
        </is>
      </c>
      <c r="F129" s="17" t="inlineStr">
        <is>
          <t>Callback Scheduled</t>
        </is>
      </c>
      <c r="G129" s="17" t="inlineStr">
        <is>
          <t>Not Assigned</t>
        </is>
      </c>
      <c r="H129" s="17" t="inlineStr">
        <is>
          <t>N/A (Not Assigned)</t>
        </is>
      </c>
      <c r="I129" s="17" t="inlineStr">
        <is>
          <t>Followup: Busy</t>
        </is>
      </c>
    </row>
    <row r="130" ht="20" customHeight="1">
      <c r="A130" s="57" t="n">
        <v>46283.6204844213</v>
      </c>
      <c r="B130" s="16" t="inlineStr">
        <is>
          <t>3. This Month (Sep 2026)</t>
        </is>
      </c>
      <c r="C130" s="14" t="inlineStr">
        <is>
          <t>Housing.com (Koba)</t>
        </is>
      </c>
      <c r="D130" s="14" t="inlineStr">
        <is>
          <t>Mahendra Bharva (owner) (9825356806)</t>
        </is>
      </c>
      <c r="E130" s="14" t="inlineStr">
        <is>
          <t>Zeel Mudaliyar</t>
        </is>
      </c>
      <c r="F130" s="14" t="inlineStr">
        <is>
          <t>Callback Scheduled</t>
        </is>
      </c>
      <c r="G130" s="14" t="inlineStr">
        <is>
          <t>Not Assigned</t>
        </is>
      </c>
      <c r="H130" s="14" t="inlineStr">
        <is>
          <t>N/A (Not Assigned)</t>
        </is>
      </c>
      <c r="I130" s="14" t="inlineStr">
        <is>
          <t>Followup: Call Not Received</t>
        </is>
      </c>
    </row>
    <row r="131" ht="20" customHeight="1">
      <c r="A131" s="58" t="n">
        <v>46283.62046537037</v>
      </c>
      <c r="B131" s="19" t="inlineStr">
        <is>
          <t>3. This Month (Sep 2026)</t>
        </is>
      </c>
      <c r="C131" s="17" t="inlineStr">
        <is>
          <t>Housing.com (Science City)</t>
        </is>
      </c>
      <c r="D131" s="17" t="inlineStr">
        <is>
          <t>Ravi Patel (owner) (9824369349)</t>
        </is>
      </c>
      <c r="E131" s="17" t="inlineStr">
        <is>
          <t>Zeel Mudaliyar</t>
        </is>
      </c>
      <c r="F131" s="17" t="inlineStr">
        <is>
          <t>Rejected (Not_Interested)</t>
        </is>
      </c>
      <c r="G131" s="17" t="inlineStr">
        <is>
          <t>Not Assigned</t>
        </is>
      </c>
      <c r="H131" s="17" t="inlineStr">
        <is>
          <t>N/A (Not Assigned)</t>
        </is>
      </c>
      <c r="I131" s="17" t="inlineStr">
        <is>
          <t>Looking for PG | Rejection: NOT_INTERESTED</t>
        </is>
      </c>
    </row>
    <row r="132" ht="20" customHeight="1">
      <c r="A132" s="57" t="n">
        <v>46283.61543840278</v>
      </c>
      <c r="B132" s="16" t="inlineStr">
        <is>
          <t>3. This Month (Sep 2026)</t>
        </is>
      </c>
      <c r="C132" s="14" t="inlineStr">
        <is>
          <t>Webhook API (NB PropertyTech Rental Ad 0408)</t>
        </is>
      </c>
      <c r="D132" s="14" t="inlineStr">
        <is>
          <t>Bhavik Kareliya (9824143858)</t>
        </is>
      </c>
      <c r="E132" s="14" t="inlineStr">
        <is>
          <t>Zeel Mudaliyar</t>
        </is>
      </c>
      <c r="F132" s="14" t="inlineStr">
        <is>
          <t>Listed</t>
        </is>
      </c>
      <c r="G132" s="14" t="inlineStr">
        <is>
          <t>Not Assigned</t>
        </is>
      </c>
      <c r="H132" s="14" t="inlineStr">
        <is>
          <t>N/A (Not Assigned)</t>
        </is>
      </c>
      <c r="I132" s="14" t="inlineStr">
        <is>
          <t>-</t>
        </is>
      </c>
    </row>
    <row r="133" ht="20" customHeight="1">
      <c r="A133" s="58" t="n">
        <v>46283.61526833333</v>
      </c>
      <c r="B133" s="19" t="inlineStr">
        <is>
          <t>3. This Month (Sep 2026)</t>
        </is>
      </c>
      <c r="C133" s="17" t="inlineStr">
        <is>
          <t>Webhook API (NB PropertyTech Rental Ad 0408)</t>
        </is>
      </c>
      <c r="D133" s="17" t="inlineStr">
        <is>
          <t>Sanjay Sharma (9825011441)</t>
        </is>
      </c>
      <c r="E133" s="17" t="inlineStr">
        <is>
          <t>Unassigned</t>
        </is>
      </c>
      <c r="F133" s="17" t="inlineStr">
        <is>
          <t>CNR (Could Not Reach)</t>
        </is>
      </c>
      <c r="G133" s="17" t="inlineStr">
        <is>
          <t>Not Assigned</t>
        </is>
      </c>
      <c r="H133" s="17" t="inlineStr">
        <is>
          <t>N/A (Not Assigned)</t>
        </is>
      </c>
      <c r="I133" s="17" t="inlineStr">
        <is>
          <t>-</t>
        </is>
      </c>
    </row>
    <row r="134" ht="20" customHeight="1">
      <c r="A134" s="57" t="n">
        <v>46281.2400668287</v>
      </c>
      <c r="B134" s="16" t="inlineStr">
        <is>
          <t>3. This Month (Sep 2026)</t>
        </is>
      </c>
      <c r="C134" s="14" t="inlineStr">
        <is>
          <t>Webhook API (NB PropertyTech Rental Ad 0408)</t>
        </is>
      </c>
      <c r="D134" s="14" t="inlineStr">
        <is>
          <t>Birva Dave (7575872109)</t>
        </is>
      </c>
      <c r="E134" s="14" t="inlineStr">
        <is>
          <t>Prexa Vithalapara</t>
        </is>
      </c>
      <c r="F134" s="14" t="inlineStr">
        <is>
          <t>Rejected / Lost</t>
        </is>
      </c>
      <c r="G134" s="14" t="inlineStr">
        <is>
          <t>Rajan Purani</t>
        </is>
      </c>
      <c r="H134" s="14" t="inlineStr">
        <is>
          <t>Rejected (No Requirement)</t>
        </is>
      </c>
      <c r="I134" s="14" t="inlineStr">
        <is>
          <t>[Telecaller Key Points]: not interested | Transfer: not interested | Transfer Note: not interested | Followup: CNR | CRM: [Telecaller Key Points]: not interested | not interested
[25 Sep '26, 11:24 AM] bhul thi amna son thi click thai gayu hase</t>
        </is>
      </c>
    </row>
    <row r="135" ht="20" customHeight="1">
      <c r="A135" s="58" t="n">
        <v>46281.11997315972</v>
      </c>
      <c r="B135" s="19" t="inlineStr">
        <is>
          <t>3. This Month (Sep 2026)</t>
        </is>
      </c>
      <c r="C135" s="17" t="inlineStr">
        <is>
          <t>Webhook API (NB PropertyTech Rental Ad 0408)</t>
        </is>
      </c>
      <c r="D135" s="17" t="inlineStr">
        <is>
          <t>Saurabh Kumar Sinha (7984966684)</t>
        </is>
      </c>
      <c r="E135" s="17" t="inlineStr">
        <is>
          <t>Zeel Mudaliyar</t>
        </is>
      </c>
      <c r="F135" s="17" t="inlineStr">
        <is>
          <t>Interested</t>
        </is>
      </c>
      <c r="G135" s="17" t="inlineStr">
        <is>
          <t>Not Assigned</t>
        </is>
      </c>
      <c r="H135" s="17" t="inlineStr">
        <is>
          <t>N/A (Not Assigned)</t>
        </is>
      </c>
      <c r="I135" s="17" t="inlineStr">
        <is>
          <t>Followup: CNR</t>
        </is>
      </c>
    </row>
    <row r="136" ht="20" customHeight="1">
      <c r="A136" s="57" t="n">
        <v>46281.00774127315</v>
      </c>
      <c r="B136" s="16" t="inlineStr">
        <is>
          <t>3. This Month (Sep 2026)</t>
        </is>
      </c>
      <c r="C136" s="14" t="inlineStr">
        <is>
          <t>Meta Ads (NB PropertyTech Rental Ad 0408)</t>
        </is>
      </c>
      <c r="D136" s="14" t="inlineStr">
        <is>
          <t>Roshan Tiwari (8758830117)</t>
        </is>
      </c>
      <c r="E136" s="14" t="inlineStr">
        <is>
          <t>Prexa Vithalapara</t>
        </is>
      </c>
      <c r="F136" s="14" t="inlineStr">
        <is>
          <t>Sales</t>
        </is>
      </c>
      <c r="G136" s="14" t="inlineStr">
        <is>
          <t>Viral Jadeja</t>
        </is>
      </c>
      <c r="H136" s="14" t="inlineStr">
        <is>
          <t>Assigned</t>
        </is>
      </c>
      <c r="I136" s="14" t="inlineStr">
        <is>
          <t>this is testing leads -- do not take any actions -- | Transfer: Required Commercial property (Retail shop), Location - Gota, Tragad, Vaishnodevi, !80-200 sq ft, Minimum budget is 20K, | Transfer Note: Required Commercial property (Retail shop), Location - Gota, Tragad, Vaishnodevi, !80-200 sq ft, Minimum budget is 20K, | CRM: [Telecaller Key Points]: Location Vaishnodevi, Gota, Tragad, Commercial (retail shop), 180-200 sq ft, minimum budget is 20 K | [Telecaller Key Points]: Location Vaishnodevi, Gota, Tragad, Commercial (retail shop), 180-200 sq ft, minimum budget is 20 K</t>
        </is>
      </c>
    </row>
    <row r="137" ht="20" customHeight="1">
      <c r="A137" s="58" t="n">
        <v>46280.96614935185</v>
      </c>
      <c r="B137" s="19" t="inlineStr">
        <is>
          <t>3. This Month (Sep 2026)</t>
        </is>
      </c>
      <c r="C137" s="17" t="inlineStr">
        <is>
          <t>Webhook API (NB PropertyTech Rental Ad 0408)</t>
        </is>
      </c>
      <c r="D137" s="17" t="inlineStr">
        <is>
          <t>ભાવના ચૌહાણ ગેડીયા (7265084173)</t>
        </is>
      </c>
      <c r="E137" s="17" t="inlineStr">
        <is>
          <t>Zeel Mudaliyar</t>
        </is>
      </c>
      <c r="F137" s="17" t="inlineStr">
        <is>
          <t>Rejected / Lost</t>
        </is>
      </c>
      <c r="G137" s="17" t="inlineStr">
        <is>
          <t>Not Assigned</t>
        </is>
      </c>
      <c r="H137" s="17" t="inlineStr">
        <is>
          <t>N/A (Not Assigned)</t>
        </is>
      </c>
      <c r="I137" s="17" t="inlineStr">
        <is>
          <t>Followup: Will call back</t>
        </is>
      </c>
    </row>
    <row r="138" ht="20" customHeight="1">
      <c r="A138" s="57" t="n">
        <v>46280.91856369213</v>
      </c>
      <c r="B138" s="16" t="inlineStr">
        <is>
          <t>3. This Month (Sep 2026)</t>
        </is>
      </c>
      <c r="C138" s="14" t="inlineStr">
        <is>
          <t>Meta Ads (NB PropertyTech Rental Ad 0408)</t>
        </is>
      </c>
      <c r="D138" s="14" t="inlineStr">
        <is>
          <t>Ak_ahir_307 (9316220076)</t>
        </is>
      </c>
      <c r="E138" s="14" t="inlineStr">
        <is>
          <t>Zeel Mudaliyar</t>
        </is>
      </c>
      <c r="F138" s="14" t="inlineStr">
        <is>
          <t>Rejected / Lost</t>
        </is>
      </c>
      <c r="G138" s="14" t="inlineStr">
        <is>
          <t>Not Assigned</t>
        </is>
      </c>
      <c r="H138" s="14" t="inlineStr">
        <is>
          <t>N/A (Not Assigned)</t>
        </is>
      </c>
      <c r="I138" s="14" t="inlineStr">
        <is>
          <t>-</t>
        </is>
      </c>
    </row>
    <row r="139" ht="20" customHeight="1">
      <c r="A139" s="58" t="n">
        <v>46280.8829684838</v>
      </c>
      <c r="B139" s="19" t="inlineStr">
        <is>
          <t>3. This Month (Sep 2026)</t>
        </is>
      </c>
      <c r="C139" s="17" t="inlineStr">
        <is>
          <t>Webhook API (NB PropertyTech Rental Ad 0408)</t>
        </is>
      </c>
      <c r="D139" s="17" t="inlineStr">
        <is>
          <t>Vinit (9601268661)</t>
        </is>
      </c>
      <c r="E139" s="17" t="inlineStr">
        <is>
          <t>Zeel Mudaliyar</t>
        </is>
      </c>
      <c r="F139" s="17" t="inlineStr">
        <is>
          <t>Interested</t>
        </is>
      </c>
      <c r="G139" s="17" t="inlineStr">
        <is>
          <t>Not Assigned</t>
        </is>
      </c>
      <c r="H139" s="17" t="inlineStr">
        <is>
          <t>N/A (Not Assigned)</t>
        </is>
      </c>
      <c r="I139" s="17" t="inlineStr">
        <is>
          <t>-</t>
        </is>
      </c>
    </row>
    <row r="140" ht="20" customHeight="1">
      <c r="A140" s="57" t="n">
        <v>46280.85216461805</v>
      </c>
      <c r="B140" s="16" t="inlineStr">
        <is>
          <t>3. This Month (Sep 2026)</t>
        </is>
      </c>
      <c r="C140" s="14" t="inlineStr">
        <is>
          <t>Webhook API (NB PropertyTech Rental Ad 0408)</t>
        </is>
      </c>
      <c r="D140" s="14" t="inlineStr">
        <is>
          <t>Hitesh मिश्रा (9106946228)</t>
        </is>
      </c>
      <c r="E140" s="14" t="inlineStr">
        <is>
          <t>Zeel Mudaliyar</t>
        </is>
      </c>
      <c r="F140" s="14" t="inlineStr">
        <is>
          <t>Interested</t>
        </is>
      </c>
      <c r="G140" s="14" t="inlineStr">
        <is>
          <t>Not Assigned</t>
        </is>
      </c>
      <c r="H140" s="14" t="inlineStr">
        <is>
          <t>N/A (Not Assigned)</t>
        </is>
      </c>
      <c r="I140" s="14" t="inlineStr">
        <is>
          <t>Followup: CNR</t>
        </is>
      </c>
    </row>
    <row r="141" ht="20" customHeight="1">
      <c r="A141" s="58" t="n">
        <v>46280.79817907407</v>
      </c>
      <c r="B141" s="19" t="inlineStr">
        <is>
          <t>3. This Month (Sep 2026)</t>
        </is>
      </c>
      <c r="C141" s="17" t="inlineStr">
        <is>
          <t>Webhook API (NB PropertyTech Rental Ad 0408)</t>
        </is>
      </c>
      <c r="D141" s="17" t="inlineStr">
        <is>
          <t>Door Dreamer And Innvoator (9238900250)</t>
        </is>
      </c>
      <c r="E141" s="17" t="inlineStr">
        <is>
          <t>Prexa Vithalapara</t>
        </is>
      </c>
      <c r="F141" s="17" t="inlineStr">
        <is>
          <t>CNR (Could Not Reach)</t>
        </is>
      </c>
      <c r="G141" s="17" t="inlineStr">
        <is>
          <t>Not Assigned</t>
        </is>
      </c>
      <c r="H141" s="17" t="inlineStr">
        <is>
          <t>N/A (Not Assigned)</t>
        </is>
      </c>
      <c r="I141" s="17" t="inlineStr">
        <is>
          <t>Transfer Note: Marked as CNR | Followup: CNR</t>
        </is>
      </c>
    </row>
    <row r="142" ht="20" customHeight="1">
      <c r="A142" s="57" t="n">
        <v>46280.72838516204</v>
      </c>
      <c r="B142" s="16" t="inlineStr">
        <is>
          <t>3. This Month (Sep 2026)</t>
        </is>
      </c>
      <c r="C142" s="14" t="inlineStr">
        <is>
          <t>Webhook API (NB PropertyTech Rental Ad 0408)</t>
        </is>
      </c>
      <c r="D142" s="14" t="inlineStr">
        <is>
          <t>Mukund Patel (9825892567)</t>
        </is>
      </c>
      <c r="E142" s="14" t="inlineStr">
        <is>
          <t>Zeel Mudaliyar</t>
        </is>
      </c>
      <c r="F142" s="14" t="inlineStr">
        <is>
          <t>Rejected / Lost</t>
        </is>
      </c>
      <c r="G142" s="14" t="inlineStr">
        <is>
          <t>Not Assigned</t>
        </is>
      </c>
      <c r="H142" s="14" t="inlineStr">
        <is>
          <t>N/A (Not Assigned)</t>
        </is>
      </c>
      <c r="I142" s="14" t="inlineStr">
        <is>
          <t>-</t>
        </is>
      </c>
    </row>
    <row r="143" ht="20" customHeight="1">
      <c r="A143" s="58" t="n">
        <v>46280.60374052083</v>
      </c>
      <c r="B143" s="19" t="inlineStr">
        <is>
          <t>3. This Month (Sep 2026)</t>
        </is>
      </c>
      <c r="C143" s="17" t="inlineStr">
        <is>
          <t>Meta Ads (NB PropertyTech Rental Ad 0408)</t>
        </is>
      </c>
      <c r="D143" s="17" t="inlineStr">
        <is>
          <t>Jignesh Upadhyay (8980603521)</t>
        </is>
      </c>
      <c r="E143" s="17" t="inlineStr">
        <is>
          <t>Prexa Vithalapara</t>
        </is>
      </c>
      <c r="F143" s="17" t="inlineStr">
        <is>
          <t>Interested</t>
        </is>
      </c>
      <c r="G143" s="17" t="inlineStr">
        <is>
          <t>Rakesh Jadav</t>
        </is>
      </c>
      <c r="H143" s="17" t="inlineStr">
        <is>
          <t>Re-Followup</t>
        </is>
      </c>
      <c r="I143" s="17" t="inlineStr">
        <is>
          <t>[15 Sep '26, 2:30 PM] Location Vaishnodevi, Gota, 2 BHK, for family, 18-20 k, Possession from nov
[16 Sep '26, 4:36 PM] silvver nest ne pearl hight nidetaail send kri che | Followup: amne november pachi joiye cche call krse number save karyo che | CRM: [Campaign: NB PropertyTech Rental Ad 0408] Imported from Campaign Leads (Webhook API). | CRM Followup: amne november pachi joiye cche call krse number save karyo che | [Campaign: NB PropertyTech Rental Ad 0408] Imported from Campaign Leads (Webhook API).</t>
        </is>
      </c>
    </row>
    <row r="144" ht="20" customHeight="1">
      <c r="A144" s="57" t="n">
        <v>46280.44823542824</v>
      </c>
      <c r="B144" s="16" t="inlineStr">
        <is>
          <t>3. This Month (Sep 2026)</t>
        </is>
      </c>
      <c r="C144" s="14" t="inlineStr">
        <is>
          <t>Webhook API (NB PropertyTech Rental Ad 0408)</t>
        </is>
      </c>
      <c r="D144" s="14" t="inlineStr">
        <is>
          <t>Kevin Patel (9313083007)</t>
        </is>
      </c>
      <c r="E144" s="14" t="inlineStr">
        <is>
          <t>Zeel Mudaliyar</t>
        </is>
      </c>
      <c r="F144" s="14" t="inlineStr">
        <is>
          <t>Rejected / Lost</t>
        </is>
      </c>
      <c r="G144" s="14" t="inlineStr">
        <is>
          <t>Not Assigned</t>
        </is>
      </c>
      <c r="H144" s="14" t="inlineStr">
        <is>
          <t>N/A (Not Assigned)</t>
        </is>
      </c>
      <c r="I144" s="14" t="inlineStr">
        <is>
          <t>-</t>
        </is>
      </c>
    </row>
    <row r="145" ht="20" customHeight="1">
      <c r="A145" s="58" t="n">
        <v>46280.43980118055</v>
      </c>
      <c r="B145" s="19" t="inlineStr">
        <is>
          <t>3. This Month (Sep 2026)</t>
        </is>
      </c>
      <c r="C145" s="17" t="inlineStr">
        <is>
          <t>Webhook API (NB PropertyTech Rental Ad 0408)</t>
        </is>
      </c>
      <c r="D145" s="17" t="inlineStr">
        <is>
          <t>Lakhan Prabhatsinh Rathod (9725929393)</t>
        </is>
      </c>
      <c r="E145" s="17" t="inlineStr">
        <is>
          <t>Zeel Mudaliyar</t>
        </is>
      </c>
      <c r="F145" s="17" t="inlineStr">
        <is>
          <t>Interested</t>
        </is>
      </c>
      <c r="G145" s="17" t="inlineStr">
        <is>
          <t>Not Assigned</t>
        </is>
      </c>
      <c r="H145" s="17" t="inlineStr">
        <is>
          <t>N/A (Not Assigned)</t>
        </is>
      </c>
      <c r="I145" s="17" t="inlineStr">
        <is>
          <t>-</t>
        </is>
      </c>
    </row>
    <row r="146" ht="20" customHeight="1">
      <c r="A146" s="57" t="n">
        <v>46279.96590513889</v>
      </c>
      <c r="B146" s="16" t="inlineStr">
        <is>
          <t>3. This Month (Sep 2026)</t>
        </is>
      </c>
      <c r="C146" s="14" t="inlineStr">
        <is>
          <t>Webhook API (NB PropertyTech Rental Ad 0408)</t>
        </is>
      </c>
      <c r="D146" s="14" t="inlineStr">
        <is>
          <t>Umang Trivedi (9898426900)</t>
        </is>
      </c>
      <c r="E146" s="14" t="inlineStr">
        <is>
          <t>Unassigned</t>
        </is>
      </c>
      <c r="F146" s="14" t="inlineStr">
        <is>
          <t>Rejected / Lost</t>
        </is>
      </c>
      <c r="G146" s="14" t="inlineStr">
        <is>
          <t>Not Assigned</t>
        </is>
      </c>
      <c r="H146" s="14" t="inlineStr">
        <is>
          <t>N/A (Not Assigned)</t>
        </is>
      </c>
      <c r="I146" s="14" t="inlineStr">
        <is>
          <t>-</t>
        </is>
      </c>
    </row>
    <row r="147" ht="20" customHeight="1">
      <c r="A147" s="58" t="n">
        <v>46279.71632444445</v>
      </c>
      <c r="B147" s="19" t="inlineStr">
        <is>
          <t>3. This Month (Sep 2026)</t>
        </is>
      </c>
      <c r="C147" s="17" t="inlineStr">
        <is>
          <t>Meta Ads (NB PropertyTech Rental Ad 0408)</t>
        </is>
      </c>
      <c r="D147" s="17" t="inlineStr">
        <is>
          <t>Nikunj Joshi (7990321056)</t>
        </is>
      </c>
      <c r="E147" s="17" t="inlineStr">
        <is>
          <t>Unassigned</t>
        </is>
      </c>
      <c r="F147" s="17" t="inlineStr">
        <is>
          <t>CNR (Could Not Reach)</t>
        </is>
      </c>
      <c r="G147" s="17" t="inlineStr">
        <is>
          <t>Not Assigned</t>
        </is>
      </c>
      <c r="H147" s="17" t="inlineStr">
        <is>
          <t>N/A (Not Assigned)</t>
        </is>
      </c>
      <c r="I147" s="17" t="inlineStr">
        <is>
          <t>-</t>
        </is>
      </c>
    </row>
    <row r="148" ht="20" customHeight="1">
      <c r="A148" s="57" t="n">
        <v>46279.68897114584</v>
      </c>
      <c r="B148" s="16" t="inlineStr">
        <is>
          <t>3. This Month (Sep 2026)</t>
        </is>
      </c>
      <c r="C148" s="14" t="inlineStr">
        <is>
          <t>Webhook API (NB PropertyTech Rental Ad 0408)</t>
        </is>
      </c>
      <c r="D148" s="14" t="inlineStr">
        <is>
          <t>Rajubhai Bharvad (6355323756)</t>
        </is>
      </c>
      <c r="E148" s="14" t="inlineStr">
        <is>
          <t>Zeel Mudaliyar</t>
        </is>
      </c>
      <c r="F148" s="14" t="inlineStr">
        <is>
          <t>Interested</t>
        </is>
      </c>
      <c r="G148" s="14" t="inlineStr">
        <is>
          <t>Not Assigned</t>
        </is>
      </c>
      <c r="H148" s="14" t="inlineStr">
        <is>
          <t>N/A (Not Assigned)</t>
        </is>
      </c>
      <c r="I148" s="14" t="inlineStr">
        <is>
          <t>Property Remark: Only vegetarian family</t>
        </is>
      </c>
    </row>
    <row r="149" ht="20" customHeight="1">
      <c r="A149" s="58" t="n">
        <v>46279.64948311343</v>
      </c>
      <c r="B149" s="19" t="inlineStr">
        <is>
          <t>3. This Month (Sep 2026)</t>
        </is>
      </c>
      <c r="C149" s="17" t="inlineStr">
        <is>
          <t>Webhook API (NB PropertyTech Rental Ad 0408)</t>
        </is>
      </c>
      <c r="D149" s="17" t="inlineStr">
        <is>
          <t>Viralbhai (9998526402)</t>
        </is>
      </c>
      <c r="E149" s="17" t="inlineStr">
        <is>
          <t>Zeel Mudaliyar</t>
        </is>
      </c>
      <c r="F149" s="17" t="inlineStr">
        <is>
          <t>Interested</t>
        </is>
      </c>
      <c r="G149" s="17" t="inlineStr">
        <is>
          <t>Not Assigned</t>
        </is>
      </c>
      <c r="H149" s="17" t="inlineStr">
        <is>
          <t>N/A (Not Assigned)</t>
        </is>
      </c>
      <c r="I149" s="17" t="inlineStr">
        <is>
          <t>Property Remark: Maintenance approx quarterly 8300</t>
        </is>
      </c>
    </row>
    <row r="150" ht="20" customHeight="1">
      <c r="A150" s="57" t="n">
        <v>46279.4534171875</v>
      </c>
      <c r="B150" s="16" t="inlineStr">
        <is>
          <t>3. This Month (Sep 2026)</t>
        </is>
      </c>
      <c r="C150" s="14" t="inlineStr">
        <is>
          <t>Webhook API (NB PropertyTech Rental Ad 0408)</t>
        </is>
      </c>
      <c r="D150" s="14" t="inlineStr">
        <is>
          <t>Udayan Rambhai Rami (9825008836)</t>
        </is>
      </c>
      <c r="E150" s="14" t="inlineStr">
        <is>
          <t>Unassigned</t>
        </is>
      </c>
      <c r="F150" s="14" t="inlineStr">
        <is>
          <t>CNR (Could Not Reach)</t>
        </is>
      </c>
      <c r="G150" s="14" t="inlineStr">
        <is>
          <t>Not Assigned</t>
        </is>
      </c>
      <c r="H150" s="14" t="inlineStr">
        <is>
          <t>N/A (Not Assigned)</t>
        </is>
      </c>
      <c r="I150" s="14" t="inlineStr">
        <is>
          <t>-</t>
        </is>
      </c>
    </row>
    <row r="151" ht="20" customHeight="1">
      <c r="A151" s="58" t="n">
        <v>46279.43037849537</v>
      </c>
      <c r="B151" s="19" t="inlineStr">
        <is>
          <t>3. This Month (Sep 2026)</t>
        </is>
      </c>
      <c r="C151" s="17" t="inlineStr">
        <is>
          <t>Webhook API (NB PropertyTech Rental Ad 0408)</t>
        </is>
      </c>
      <c r="D151" s="17" t="inlineStr">
        <is>
          <t>Jignesh Upadhyay (8980603521)</t>
        </is>
      </c>
      <c r="E151" s="17" t="inlineStr">
        <is>
          <t>Prexa Vithalapara</t>
        </is>
      </c>
      <c r="F151" s="17" t="inlineStr">
        <is>
          <t>Interested</t>
        </is>
      </c>
      <c r="G151" s="17" t="inlineStr">
        <is>
          <t>Not Assigned</t>
        </is>
      </c>
      <c r="H151" s="17" t="inlineStr">
        <is>
          <t>N/A (Not Assigned)</t>
        </is>
      </c>
      <c r="I151" s="17" t="inlineStr">
        <is>
          <t>-</t>
        </is>
      </c>
    </row>
    <row r="152" ht="20" customHeight="1">
      <c r="A152" s="57" t="n">
        <v>46278.97484552083</v>
      </c>
      <c r="B152" s="16" t="inlineStr">
        <is>
          <t>3. This Month (Sep 2026)</t>
        </is>
      </c>
      <c r="C152" s="14" t="inlineStr">
        <is>
          <t>Webhook API (NB PropertyTech Rental Ad 0408)</t>
        </is>
      </c>
      <c r="D152" s="14" t="inlineStr">
        <is>
          <t>Mukesh Jain (9638699860)</t>
        </is>
      </c>
      <c r="E152" s="14" t="inlineStr">
        <is>
          <t>Prexa Vithalapara</t>
        </is>
      </c>
      <c r="F152" s="14" t="inlineStr">
        <is>
          <t>Listed</t>
        </is>
      </c>
      <c r="G152" s="14" t="inlineStr">
        <is>
          <t>Not Assigned</t>
        </is>
      </c>
      <c r="H152" s="14" t="inlineStr">
        <is>
          <t>N/A (Not Assigned)</t>
        </is>
      </c>
      <c r="I152" s="14" t="inlineStr">
        <is>
          <t>-</t>
        </is>
      </c>
    </row>
    <row r="153" ht="20" customHeight="1">
      <c r="A153" s="58" t="n">
        <v>46278.95932740741</v>
      </c>
      <c r="B153" s="19" t="inlineStr">
        <is>
          <t>3. This Month (Sep 2026)</t>
        </is>
      </c>
      <c r="C153" s="17" t="inlineStr">
        <is>
          <t>Webhook API (NB PropertyTech Rental Ad 0408)</t>
        </is>
      </c>
      <c r="D153" s="17" t="inlineStr">
        <is>
          <t>Gaurav Patel (9328867831)</t>
        </is>
      </c>
      <c r="E153" s="17" t="inlineStr">
        <is>
          <t>Unassigned</t>
        </is>
      </c>
      <c r="F153" s="17" t="inlineStr">
        <is>
          <t>CNR (Could Not Reach)</t>
        </is>
      </c>
      <c r="G153" s="17" t="inlineStr">
        <is>
          <t>Not Assigned</t>
        </is>
      </c>
      <c r="H153" s="17" t="inlineStr">
        <is>
          <t>N/A (Not Assigned)</t>
        </is>
      </c>
      <c r="I153" s="17" t="inlineStr">
        <is>
          <t>-</t>
        </is>
      </c>
    </row>
    <row r="154" ht="20" customHeight="1">
      <c r="A154" s="57" t="n">
        <v>46278.92098334491</v>
      </c>
      <c r="B154" s="16" t="inlineStr">
        <is>
          <t>3. This Month (Sep 2026)</t>
        </is>
      </c>
      <c r="C154" s="14" t="inlineStr">
        <is>
          <t>Webhook API (NB PropertyTech Rental Ad 0408)</t>
        </is>
      </c>
      <c r="D154" s="14" t="inlineStr">
        <is>
          <t>Kalpesh Sathwara (7984341585)</t>
        </is>
      </c>
      <c r="E154" s="14" t="inlineStr">
        <is>
          <t>Prexa Vithalapara</t>
        </is>
      </c>
      <c r="F154" s="14" t="inlineStr">
        <is>
          <t>Listed</t>
        </is>
      </c>
      <c r="G154" s="14" t="inlineStr">
        <is>
          <t>Not Assigned</t>
        </is>
      </c>
      <c r="H154" s="14" t="inlineStr">
        <is>
          <t>N/A (Not Assigned)</t>
        </is>
      </c>
      <c r="I154" s="14" t="inlineStr">
        <is>
          <t>-</t>
        </is>
      </c>
    </row>
    <row r="155" ht="20" customHeight="1">
      <c r="A155" s="58" t="n">
        <v>46278.89810782408</v>
      </c>
      <c r="B155" s="19" t="inlineStr">
        <is>
          <t>3. This Month (Sep 2026)</t>
        </is>
      </c>
      <c r="C155" s="17" t="inlineStr">
        <is>
          <t>Webhook API (NB PropertyTech Rental Ad 0408)</t>
        </is>
      </c>
      <c r="D155" s="17" t="inlineStr">
        <is>
          <t>Neerad Doshi (6352139766)</t>
        </is>
      </c>
      <c r="E155" s="17" t="inlineStr">
        <is>
          <t>Prexa Vithalapara</t>
        </is>
      </c>
      <c r="F155" s="17" t="inlineStr">
        <is>
          <t>Rejected / Lost</t>
        </is>
      </c>
      <c r="G155" s="17" t="inlineStr">
        <is>
          <t>Not Assigned</t>
        </is>
      </c>
      <c r="H155" s="17" t="inlineStr">
        <is>
          <t>N/A (Not Assigned)</t>
        </is>
      </c>
      <c r="I155" s="17" t="inlineStr">
        <is>
          <t>-</t>
        </is>
      </c>
    </row>
    <row r="156" ht="20" customHeight="1">
      <c r="A156" s="57" t="n">
        <v>46278.85404461806</v>
      </c>
      <c r="B156" s="16" t="inlineStr">
        <is>
          <t>3. This Month (Sep 2026)</t>
        </is>
      </c>
      <c r="C156" s="14" t="inlineStr">
        <is>
          <t>Meta Ads (NB PropertyTech Rental Ad 0408)</t>
        </is>
      </c>
      <c r="D156" s="14" t="inlineStr">
        <is>
          <t>Gayatri Patel (7600773975)</t>
        </is>
      </c>
      <c r="E156" s="14" t="inlineStr">
        <is>
          <t>Unassigned</t>
        </is>
      </c>
      <c r="F156" s="14" t="inlineStr">
        <is>
          <t>CNR (Could Not Reach)</t>
        </is>
      </c>
      <c r="G156" s="14" t="inlineStr">
        <is>
          <t>Not Assigned</t>
        </is>
      </c>
      <c r="H156" s="14" t="inlineStr">
        <is>
          <t>N/A (Not Assigned)</t>
        </is>
      </c>
      <c r="I156" s="14" t="inlineStr">
        <is>
          <t>-</t>
        </is>
      </c>
    </row>
    <row r="157" ht="20" customHeight="1">
      <c r="A157" s="58" t="n">
        <v>46278.76060628472</v>
      </c>
      <c r="B157" s="19" t="inlineStr">
        <is>
          <t>3. This Month (Sep 2026)</t>
        </is>
      </c>
      <c r="C157" s="17" t="inlineStr">
        <is>
          <t>Webhook API (NB PropertyTech Rental Ad 0408)</t>
        </is>
      </c>
      <c r="D157" s="17" t="inlineStr">
        <is>
          <t>Sanjay Modi (9924171769)</t>
        </is>
      </c>
      <c r="E157" s="17" t="inlineStr">
        <is>
          <t>Prexa Vithalapara</t>
        </is>
      </c>
      <c r="F157" s="17" t="inlineStr">
        <is>
          <t>Rejected / Lost</t>
        </is>
      </c>
      <c r="G157" s="17" t="inlineStr">
        <is>
          <t>Not Assigned</t>
        </is>
      </c>
      <c r="H157" s="17" t="inlineStr">
        <is>
          <t>N/A (Not Assigned)</t>
        </is>
      </c>
      <c r="I157" s="17" t="inlineStr">
        <is>
          <t>-</t>
        </is>
      </c>
    </row>
    <row r="158" ht="20" customHeight="1">
      <c r="A158" s="57" t="n">
        <v>46278.71356815972</v>
      </c>
      <c r="B158" s="16" t="inlineStr">
        <is>
          <t>3. This Month (Sep 2026)</t>
        </is>
      </c>
      <c r="C158" s="14" t="inlineStr">
        <is>
          <t>Webhook API (NB PropertyTech Rental Ad 0408)</t>
        </is>
      </c>
      <c r="D158" s="14" t="inlineStr">
        <is>
          <t>Devang Lakhiyar (7990648803)</t>
        </is>
      </c>
      <c r="E158" s="14" t="inlineStr">
        <is>
          <t>Prexa Vithalapara</t>
        </is>
      </c>
      <c r="F158" s="14" t="inlineStr">
        <is>
          <t>Rejected / Lost</t>
        </is>
      </c>
      <c r="G158" s="14" t="inlineStr">
        <is>
          <t>Not Assigned</t>
        </is>
      </c>
      <c r="H158" s="14" t="inlineStr">
        <is>
          <t>N/A (Not Assigned)</t>
        </is>
      </c>
      <c r="I158" s="14" t="inlineStr">
        <is>
          <t>-</t>
        </is>
      </c>
    </row>
    <row r="159" ht="20" customHeight="1">
      <c r="A159" s="58" t="n">
        <v>46278.44822023148</v>
      </c>
      <c r="B159" s="19" t="inlineStr">
        <is>
          <t>3. This Month (Sep 2026)</t>
        </is>
      </c>
      <c r="C159" s="17" t="inlineStr">
        <is>
          <t>Webhook API (NB PropertyTech Rental Ad 0408)</t>
        </is>
      </c>
      <c r="D159" s="17" t="inlineStr">
        <is>
          <t>𝘼𝙡 𝙨𝙝𝙖𝙞𝙠𝙝 (9662591126)</t>
        </is>
      </c>
      <c r="E159" s="17" t="inlineStr">
        <is>
          <t>Prexa Vithalapara</t>
        </is>
      </c>
      <c r="F159" s="17" t="inlineStr">
        <is>
          <t>Interested</t>
        </is>
      </c>
      <c r="G159" s="17" t="inlineStr">
        <is>
          <t>Not Assigned</t>
        </is>
      </c>
      <c r="H159" s="17" t="inlineStr">
        <is>
          <t>N/A (Not Assigned)</t>
        </is>
      </c>
      <c r="I159" s="17" t="inlineStr">
        <is>
          <t>-</t>
        </is>
      </c>
    </row>
    <row r="160" ht="20" customHeight="1">
      <c r="A160" s="57" t="n">
        <v>46278.07337518519</v>
      </c>
      <c r="B160" s="16" t="inlineStr">
        <is>
          <t>3. This Month (Sep 2026)</t>
        </is>
      </c>
      <c r="C160" s="14" t="inlineStr">
        <is>
          <t>Meta Ads (NB PropertyTech Rental Ad 0408)</t>
        </is>
      </c>
      <c r="D160" s="14" t="inlineStr">
        <is>
          <t>Darshan Parmar (6355932733)</t>
        </is>
      </c>
      <c r="E160" s="14" t="inlineStr">
        <is>
          <t>Prexa Vithalapara</t>
        </is>
      </c>
      <c r="F160" s="14" t="inlineStr">
        <is>
          <t>Rejected / Lost</t>
        </is>
      </c>
      <c r="G160" s="14" t="inlineStr">
        <is>
          <t>Not Assigned</t>
        </is>
      </c>
      <c r="H160" s="14" t="inlineStr">
        <is>
          <t>N/A (Not Assigned)</t>
        </is>
      </c>
      <c r="I160" s="14" t="inlineStr">
        <is>
          <t>-</t>
        </is>
      </c>
    </row>
    <row r="161" ht="20" customHeight="1">
      <c r="A161" s="58" t="n">
        <v>46277.76948178241</v>
      </c>
      <c r="B161" s="19" t="inlineStr">
        <is>
          <t>3. This Month (Sep 2026)</t>
        </is>
      </c>
      <c r="C161" s="17" t="inlineStr">
        <is>
          <t>Webhook API (NB PropertyTech Rental Ad 0408)</t>
        </is>
      </c>
      <c r="D161" s="17" t="inlineStr">
        <is>
          <t>Bhavesh Baroliya (9925213176)</t>
        </is>
      </c>
      <c r="E161" s="17" t="inlineStr">
        <is>
          <t>Prexa Vithalapara</t>
        </is>
      </c>
      <c r="F161" s="17" t="inlineStr">
        <is>
          <t>CNR (Could Not Reach)</t>
        </is>
      </c>
      <c r="G161" s="17" t="inlineStr">
        <is>
          <t>Not Assigned</t>
        </is>
      </c>
      <c r="H161" s="17" t="inlineStr">
        <is>
          <t>N/A (Not Assigned)</t>
        </is>
      </c>
      <c r="I161" s="17" t="inlineStr">
        <is>
          <t>Transfer Note: Marked as CNR | Followup: CNR</t>
        </is>
      </c>
    </row>
    <row r="162" ht="20" customHeight="1">
      <c r="A162" s="57" t="n">
        <v>46277.76048011574</v>
      </c>
      <c r="B162" s="16" t="inlineStr">
        <is>
          <t>3. This Month (Sep 2026)</t>
        </is>
      </c>
      <c r="C162" s="14" t="inlineStr">
        <is>
          <t>Webhook API (NB PropertyTech Rental Ad 0408)</t>
        </is>
      </c>
      <c r="D162" s="14" t="inlineStr">
        <is>
          <t>Sweta Katrodiya (9099437430)</t>
        </is>
      </c>
      <c r="E162" s="14" t="inlineStr">
        <is>
          <t>Prexa Vithalapara</t>
        </is>
      </c>
      <c r="F162" s="14" t="inlineStr">
        <is>
          <t>CNR (Could Not Reach)</t>
        </is>
      </c>
      <c r="G162" s="14" t="inlineStr">
        <is>
          <t>Not Assigned</t>
        </is>
      </c>
      <c r="H162" s="14" t="inlineStr">
        <is>
          <t>N/A (Not Assigned)</t>
        </is>
      </c>
      <c r="I162" s="14" t="inlineStr">
        <is>
          <t>Transfer Note: Out of service | Followup: CNR</t>
        </is>
      </c>
    </row>
    <row r="163" ht="20" customHeight="1">
      <c r="A163" s="58" t="n">
        <v>46277.72137447917</v>
      </c>
      <c r="B163" s="19" t="inlineStr">
        <is>
          <t>3. This Month (Sep 2026)</t>
        </is>
      </c>
      <c r="C163" s="17" t="inlineStr">
        <is>
          <t>Meta Ads (NB PropertyTech Rental Ad 0408)</t>
        </is>
      </c>
      <c r="D163" s="17" t="inlineStr">
        <is>
          <t>Yash Pal Sood. (9327099951)</t>
        </is>
      </c>
      <c r="E163" s="17" t="inlineStr">
        <is>
          <t>Prexa Vithalapara</t>
        </is>
      </c>
      <c r="F163" s="17" t="inlineStr">
        <is>
          <t>Interested</t>
        </is>
      </c>
      <c r="G163" s="17" t="inlineStr">
        <is>
          <t>Not Assigned</t>
        </is>
      </c>
      <c r="H163" s="17" t="inlineStr">
        <is>
          <t>N/A (Not Assigned)</t>
        </is>
      </c>
      <c r="I163" s="17" t="inlineStr">
        <is>
          <t>-</t>
        </is>
      </c>
    </row>
    <row r="164" ht="20" customHeight="1">
      <c r="A164" s="57" t="n">
        <v>46277.62794763889</v>
      </c>
      <c r="B164" s="16" t="inlineStr">
        <is>
          <t>3. This Month (Sep 2026)</t>
        </is>
      </c>
      <c r="C164" s="14" t="inlineStr">
        <is>
          <t>Webhook API (NB PropertyTech Rental Ad 0408)</t>
        </is>
      </c>
      <c r="D164" s="14" t="inlineStr">
        <is>
          <t>Dhruv Patel (9426975700)</t>
        </is>
      </c>
      <c r="E164" s="14" t="inlineStr">
        <is>
          <t>Prexa Vithalapara</t>
        </is>
      </c>
      <c r="F164" s="14" t="inlineStr">
        <is>
          <t>Interested</t>
        </is>
      </c>
      <c r="G164" s="14" t="inlineStr">
        <is>
          <t>Not Assigned</t>
        </is>
      </c>
      <c r="H164" s="14" t="inlineStr">
        <is>
          <t>N/A (Not Assigned)</t>
        </is>
      </c>
      <c r="I164" s="14" t="inlineStr">
        <is>
          <t>Property Remark: 17,000 rent for each shop</t>
        </is>
      </c>
    </row>
    <row r="165" ht="20" customHeight="1">
      <c r="A165" s="58" t="n">
        <v>46277.60653840278</v>
      </c>
      <c r="B165" s="19" t="inlineStr">
        <is>
          <t>3. This Month (Sep 2026)</t>
        </is>
      </c>
      <c r="C165" s="17" t="inlineStr">
        <is>
          <t>Webhook API (NB PropertyTech Rental Ad 0408)</t>
        </is>
      </c>
      <c r="D165" s="17" t="inlineStr">
        <is>
          <t>Piyush Thakkar (9033031902)</t>
        </is>
      </c>
      <c r="E165" s="17" t="inlineStr">
        <is>
          <t>Prexa Vithalapara</t>
        </is>
      </c>
      <c r="F165" s="17" t="inlineStr">
        <is>
          <t>Rejected / Lost</t>
        </is>
      </c>
      <c r="G165" s="17" t="inlineStr">
        <is>
          <t>Not Assigned</t>
        </is>
      </c>
      <c r="H165" s="17" t="inlineStr">
        <is>
          <t>N/A (Not Assigned)</t>
        </is>
      </c>
      <c r="I165" s="17" t="inlineStr">
        <is>
          <t>-</t>
        </is>
      </c>
    </row>
    <row r="166" ht="20" customHeight="1">
      <c r="A166" s="57" t="n">
        <v>46277.5942778588</v>
      </c>
      <c r="B166" s="16" t="inlineStr">
        <is>
          <t>3. This Month (Sep 2026)</t>
        </is>
      </c>
      <c r="C166" s="14" t="inlineStr">
        <is>
          <t>Webhook API (NB PropertyTech Rental Ad 0408)</t>
        </is>
      </c>
      <c r="D166" s="14" t="inlineStr">
        <is>
          <t>Feni Patel (9106950119)</t>
        </is>
      </c>
      <c r="E166" s="14" t="inlineStr">
        <is>
          <t>Prexa Vithalapara</t>
        </is>
      </c>
      <c r="F166" s="14" t="inlineStr">
        <is>
          <t>Interested</t>
        </is>
      </c>
      <c r="G166" s="14" t="inlineStr">
        <is>
          <t>Not Assigned</t>
        </is>
      </c>
      <c r="H166" s="14" t="inlineStr">
        <is>
          <t>N/A (Not Assigned)</t>
        </is>
      </c>
      <c r="I166" s="14" t="inlineStr">
        <is>
          <t>-</t>
        </is>
      </c>
    </row>
    <row r="167" ht="20" customHeight="1">
      <c r="A167" s="58" t="n">
        <v>46277.57112694444</v>
      </c>
      <c r="B167" s="19" t="inlineStr">
        <is>
          <t>3. This Month (Sep 2026)</t>
        </is>
      </c>
      <c r="C167" s="17" t="inlineStr">
        <is>
          <t>Webhook API (NB PropertyTech Rental Ad 0408)</t>
        </is>
      </c>
      <c r="D167" s="17" t="inlineStr">
        <is>
          <t>Contact Me On Whatsapp Please Don't Call (8728988888)</t>
        </is>
      </c>
      <c r="E167" s="17" t="inlineStr">
        <is>
          <t>Prexa Vithalapara</t>
        </is>
      </c>
      <c r="F167" s="17" t="inlineStr">
        <is>
          <t>Rejected / Lost</t>
        </is>
      </c>
      <c r="G167" s="17" t="inlineStr">
        <is>
          <t>Not Assigned</t>
        </is>
      </c>
      <c r="H167" s="17" t="inlineStr">
        <is>
          <t>N/A (Not Assigned)</t>
        </is>
      </c>
      <c r="I167" s="17" t="inlineStr">
        <is>
          <t>-</t>
        </is>
      </c>
    </row>
    <row r="168" ht="20" customHeight="1">
      <c r="A168" s="57" t="n">
        <v>46277.56319989583</v>
      </c>
      <c r="B168" s="16" t="inlineStr">
        <is>
          <t>3. This Month (Sep 2026)</t>
        </is>
      </c>
      <c r="C168" s="14" t="inlineStr">
        <is>
          <t>Webhook API (NB PropertyTech Rental Ad 0408)</t>
        </is>
      </c>
      <c r="D168" s="14" t="inlineStr">
        <is>
          <t>Piyasi Pal (9427416300)</t>
        </is>
      </c>
      <c r="E168" s="14" t="inlineStr">
        <is>
          <t>Prexa Vithalapara</t>
        </is>
      </c>
      <c r="F168" s="14" t="inlineStr">
        <is>
          <t>Interested</t>
        </is>
      </c>
      <c r="G168" s="14" t="inlineStr">
        <is>
          <t>Not Assigned</t>
        </is>
      </c>
      <c r="H168" s="14" t="inlineStr">
        <is>
          <t>N/A (Not Assigned)</t>
        </is>
      </c>
      <c r="I168" s="14" t="inlineStr">
        <is>
          <t>-</t>
        </is>
      </c>
    </row>
    <row r="169" ht="20" customHeight="1">
      <c r="A169" s="58" t="n">
        <v>46277.46261247685</v>
      </c>
      <c r="B169" s="19" t="inlineStr">
        <is>
          <t>3. This Month (Sep 2026)</t>
        </is>
      </c>
      <c r="C169" s="17" t="inlineStr">
        <is>
          <t>Webhook API (NB PropertyTech Rental Ad 0408)</t>
        </is>
      </c>
      <c r="D169" s="17" t="inlineStr">
        <is>
          <t>Anil Mistry (9426569262)</t>
        </is>
      </c>
      <c r="E169" s="17" t="inlineStr">
        <is>
          <t>Prexa Vithalapara</t>
        </is>
      </c>
      <c r="F169" s="17" t="inlineStr">
        <is>
          <t>Interested</t>
        </is>
      </c>
      <c r="G169" s="17" t="inlineStr">
        <is>
          <t>Not Assigned</t>
        </is>
      </c>
      <c r="H169" s="17" t="inlineStr">
        <is>
          <t>N/A (Not Assigned)</t>
        </is>
      </c>
      <c r="I169" s="17" t="inlineStr">
        <is>
          <t>Followup: Call not answered | Property Remark: Office furniture</t>
        </is>
      </c>
    </row>
    <row r="170" ht="20" customHeight="1">
      <c r="A170" s="57" t="n">
        <v>46277.43308733797</v>
      </c>
      <c r="B170" s="16" t="inlineStr">
        <is>
          <t>3. This Month (Sep 2026)</t>
        </is>
      </c>
      <c r="C170" s="14" t="inlineStr">
        <is>
          <t>Webhook API (NB PropertyTech Rental Ad 0408)</t>
        </is>
      </c>
      <c r="D170" s="14" t="inlineStr">
        <is>
          <t>Devang Dave (9558891892)</t>
        </is>
      </c>
      <c r="E170" s="14" t="inlineStr">
        <is>
          <t>Prexa Vithalapara</t>
        </is>
      </c>
      <c r="F170" s="14" t="inlineStr">
        <is>
          <t>Interested</t>
        </is>
      </c>
      <c r="G170" s="14" t="inlineStr">
        <is>
          <t>Not Assigned</t>
        </is>
      </c>
      <c r="H170" s="14" t="inlineStr">
        <is>
          <t>N/A (Not Assigned)</t>
        </is>
      </c>
      <c r="I170" s="14" t="inlineStr">
        <is>
          <t>-</t>
        </is>
      </c>
    </row>
    <row r="171" ht="20" customHeight="1">
      <c r="A171" s="58" t="n">
        <v>46277.3971103125</v>
      </c>
      <c r="B171" s="19" t="inlineStr">
        <is>
          <t>3. This Month (Sep 2026)</t>
        </is>
      </c>
      <c r="C171" s="17" t="inlineStr">
        <is>
          <t>Webhook API (NB PropertyTech Rental Ad 0408)</t>
        </is>
      </c>
      <c r="D171" s="17" t="inlineStr">
        <is>
          <t>Kalpesh Zala (9909967795)</t>
        </is>
      </c>
      <c r="E171" s="17" t="inlineStr">
        <is>
          <t>Prexa Vithalapara</t>
        </is>
      </c>
      <c r="F171" s="17" t="inlineStr">
        <is>
          <t>Interested</t>
        </is>
      </c>
      <c r="G171" s="17" t="inlineStr">
        <is>
          <t>Not Assigned</t>
        </is>
      </c>
      <c r="H171" s="17" t="inlineStr">
        <is>
          <t>N/A (Not Assigned)</t>
        </is>
      </c>
      <c r="I171" s="17" t="inlineStr">
        <is>
          <t>-</t>
        </is>
      </c>
    </row>
    <row r="172" ht="20" customHeight="1">
      <c r="A172" s="57" t="n">
        <v>46277.35852229167</v>
      </c>
      <c r="B172" s="16" t="inlineStr">
        <is>
          <t>3. This Month (Sep 2026)</t>
        </is>
      </c>
      <c r="C172" s="14" t="inlineStr">
        <is>
          <t>Meta Ads (NB PropertyTech Rental Ad 0408)</t>
        </is>
      </c>
      <c r="D172" s="14" t="inlineStr">
        <is>
          <t>Divyesh Ruparel (8306640345)</t>
        </is>
      </c>
      <c r="E172" s="14" t="inlineStr">
        <is>
          <t>Prexa Vithalapara</t>
        </is>
      </c>
      <c r="F172" s="14" t="inlineStr">
        <is>
          <t>Interested</t>
        </is>
      </c>
      <c r="G172" s="14" t="inlineStr">
        <is>
          <t>Not Assigned</t>
        </is>
      </c>
      <c r="H172" s="14" t="inlineStr">
        <is>
          <t>N/A (Not Assigned)</t>
        </is>
      </c>
      <c r="I172" s="14" t="inlineStr">
        <is>
          <t>Property Remark: Semi furnished, modular kitchen, basic accesories, Geyser</t>
        </is>
      </c>
    </row>
    <row r="173" ht="20" customHeight="1">
      <c r="A173" s="58" t="n">
        <v>46276.95210474537</v>
      </c>
      <c r="B173" s="19" t="inlineStr">
        <is>
          <t>3. This Month (Sep 2026)</t>
        </is>
      </c>
      <c r="C173" s="17" t="inlineStr">
        <is>
          <t>Webhook API (NB PropertyTech Rental Ad 0408)</t>
        </is>
      </c>
      <c r="D173" s="17" t="inlineStr">
        <is>
          <t>Raval Maheshkumar (9428330934)</t>
        </is>
      </c>
      <c r="E173" s="17" t="inlineStr">
        <is>
          <t>Prexa Vithalapara</t>
        </is>
      </c>
      <c r="F173" s="17" t="inlineStr">
        <is>
          <t>Rejected / Lost</t>
        </is>
      </c>
      <c r="G173" s="17" t="inlineStr">
        <is>
          <t>Not Assigned</t>
        </is>
      </c>
      <c r="H173" s="17" t="inlineStr">
        <is>
          <t>N/A (Not Assigned)</t>
        </is>
      </c>
      <c r="I173" s="17" t="inlineStr">
        <is>
          <t>-</t>
        </is>
      </c>
    </row>
    <row r="174" ht="20" customHeight="1">
      <c r="A174" s="57" t="n">
        <v>46276.72232517361</v>
      </c>
      <c r="B174" s="16" t="inlineStr">
        <is>
          <t>3. This Month (Sep 2026)</t>
        </is>
      </c>
      <c r="C174" s="14" t="inlineStr">
        <is>
          <t>Meta Ads (NB PropertyTech Rental Ad 0408)</t>
        </is>
      </c>
      <c r="D174" s="14" t="inlineStr">
        <is>
          <t>Priti Jilka Wala (9167855070)</t>
        </is>
      </c>
      <c r="E174" s="14" t="inlineStr">
        <is>
          <t>Prexa Vithalapara</t>
        </is>
      </c>
      <c r="F174" s="14" t="inlineStr">
        <is>
          <t>Rejected (Not_Interested)</t>
        </is>
      </c>
      <c r="G174" s="14" t="inlineStr">
        <is>
          <t>Not Assigned</t>
        </is>
      </c>
      <c r="H174" s="14" t="inlineStr">
        <is>
          <t>N/A (Not Assigned)</t>
        </is>
      </c>
      <c r="I174" s="14" t="inlineStr">
        <is>
          <t>NOT INTERESTED | Rejection: NOT_INTERESTED | Followup: call cut zeel jode vat thai chhe ev kidhu</t>
        </is>
      </c>
    </row>
    <row r="175" ht="20" customHeight="1">
      <c r="A175" s="58" t="n">
        <v>46276.66479644676</v>
      </c>
      <c r="B175" s="19" t="inlineStr">
        <is>
          <t>3. This Month (Sep 2026)</t>
        </is>
      </c>
      <c r="C175" s="17" t="inlineStr">
        <is>
          <t>Webhook API (NB PropertyTech Rental Ad 0408)</t>
        </is>
      </c>
      <c r="D175" s="17" t="inlineStr">
        <is>
          <t>Robindranath Raval (9824004802)</t>
        </is>
      </c>
      <c r="E175" s="17" t="inlineStr">
        <is>
          <t>Prexa Vithalapara</t>
        </is>
      </c>
      <c r="F175" s="17" t="inlineStr">
        <is>
          <t>CNR (Could Not Reach)</t>
        </is>
      </c>
      <c r="G175" s="17" t="inlineStr">
        <is>
          <t>Not Assigned</t>
        </is>
      </c>
      <c r="H175" s="17" t="inlineStr">
        <is>
          <t>N/A (Not Assigned)</t>
        </is>
      </c>
      <c r="I175" s="17" t="inlineStr">
        <is>
          <t>Transfer Note: Marked as CNR | Followup: CNR</t>
        </is>
      </c>
    </row>
    <row r="176" ht="20" customHeight="1">
      <c r="A176" s="57" t="n">
        <v>46276.57858457176</v>
      </c>
      <c r="B176" s="16" t="inlineStr">
        <is>
          <t>3. This Month (Sep 2026)</t>
        </is>
      </c>
      <c r="C176" s="14" t="inlineStr">
        <is>
          <t>Webhook API (NB PropertyTech Rental Ad 0408)</t>
        </is>
      </c>
      <c r="D176" s="14" t="inlineStr">
        <is>
          <t>Amman Prajapati (9584366883)</t>
        </is>
      </c>
      <c r="E176" s="14" t="inlineStr">
        <is>
          <t>Prexa Vithalapara</t>
        </is>
      </c>
      <c r="F176" s="14" t="inlineStr">
        <is>
          <t>Interested</t>
        </is>
      </c>
      <c r="G176" s="14" t="inlineStr">
        <is>
          <t>Not Assigned</t>
        </is>
      </c>
      <c r="H176" s="14" t="inlineStr">
        <is>
          <t>N/A (Not Assigned)</t>
        </is>
      </c>
      <c r="I176" s="14" t="inlineStr">
        <is>
          <t>10K, 1 bhk, back</t>
        </is>
      </c>
    </row>
    <row r="177" ht="20" customHeight="1">
      <c r="A177" s="58" t="n">
        <v>46276.51049824074</v>
      </c>
      <c r="B177" s="19" t="inlineStr">
        <is>
          <t>3. This Month (Sep 2026)</t>
        </is>
      </c>
      <c r="C177" s="17" t="inlineStr">
        <is>
          <t>Meta Ads (NB PropertyTech Rental Ad 0408)</t>
        </is>
      </c>
      <c r="D177" s="17" t="inlineStr">
        <is>
          <t>Sabita Dutta (9998502333)</t>
        </is>
      </c>
      <c r="E177" s="17" t="inlineStr">
        <is>
          <t>Unassigned</t>
        </is>
      </c>
      <c r="F177" s="17" t="inlineStr">
        <is>
          <t>CNR (Could Not Reach)</t>
        </is>
      </c>
      <c r="G177" s="17" t="inlineStr">
        <is>
          <t>Not Assigned</t>
        </is>
      </c>
      <c r="H177" s="17" t="inlineStr">
        <is>
          <t>N/A (Not Assigned)</t>
        </is>
      </c>
      <c r="I177" s="17" t="inlineStr">
        <is>
          <t>-</t>
        </is>
      </c>
    </row>
    <row r="178" ht="20" customHeight="1">
      <c r="A178" s="57" t="n">
        <v>46276.5104978125</v>
      </c>
      <c r="B178" s="16" t="inlineStr">
        <is>
          <t>3. This Month (Sep 2026)</t>
        </is>
      </c>
      <c r="C178" s="14" t="inlineStr">
        <is>
          <t>Meta Ads (NB PropertyTech Rental Ad 0408)</t>
        </is>
      </c>
      <c r="D178" s="14" t="inlineStr">
        <is>
          <t>Bansari Ghiya Shah (9427736619)</t>
        </is>
      </c>
      <c r="E178" s="14" t="inlineStr">
        <is>
          <t>Unassigned</t>
        </is>
      </c>
      <c r="F178" s="14" t="inlineStr">
        <is>
          <t>New</t>
        </is>
      </c>
      <c r="G178" s="14" t="inlineStr">
        <is>
          <t>Not Assigned</t>
        </is>
      </c>
      <c r="H178" s="14" t="inlineStr">
        <is>
          <t>N/A (Not Assigned)</t>
        </is>
      </c>
      <c r="I178" s="14" t="inlineStr">
        <is>
          <t>-</t>
        </is>
      </c>
    </row>
    <row r="179" ht="20" customHeight="1">
      <c r="A179" s="58" t="n">
        <v>46276.51049349537</v>
      </c>
      <c r="B179" s="19" t="inlineStr">
        <is>
          <t>3. This Month (Sep 2026)</t>
        </is>
      </c>
      <c r="C179" s="17" t="inlineStr">
        <is>
          <t>Meta Ads (NB PropertyTech Rental Ad 0408)</t>
        </is>
      </c>
      <c r="D179" s="17" t="inlineStr">
        <is>
          <t>𝕄𝕒𝕪𝕒𝕟𝕜 𝔾𝕦𝕡𝕥𝕒 (9427971960)</t>
        </is>
      </c>
      <c r="E179" s="17" t="inlineStr">
        <is>
          <t>Unassigned</t>
        </is>
      </c>
      <c r="F179" s="17" t="inlineStr">
        <is>
          <t>CNR (Could Not Reach)</t>
        </is>
      </c>
      <c r="G179" s="17" t="inlineStr">
        <is>
          <t>Not Assigned</t>
        </is>
      </c>
      <c r="H179" s="17" t="inlineStr">
        <is>
          <t>N/A (Not Assigned)</t>
        </is>
      </c>
      <c r="I179" s="17" t="inlineStr">
        <is>
          <t>-</t>
        </is>
      </c>
    </row>
    <row r="180" ht="20" customHeight="1">
      <c r="A180" s="57" t="n">
        <v>46276.51049292824</v>
      </c>
      <c r="B180" s="16" t="inlineStr">
        <is>
          <t>3. This Month (Sep 2026)</t>
        </is>
      </c>
      <c r="C180" s="14" t="inlineStr">
        <is>
          <t>Meta Ads (NB PropertyTech Rental Ad 0408)</t>
        </is>
      </c>
      <c r="D180" s="14" t="inlineStr">
        <is>
          <t>Atulbhai Shantilal Shah (9574605459)</t>
        </is>
      </c>
      <c r="E180" s="14" t="inlineStr">
        <is>
          <t>Unassigned</t>
        </is>
      </c>
      <c r="F180" s="14" t="inlineStr">
        <is>
          <t>New</t>
        </is>
      </c>
      <c r="G180" s="14" t="inlineStr">
        <is>
          <t>Not Assigned</t>
        </is>
      </c>
      <c r="H180" s="14" t="inlineStr">
        <is>
          <t>N/A (Not Assigned)</t>
        </is>
      </c>
      <c r="I180" s="14" t="inlineStr">
        <is>
          <t>-</t>
        </is>
      </c>
    </row>
    <row r="181" ht="20" customHeight="1">
      <c r="A181" s="58" t="n">
        <v>46276.51049087963</v>
      </c>
      <c r="B181" s="19" t="inlineStr">
        <is>
          <t>3. This Month (Sep 2026)</t>
        </is>
      </c>
      <c r="C181" s="17" t="inlineStr">
        <is>
          <t>Meta Ads (NB PropertyTech Rental Ad 0408)</t>
        </is>
      </c>
      <c r="D181" s="17" t="inlineStr">
        <is>
          <t>Dharti Umrania (8758043902)</t>
        </is>
      </c>
      <c r="E181" s="17" t="inlineStr">
        <is>
          <t>Unassigned</t>
        </is>
      </c>
      <c r="F181" s="17" t="inlineStr">
        <is>
          <t>New</t>
        </is>
      </c>
      <c r="G181" s="17" t="inlineStr">
        <is>
          <t>Not Assigned</t>
        </is>
      </c>
      <c r="H181" s="17" t="inlineStr">
        <is>
          <t>N/A (Not Assigned)</t>
        </is>
      </c>
      <c r="I181" s="17" t="inlineStr">
        <is>
          <t>-</t>
        </is>
      </c>
    </row>
    <row r="182" ht="20" customHeight="1">
      <c r="A182" s="57" t="n">
        <v>46276.51049041667</v>
      </c>
      <c r="B182" s="16" t="inlineStr">
        <is>
          <t>3. This Month (Sep 2026)</t>
        </is>
      </c>
      <c r="C182" s="14" t="inlineStr">
        <is>
          <t>Meta Ads (NB PropertyTech Rental Ad 0408)</t>
        </is>
      </c>
      <c r="D182" s="14" t="inlineStr">
        <is>
          <t>N Desai (9726480351)</t>
        </is>
      </c>
      <c r="E182" s="14" t="inlineStr">
        <is>
          <t>Unassigned</t>
        </is>
      </c>
      <c r="F182" s="14" t="inlineStr">
        <is>
          <t>New</t>
        </is>
      </c>
      <c r="G182" s="14" t="inlineStr">
        <is>
          <t>Not Assigned</t>
        </is>
      </c>
      <c r="H182" s="14" t="inlineStr">
        <is>
          <t>N/A (Not Assigned)</t>
        </is>
      </c>
      <c r="I182" s="14" t="inlineStr">
        <is>
          <t>-</t>
        </is>
      </c>
    </row>
    <row r="183" ht="20" customHeight="1">
      <c r="A183" s="58" t="n">
        <v>46276.51048928241</v>
      </c>
      <c r="B183" s="19" t="inlineStr">
        <is>
          <t>3. This Month (Sep 2026)</t>
        </is>
      </c>
      <c r="C183" s="17" t="inlineStr">
        <is>
          <t>Meta Ads (NB PropertyTech Rental Ad 0408)</t>
        </is>
      </c>
      <c r="D183" s="17" t="inlineStr">
        <is>
          <t>Jayesh Prajapati (9712526879)</t>
        </is>
      </c>
      <c r="E183" s="17" t="inlineStr">
        <is>
          <t>Unassigned</t>
        </is>
      </c>
      <c r="F183" s="17" t="inlineStr">
        <is>
          <t>New</t>
        </is>
      </c>
      <c r="G183" s="17" t="inlineStr">
        <is>
          <t>Not Assigned</t>
        </is>
      </c>
      <c r="H183" s="17" t="inlineStr">
        <is>
          <t>N/A (Not Assigned)</t>
        </is>
      </c>
      <c r="I183" s="17" t="inlineStr">
        <is>
          <t>-</t>
        </is>
      </c>
    </row>
    <row r="184" ht="20" customHeight="1">
      <c r="A184" s="57" t="n">
        <v>46276.50689574074</v>
      </c>
      <c r="B184" s="16" t="inlineStr">
        <is>
          <t>3. This Month (Sep 2026)</t>
        </is>
      </c>
      <c r="C184" s="14" t="inlineStr">
        <is>
          <t>Meta Ads (NB PropertyTech Rental Ad 0408)</t>
        </is>
      </c>
      <c r="D184" s="14" t="inlineStr">
        <is>
          <t>Pragnaba Jaspalsinh Parmar (9662104405)</t>
        </is>
      </c>
      <c r="E184" s="14" t="inlineStr">
        <is>
          <t>Unassigned</t>
        </is>
      </c>
      <c r="F184" s="14" t="inlineStr">
        <is>
          <t>New</t>
        </is>
      </c>
      <c r="G184" s="14" t="inlineStr">
        <is>
          <t>Not Assigned</t>
        </is>
      </c>
      <c r="H184" s="14" t="inlineStr">
        <is>
          <t>N/A (Not Assigned)</t>
        </is>
      </c>
      <c r="I184" s="14" t="inlineStr">
        <is>
          <t>-</t>
        </is>
      </c>
    </row>
    <row r="185" ht="20" customHeight="1">
      <c r="A185" s="58" t="n">
        <v>46276.50292554398</v>
      </c>
      <c r="B185" s="19" t="inlineStr">
        <is>
          <t>3. This Month (Sep 2026)</t>
        </is>
      </c>
      <c r="C185" s="17" t="inlineStr">
        <is>
          <t>Meta Ads (NB PropertyTech Rental Ad 0408)</t>
        </is>
      </c>
      <c r="D185" s="17" t="inlineStr">
        <is>
          <t>Remi Remrem (9383177325)</t>
        </is>
      </c>
      <c r="E185" s="17" t="inlineStr">
        <is>
          <t>Prexa Vithalapara</t>
        </is>
      </c>
      <c r="F185" s="17" t="inlineStr">
        <is>
          <t>Rejected / Lost</t>
        </is>
      </c>
      <c r="G185" s="17" t="inlineStr">
        <is>
          <t>Not Assigned</t>
        </is>
      </c>
      <c r="H185" s="17" t="inlineStr">
        <is>
          <t>N/A (Not Assigned)</t>
        </is>
      </c>
      <c r="I185" s="17" t="inlineStr">
        <is>
          <t>-</t>
        </is>
      </c>
    </row>
    <row r="186" ht="20" customHeight="1">
      <c r="A186" s="57" t="n">
        <v>46276.50292534722</v>
      </c>
      <c r="B186" s="16" t="inlineStr">
        <is>
          <t>3. This Month (Sep 2026)</t>
        </is>
      </c>
      <c r="C186" s="14" t="inlineStr">
        <is>
          <t>Meta Ads (NB PropertyTech Rental Ad 0408)</t>
        </is>
      </c>
      <c r="D186" s="14" t="inlineStr">
        <is>
          <t>Ramesh Padia (9898467025)</t>
        </is>
      </c>
      <c r="E186" s="14" t="inlineStr">
        <is>
          <t>Prexa Vithalapara</t>
        </is>
      </c>
      <c r="F186" s="14" t="inlineStr">
        <is>
          <t>Interested</t>
        </is>
      </c>
      <c r="G186" s="14" t="inlineStr">
        <is>
          <t>Not Assigned</t>
        </is>
      </c>
      <c r="H186" s="14" t="inlineStr">
        <is>
          <t>N/A (Not Assigned)</t>
        </is>
      </c>
      <c r="I186" s="14" t="inlineStr">
        <is>
          <t>Followup: Pictures are pending | Property Remark: 4k per year, electricity bill excluded</t>
        </is>
      </c>
    </row>
    <row r="187" ht="20" customHeight="1">
      <c r="A187" s="58" t="n">
        <v>46275.87145884259</v>
      </c>
      <c r="B187" s="19" t="inlineStr">
        <is>
          <t>3. This Month (Sep 2026)</t>
        </is>
      </c>
      <c r="C187" s="17" t="inlineStr">
        <is>
          <t>Meta Ads (NB PropertyTech Rental Ad 0408)</t>
        </is>
      </c>
      <c r="D187" s="17" t="inlineStr">
        <is>
          <t>Sameer Shaikh (9574530786)</t>
        </is>
      </c>
      <c r="E187" s="17" t="inlineStr">
        <is>
          <t>Prexa Vithalapara</t>
        </is>
      </c>
      <c r="F187" s="17" t="inlineStr">
        <is>
          <t>Interested</t>
        </is>
      </c>
      <c r="G187" s="17" t="inlineStr">
        <is>
          <t>Not Assigned</t>
        </is>
      </c>
      <c r="H187" s="17" t="inlineStr">
        <is>
          <t>N/A (Not Assigned)</t>
        </is>
      </c>
      <c r="I187" s="17" t="inlineStr">
        <is>
          <t>Followup: Details and pictures are pending</t>
        </is>
      </c>
    </row>
    <row r="188" ht="20" customHeight="1">
      <c r="A188" s="57" t="n">
        <v>46275.82007157407</v>
      </c>
      <c r="B188" s="16" t="inlineStr">
        <is>
          <t>3. This Month (Sep 2026)</t>
        </is>
      </c>
      <c r="C188" s="14" t="inlineStr">
        <is>
          <t>Meta Ads (NB PropertyTech Rental Ad 0408)</t>
        </is>
      </c>
      <c r="D188" s="14" t="inlineStr">
        <is>
          <t>Meghraj (9104409194)</t>
        </is>
      </c>
      <c r="E188" s="14" t="inlineStr">
        <is>
          <t>Prexa Vithalapara</t>
        </is>
      </c>
      <c r="F188" s="14" t="inlineStr">
        <is>
          <t>Rejected / Lost</t>
        </is>
      </c>
      <c r="G188" s="14" t="inlineStr">
        <is>
          <t>Not Assigned</t>
        </is>
      </c>
      <c r="H188" s="14" t="inlineStr">
        <is>
          <t>N/A (Not Assigned)</t>
        </is>
      </c>
      <c r="I188" s="14" t="inlineStr">
        <is>
          <t>-</t>
        </is>
      </c>
    </row>
    <row r="189" ht="20" customHeight="1">
      <c r="A189" s="58" t="n">
        <v>46275.68607923611</v>
      </c>
      <c r="B189" s="19" t="inlineStr">
        <is>
          <t>3. This Month (Sep 2026)</t>
        </is>
      </c>
      <c r="C189" s="17" t="inlineStr">
        <is>
          <t>Meta Ads (NB PropertyTech Rental Ad 0408)</t>
        </is>
      </c>
      <c r="D189" s="17" t="inlineStr">
        <is>
          <t>Dinesh Parmar (8511123220)</t>
        </is>
      </c>
      <c r="E189" s="17" t="inlineStr">
        <is>
          <t>Prexa Vithalapara</t>
        </is>
      </c>
      <c r="F189" s="17" t="inlineStr">
        <is>
          <t>Interested</t>
        </is>
      </c>
      <c r="G189" s="17" t="inlineStr">
        <is>
          <t>Not Assigned</t>
        </is>
      </c>
      <c r="H189" s="17" t="inlineStr">
        <is>
          <t>N/A (Not Assigned)</t>
        </is>
      </c>
      <c r="I189" s="17" t="inlineStr">
        <is>
          <t>Followup: Pictures are pending | Property Remark: Maintenance 1800</t>
        </is>
      </c>
    </row>
    <row r="190" ht="20" customHeight="1">
      <c r="A190" s="57" t="n">
        <v>46275.63929070602</v>
      </c>
      <c r="B190" s="16" t="inlineStr">
        <is>
          <t>3. This Month (Sep 2026)</t>
        </is>
      </c>
      <c r="C190" s="14" t="inlineStr">
        <is>
          <t>Meta Ads (NB PropertyTech Rental Ad 0408)</t>
        </is>
      </c>
      <c r="D190" s="14" t="inlineStr">
        <is>
          <t>Saudamini Kapasi (6355275700)</t>
        </is>
      </c>
      <c r="E190" s="14" t="inlineStr">
        <is>
          <t>Prexa Vithalapara</t>
        </is>
      </c>
      <c r="F190" s="14" t="inlineStr">
        <is>
          <t>Interested</t>
        </is>
      </c>
      <c r="G190" s="14" t="inlineStr">
        <is>
          <t>Not Assigned</t>
        </is>
      </c>
      <c r="H190" s="14" t="inlineStr">
        <is>
          <t>N/A (Not Assigned)</t>
        </is>
      </c>
      <c r="I190" s="14" t="inlineStr">
        <is>
          <t>Followup: Test</t>
        </is>
      </c>
    </row>
    <row r="191" ht="20" customHeight="1">
      <c r="A191" s="58" t="n">
        <v>46275.51197082176</v>
      </c>
      <c r="B191" s="19" t="inlineStr">
        <is>
          <t>3. This Month (Sep 2026)</t>
        </is>
      </c>
      <c r="C191" s="17" t="inlineStr">
        <is>
          <t>Meta Ads (NB PropertyTech Rental Ad 0408)</t>
        </is>
      </c>
      <c r="D191" s="17" t="inlineStr">
        <is>
          <t>Gayatri Brahmbhatt (8160769507)</t>
        </is>
      </c>
      <c r="E191" s="17" t="inlineStr">
        <is>
          <t>Unassigned</t>
        </is>
      </c>
      <c r="F191" s="17" t="inlineStr">
        <is>
          <t>Interested</t>
        </is>
      </c>
      <c r="G191" s="17" t="inlineStr">
        <is>
          <t>Not Assigned</t>
        </is>
      </c>
      <c r="H191" s="17" t="inlineStr">
        <is>
          <t>N/A (Not Assigned)</t>
        </is>
      </c>
      <c r="I191" s="17" t="inlineStr">
        <is>
          <t>-</t>
        </is>
      </c>
    </row>
    <row r="192" ht="20" customHeight="1">
      <c r="A192" s="57" t="n">
        <v>46275.48313788194</v>
      </c>
      <c r="B192" s="16" t="inlineStr">
        <is>
          <t>3. This Month (Sep 2026)</t>
        </is>
      </c>
      <c r="C192" s="14" t="inlineStr">
        <is>
          <t>Meta Ads (NB PropertyTech Rental Ad 0408)</t>
        </is>
      </c>
      <c r="D192" s="14" t="inlineStr">
        <is>
          <t>Nilamba Rana (8160810237)</t>
        </is>
      </c>
      <c r="E192" s="14" t="inlineStr">
        <is>
          <t>Zeel Mudaliyar</t>
        </is>
      </c>
      <c r="F192" s="14" t="inlineStr">
        <is>
          <t>Rejected / Lost</t>
        </is>
      </c>
      <c r="G192" s="14" t="inlineStr">
        <is>
          <t>Not Assigned</t>
        </is>
      </c>
      <c r="H192" s="14" t="inlineStr">
        <is>
          <t>N/A (Not Assigned)</t>
        </is>
      </c>
      <c r="I192" s="14" t="inlineStr">
        <is>
          <t>-</t>
        </is>
      </c>
    </row>
    <row r="193" ht="20" customHeight="1">
      <c r="A193" s="58" t="n">
        <v>46275.48313773148</v>
      </c>
      <c r="B193" s="19" t="inlineStr">
        <is>
          <t>3. This Month (Sep 2026)</t>
        </is>
      </c>
      <c r="C193" s="17" t="inlineStr">
        <is>
          <t>Meta Ads (NB PropertyTech Rental Ad 0408)</t>
        </is>
      </c>
      <c r="D193" s="17" t="inlineStr">
        <is>
          <t>Vipul Vaghela (7383445381)</t>
        </is>
      </c>
      <c r="E193" s="17" t="inlineStr">
        <is>
          <t>Unassigned</t>
        </is>
      </c>
      <c r="F193" s="17" t="inlineStr">
        <is>
          <t>CNR (Could Not Reach)</t>
        </is>
      </c>
      <c r="G193" s="17" t="inlineStr">
        <is>
          <t>Not Assigned</t>
        </is>
      </c>
      <c r="H193" s="17" t="inlineStr">
        <is>
          <t>N/A (Not Assigned)</t>
        </is>
      </c>
      <c r="I193" s="17" t="inlineStr">
        <is>
          <t>-</t>
        </is>
      </c>
    </row>
    <row r="194" ht="20" customHeight="1">
      <c r="A194" s="57" t="n">
        <v>46275.48313758102</v>
      </c>
      <c r="B194" s="16" t="inlineStr">
        <is>
          <t>3. This Month (Sep 2026)</t>
        </is>
      </c>
      <c r="C194" s="14" t="inlineStr">
        <is>
          <t>Meta Ads (NB PropertyTech Rental Ad 0408)</t>
        </is>
      </c>
      <c r="D194" s="14" t="inlineStr">
        <is>
          <t>Hardik Nayak (9724409089)</t>
        </is>
      </c>
      <c r="E194" s="14" t="inlineStr">
        <is>
          <t>Zeel Mudaliyar</t>
        </is>
      </c>
      <c r="F194" s="14" t="inlineStr">
        <is>
          <t>Interested</t>
        </is>
      </c>
      <c r="G194" s="14" t="inlineStr">
        <is>
          <t>Not Assigned</t>
        </is>
      </c>
      <c r="H194" s="14" t="inlineStr">
        <is>
          <t>N/A (Not Assigned)</t>
        </is>
      </c>
      <c r="I194" s="14" t="inlineStr">
        <is>
          <t>Followup: In traffic (Rented out or out) | Property Remark: Semi furnished, modular kitchen, bed, basic accesories, gas line
Maintenance 2250</t>
        </is>
      </c>
    </row>
    <row r="195" ht="20" customHeight="1">
      <c r="A195" s="58" t="n">
        <v>46275.48313743056</v>
      </c>
      <c r="B195" s="19" t="inlineStr">
        <is>
          <t>3. This Month (Sep 2026)</t>
        </is>
      </c>
      <c r="C195" s="17" t="inlineStr">
        <is>
          <t>Meta Ads (NB PropertyTech Rental Ad 0408)</t>
        </is>
      </c>
      <c r="D195" s="17" t="inlineStr">
        <is>
          <t>Rahul Patel (9274122436)</t>
        </is>
      </c>
      <c r="E195" s="17" t="inlineStr">
        <is>
          <t>Prexa Vithalapara</t>
        </is>
      </c>
      <c r="F195" s="17" t="inlineStr">
        <is>
          <t>New</t>
        </is>
      </c>
      <c r="G195" s="17" t="inlineStr">
        <is>
          <t>Not Assigned</t>
        </is>
      </c>
      <c r="H195" s="17" t="inlineStr">
        <is>
          <t>N/A (Not Assigned)</t>
        </is>
      </c>
      <c r="I195" s="17" t="inlineStr">
        <is>
          <t>-</t>
        </is>
      </c>
    </row>
    <row r="196" ht="20" customHeight="1">
      <c r="A196" s="57" t="n">
        <v>46275.48313722223</v>
      </c>
      <c r="B196" s="16" t="inlineStr">
        <is>
          <t>3. This Month (Sep 2026)</t>
        </is>
      </c>
      <c r="C196" s="14" t="inlineStr">
        <is>
          <t>Meta Ads (NB PropertyTech Rental Ad 0408)</t>
        </is>
      </c>
      <c r="D196" s="14" t="inlineStr">
        <is>
          <t>Prince Desai Por (9909496754)</t>
        </is>
      </c>
      <c r="E196" s="14" t="inlineStr">
        <is>
          <t>Zeel Mudaliyar</t>
        </is>
      </c>
      <c r="F196" s="14" t="inlineStr">
        <is>
          <t>Interested</t>
        </is>
      </c>
      <c r="G196" s="14" t="inlineStr">
        <is>
          <t>Not Assigned</t>
        </is>
      </c>
      <c r="H196" s="14" t="inlineStr">
        <is>
          <t>N/A (Not Assigned)</t>
        </is>
      </c>
      <c r="I196" s="14" t="inlineStr">
        <is>
          <t>-</t>
        </is>
      </c>
    </row>
    <row r="197" ht="20" customHeight="1">
      <c r="A197" s="58" t="n">
        <v>46275.48313695602</v>
      </c>
      <c r="B197" s="19" t="inlineStr">
        <is>
          <t>3. This Month (Sep 2026)</t>
        </is>
      </c>
      <c r="C197" s="17" t="inlineStr">
        <is>
          <t>Meta Ads (NB PropertyTech Rental Ad 0408)</t>
        </is>
      </c>
      <c r="D197" s="17" t="inlineStr">
        <is>
          <t>Dharmendra Pal (9755097887)</t>
        </is>
      </c>
      <c r="E197" s="17" t="inlineStr">
        <is>
          <t>Zeel Mudaliyar</t>
        </is>
      </c>
      <c r="F197" s="17" t="inlineStr">
        <is>
          <t>Rejected / Lost</t>
        </is>
      </c>
      <c r="G197" s="17" t="inlineStr">
        <is>
          <t>Not Assigned</t>
        </is>
      </c>
      <c r="H197" s="17" t="inlineStr">
        <is>
          <t>N/A (Not Assigned)</t>
        </is>
      </c>
      <c r="I197" s="17" t="inlineStr">
        <is>
          <t>Followup: Call not received</t>
        </is>
      </c>
    </row>
    <row r="198" ht="20" customHeight="1">
      <c r="A198" s="57" t="n">
        <v>46275.48313671297</v>
      </c>
      <c r="B198" s="16" t="inlineStr">
        <is>
          <t>3. This Month (Sep 2026)</t>
        </is>
      </c>
      <c r="C198" s="14" t="inlineStr">
        <is>
          <t>Meta Ads (NB PropertyTech Rental Ad 0408)</t>
        </is>
      </c>
      <c r="D198" s="14" t="inlineStr">
        <is>
          <t>Vivek Shah (7069041838)</t>
        </is>
      </c>
      <c r="E198" s="14" t="inlineStr">
        <is>
          <t>Zeel Mudaliyar</t>
        </is>
      </c>
      <c r="F198" s="14" t="inlineStr">
        <is>
          <t>Rejected / Lost</t>
        </is>
      </c>
      <c r="G198" s="14" t="inlineStr">
        <is>
          <t>Not Assigned</t>
        </is>
      </c>
      <c r="H198" s="14" t="inlineStr">
        <is>
          <t>N/A (Not Assigned)</t>
        </is>
      </c>
      <c r="I198" s="14" t="inlineStr">
        <is>
          <t>-</t>
        </is>
      </c>
    </row>
    <row r="199" ht="20" customHeight="1">
      <c r="A199" s="58" t="n">
        <v>46275.4831365625</v>
      </c>
      <c r="B199" s="19" t="inlineStr">
        <is>
          <t>3. This Month (Sep 2026)</t>
        </is>
      </c>
      <c r="C199" s="17" t="inlineStr">
        <is>
          <t>Meta Ads (NB PropertyTech Rental Ad 0408)</t>
        </is>
      </c>
      <c r="D199" s="17" t="inlineStr">
        <is>
          <t>Asmita Patel (9510187511)</t>
        </is>
      </c>
      <c r="E199" s="17" t="inlineStr">
        <is>
          <t>Zeel Mudaliyar</t>
        </is>
      </c>
      <c r="F199" s="17" t="inlineStr">
        <is>
          <t>Interested</t>
        </is>
      </c>
      <c r="G199" s="17" t="inlineStr">
        <is>
          <t>Not Assigned</t>
        </is>
      </c>
      <c r="H199" s="17" t="inlineStr">
        <is>
          <t>N/A (Not Assigned)</t>
        </is>
      </c>
      <c r="I199" s="17" t="inlineStr">
        <is>
          <t>Property Remark: Semi furnished, modular kitchen, bed, basic accesories</t>
        </is>
      </c>
    </row>
    <row r="200" ht="20" customHeight="1">
      <c r="A200" s="57" t="n">
        <v>46275.48313644676</v>
      </c>
      <c r="B200" s="16" t="inlineStr">
        <is>
          <t>3. This Month (Sep 2026)</t>
        </is>
      </c>
      <c r="C200" s="14" t="inlineStr">
        <is>
          <t>Meta Ads (NB PropertyTech Rental Ad 0408)</t>
        </is>
      </c>
      <c r="D200" s="14" t="inlineStr">
        <is>
          <t>Khushkalal_17 (8955698200)</t>
        </is>
      </c>
      <c r="E200" s="14" t="inlineStr">
        <is>
          <t>Zeel Mudaliyar</t>
        </is>
      </c>
      <c r="F200" s="14" t="inlineStr">
        <is>
          <t>New</t>
        </is>
      </c>
      <c r="G200" s="14" t="inlineStr">
        <is>
          <t>Not Assigned</t>
        </is>
      </c>
      <c r="H200" s="14" t="inlineStr">
        <is>
          <t>N/A (Not Assigned)</t>
        </is>
      </c>
      <c r="I200" s="14" t="inlineStr">
        <is>
          <t>-</t>
        </is>
      </c>
    </row>
    <row r="201" ht="20" customHeight="1">
      <c r="A201" s="58" t="n">
        <v>46275.48313631945</v>
      </c>
      <c r="B201" s="19" t="inlineStr">
        <is>
          <t>3. This Month (Sep 2026)</t>
        </is>
      </c>
      <c r="C201" s="17" t="inlineStr">
        <is>
          <t>Meta Ads (NB PropertyTech Rental Ad 0408)</t>
        </is>
      </c>
      <c r="D201" s="17" t="inlineStr">
        <is>
          <t>Rohit Kumar Ravi (9993980365)</t>
        </is>
      </c>
      <c r="E201" s="17" t="inlineStr">
        <is>
          <t>Prexa Vithalapara</t>
        </is>
      </c>
      <c r="F201" s="17" t="inlineStr">
        <is>
          <t>New</t>
        </is>
      </c>
      <c r="G201" s="17" t="inlineStr">
        <is>
          <t>Not Assigned</t>
        </is>
      </c>
      <c r="H201" s="17" t="inlineStr">
        <is>
          <t>N/A (Not Assigned)</t>
        </is>
      </c>
      <c r="I201" s="17" t="inlineStr">
        <is>
          <t>-</t>
        </is>
      </c>
    </row>
    <row r="202" ht="20" customHeight="1">
      <c r="A202" s="57" t="n">
        <v>46275.48313604166</v>
      </c>
      <c r="B202" s="16" t="inlineStr">
        <is>
          <t>3. This Month (Sep 2026)</t>
        </is>
      </c>
      <c r="C202" s="14" t="inlineStr">
        <is>
          <t>Meta Ads (NB PropertyTech Rental Ad 0408)</t>
        </is>
      </c>
      <c r="D202" s="14" t="inlineStr">
        <is>
          <t>Alka Shah (9426599129)</t>
        </is>
      </c>
      <c r="E202" s="14" t="inlineStr">
        <is>
          <t>Unassigned</t>
        </is>
      </c>
      <c r="F202" s="14" t="inlineStr">
        <is>
          <t>CNR (Could Not Reach)</t>
        </is>
      </c>
      <c r="G202" s="14" t="inlineStr">
        <is>
          <t>Not Assigned</t>
        </is>
      </c>
      <c r="H202" s="14" t="inlineStr">
        <is>
          <t>N/A (Not Assigned)</t>
        </is>
      </c>
      <c r="I202" s="14" t="inlineStr">
        <is>
          <t>-</t>
        </is>
      </c>
    </row>
    <row r="203" ht="20" customHeight="1">
      <c r="A203" s="58" t="n">
        <v>46275.48313586805</v>
      </c>
      <c r="B203" s="19" t="inlineStr">
        <is>
          <t>3. This Month (Sep 2026)</t>
        </is>
      </c>
      <c r="C203" s="17" t="inlineStr">
        <is>
          <t>Meta Ads (NB PropertyTech Rental Ad 0408)</t>
        </is>
      </c>
      <c r="D203" s="17" t="inlineStr">
        <is>
          <t>Parmeshwar (9265031372)</t>
        </is>
      </c>
      <c r="E203" s="17" t="inlineStr">
        <is>
          <t>Prexa Vithalapara</t>
        </is>
      </c>
      <c r="F203" s="17" t="inlineStr">
        <is>
          <t>Rejected / Lost</t>
        </is>
      </c>
      <c r="G203" s="17" t="inlineStr">
        <is>
          <t>Not Assigned</t>
        </is>
      </c>
      <c r="H203" s="17" t="inlineStr">
        <is>
          <t>N/A (Not Assigned)</t>
        </is>
      </c>
      <c r="I203" s="17" t="inlineStr">
        <is>
          <t>Property Remark: Semi furnished, modular kitchen, basic accesories</t>
        </is>
      </c>
    </row>
    <row r="204" ht="20" customHeight="1">
      <c r="A204" s="57" t="n">
        <v>46275.48313569444</v>
      </c>
      <c r="B204" s="16" t="inlineStr">
        <is>
          <t>3. This Month (Sep 2026)</t>
        </is>
      </c>
      <c r="C204" s="14" t="inlineStr">
        <is>
          <t>Meta Ads (NB PropertyTech Rental Ad 0408)</t>
        </is>
      </c>
      <c r="D204" s="14" t="inlineStr">
        <is>
          <t>Abhii (8999660234)</t>
        </is>
      </c>
      <c r="E204" s="14" t="inlineStr">
        <is>
          <t>Prexa Vithalapara</t>
        </is>
      </c>
      <c r="F204" s="14" t="inlineStr">
        <is>
          <t>New</t>
        </is>
      </c>
      <c r="G204" s="14" t="inlineStr">
        <is>
          <t>Not Assigned</t>
        </is>
      </c>
      <c r="H204" s="14" t="inlineStr">
        <is>
          <t>N/A (Not Assigned)</t>
        </is>
      </c>
      <c r="I204" s="14" t="inlineStr">
        <is>
          <t>-</t>
        </is>
      </c>
    </row>
    <row r="205" ht="20" customHeight="1">
      <c r="A205" s="58" t="n">
        <v>46274.77473164352</v>
      </c>
      <c r="B205" s="19" t="inlineStr">
        <is>
          <t>3. This Month (Sep 2026)</t>
        </is>
      </c>
      <c r="C205" s="17" t="inlineStr">
        <is>
          <t>Meta Ads (NB PropertyTech Rental Ad 0408)</t>
        </is>
      </c>
      <c r="D205" s="17" t="inlineStr">
        <is>
          <t>Nisarg (7383981121)</t>
        </is>
      </c>
      <c r="E205" s="17" t="inlineStr">
        <is>
          <t>Prexa Vithalapara</t>
        </is>
      </c>
      <c r="F205" s="17" t="inlineStr">
        <is>
          <t>Rejected / Lost</t>
        </is>
      </c>
      <c r="G205" s="17" t="inlineStr">
        <is>
          <t>Not Assigned</t>
        </is>
      </c>
      <c r="H205" s="17" t="inlineStr">
        <is>
          <t>N/A (Not Assigned)</t>
        </is>
      </c>
      <c r="I205" s="17" t="inlineStr">
        <is>
          <t>-</t>
        </is>
      </c>
    </row>
    <row r="206" ht="20" customHeight="1">
      <c r="A206" s="57" t="n">
        <v>46274.77473149305</v>
      </c>
      <c r="B206" s="16" t="inlineStr">
        <is>
          <t>3. This Month (Sep 2026)</t>
        </is>
      </c>
      <c r="C206" s="14" t="inlineStr">
        <is>
          <t>Meta Ads (NB PropertyTech Rental Ad 0408)</t>
        </is>
      </c>
      <c r="D206" s="14" t="inlineStr">
        <is>
          <t>Riddhil Lathia (9819051025)</t>
        </is>
      </c>
      <c r="E206" s="14" t="inlineStr">
        <is>
          <t>Unassigned</t>
        </is>
      </c>
      <c r="F206" s="14" t="inlineStr">
        <is>
          <t>Rejected / Lost</t>
        </is>
      </c>
      <c r="G206" s="14" t="inlineStr">
        <is>
          <t>Not Assigned</t>
        </is>
      </c>
      <c r="H206" s="14" t="inlineStr">
        <is>
          <t>N/A (Not Assigned)</t>
        </is>
      </c>
      <c r="I206" s="14" t="inlineStr">
        <is>
          <t>-</t>
        </is>
      </c>
    </row>
    <row r="207" ht="20" customHeight="1">
      <c r="A207" s="58" t="n">
        <v>46274.77473134259</v>
      </c>
      <c r="B207" s="19" t="inlineStr">
        <is>
          <t>3. This Month (Sep 2026)</t>
        </is>
      </c>
      <c r="C207" s="17" t="inlineStr">
        <is>
          <t>Meta Ads (NB PropertyTech Rental Ad 0408)</t>
        </is>
      </c>
      <c r="D207" s="17" t="inlineStr">
        <is>
          <t>Mukeshbhai Gandhi (7990721847)</t>
        </is>
      </c>
      <c r="E207" s="17" t="inlineStr">
        <is>
          <t>Prexa Vithalapara</t>
        </is>
      </c>
      <c r="F207" s="17" t="inlineStr">
        <is>
          <t>Rejected / Lost</t>
        </is>
      </c>
      <c r="G207" s="17" t="inlineStr">
        <is>
          <t>Not Assigned</t>
        </is>
      </c>
      <c r="H207" s="17" t="inlineStr">
        <is>
          <t>N/A (Not Assigned)</t>
        </is>
      </c>
      <c r="I207" s="17" t="inlineStr">
        <is>
          <t>-</t>
        </is>
      </c>
    </row>
    <row r="208" ht="20" customHeight="1">
      <c r="A208" s="57" t="n">
        <v>46274.77473121528</v>
      </c>
      <c r="B208" s="16" t="inlineStr">
        <is>
          <t>3. This Month (Sep 2026)</t>
        </is>
      </c>
      <c r="C208" s="14" t="inlineStr">
        <is>
          <t>Meta Ads (NB PropertyTech Rental Ad 0408)</t>
        </is>
      </c>
      <c r="D208" s="14" t="inlineStr">
        <is>
          <t>Paresh Parmar (9714784630)</t>
        </is>
      </c>
      <c r="E208" s="14" t="inlineStr">
        <is>
          <t>Prexa Vithalapara</t>
        </is>
      </c>
      <c r="F208" s="14" t="inlineStr">
        <is>
          <t>Interested</t>
        </is>
      </c>
      <c r="G208" s="14" t="inlineStr">
        <is>
          <t>Not Assigned</t>
        </is>
      </c>
      <c r="H208" s="14" t="inlineStr">
        <is>
          <t>N/A (Not Assigned)</t>
        </is>
      </c>
      <c r="I208" s="14" t="inlineStr">
        <is>
          <t>-</t>
        </is>
      </c>
    </row>
    <row r="209" ht="20" customHeight="1">
      <c r="A209" s="58" t="n">
        <v>46274.77473106481</v>
      </c>
      <c r="B209" s="19" t="inlineStr">
        <is>
          <t>3. This Month (Sep 2026)</t>
        </is>
      </c>
      <c r="C209" s="17" t="inlineStr">
        <is>
          <t>Meta Ads (NB PropertyTech Rental Ad 0408)</t>
        </is>
      </c>
      <c r="D209" s="17" t="inlineStr">
        <is>
          <t>Ashvin Patel (9428514992)</t>
        </is>
      </c>
      <c r="E209" s="17" t="inlineStr">
        <is>
          <t>Unassigned</t>
        </is>
      </c>
      <c r="F209" s="17" t="inlineStr">
        <is>
          <t>CNR (Could Not Reach)</t>
        </is>
      </c>
      <c r="G209" s="17" t="inlineStr">
        <is>
          <t>Not Assigned</t>
        </is>
      </c>
      <c r="H209" s="17" t="inlineStr">
        <is>
          <t>N/A (Not Assigned)</t>
        </is>
      </c>
      <c r="I209" s="17" t="inlineStr">
        <is>
          <t>Property Remark: Modular Kitched, curtain, lights, fans, basic accessories
Electricity and gas bill from tenant side, good amenities such as gym, game zone etc..</t>
        </is>
      </c>
    </row>
    <row r="210" ht="20" customHeight="1">
      <c r="A210" s="57" t="n">
        <v>46274.77473090278</v>
      </c>
      <c r="B210" s="16" t="inlineStr">
        <is>
          <t>3. This Month (Sep 2026)</t>
        </is>
      </c>
      <c r="C210" s="14" t="inlineStr">
        <is>
          <t>Meta Ads (NB PropertyTech Rental Ad 0408)</t>
        </is>
      </c>
      <c r="D210" s="14" t="inlineStr">
        <is>
          <t>Naresh Brahmbhatt (9824164649)</t>
        </is>
      </c>
      <c r="E210" s="14" t="inlineStr">
        <is>
          <t>Prexa Vithalapara</t>
        </is>
      </c>
      <c r="F210" s="14" t="inlineStr">
        <is>
          <t>New</t>
        </is>
      </c>
      <c r="G210" s="14" t="inlineStr">
        <is>
          <t>Not Assigned</t>
        </is>
      </c>
      <c r="H210" s="14" t="inlineStr">
        <is>
          <t>N/A (Not Assigned)</t>
        </is>
      </c>
      <c r="I210" s="14" t="inlineStr">
        <is>
          <t>-</t>
        </is>
      </c>
    </row>
    <row r="211" ht="20" customHeight="1">
      <c r="A211" s="58" t="n">
        <v>46274.7747307176</v>
      </c>
      <c r="B211" s="19" t="inlineStr">
        <is>
          <t>3. This Month (Sep 2026)</t>
        </is>
      </c>
      <c r="C211" s="17" t="inlineStr">
        <is>
          <t>Meta Ads (NB PropertyTech Rental Ad 0408)</t>
        </is>
      </c>
      <c r="D211" s="17" t="inlineStr">
        <is>
          <t>Jay (9157684624)</t>
        </is>
      </c>
      <c r="E211" s="17" t="inlineStr">
        <is>
          <t>Zeel Mudaliyar</t>
        </is>
      </c>
      <c r="F211" s="17" t="inlineStr">
        <is>
          <t>New</t>
        </is>
      </c>
      <c r="G211" s="17" t="inlineStr">
        <is>
          <t>Not Assigned</t>
        </is>
      </c>
      <c r="H211" s="17" t="inlineStr">
        <is>
          <t>N/A (Not Assigned)</t>
        </is>
      </c>
      <c r="I211" s="17" t="inlineStr">
        <is>
          <t>Property Remark: No maintenance, 100 sq yard scape at house front, on ground floor, all facilities, wants 1 year of agreement</t>
        </is>
      </c>
    </row>
    <row r="212" ht="20" customHeight="1">
      <c r="A212" s="57" t="n">
        <v>46274.77473057871</v>
      </c>
      <c r="B212" s="16" t="inlineStr">
        <is>
          <t>3. This Month (Sep 2026)</t>
        </is>
      </c>
      <c r="C212" s="14" t="inlineStr">
        <is>
          <t>Meta Ads (NB PropertyTech Rental Ad 0408)</t>
        </is>
      </c>
      <c r="D212" s="14" t="inlineStr">
        <is>
          <t>Rajendra Jain (9426702573)</t>
        </is>
      </c>
      <c r="E212" s="14" t="inlineStr">
        <is>
          <t>Prexa Vithalapara</t>
        </is>
      </c>
      <c r="F212" s="14" t="inlineStr">
        <is>
          <t>New</t>
        </is>
      </c>
      <c r="G212" s="14" t="inlineStr">
        <is>
          <t>Not Assigned</t>
        </is>
      </c>
      <c r="H212" s="14" t="inlineStr">
        <is>
          <t>N/A (Not Assigned)</t>
        </is>
      </c>
      <c r="I212" s="14" t="inlineStr">
        <is>
          <t>-</t>
        </is>
      </c>
    </row>
    <row r="213" ht="20" customHeight="1">
      <c r="A213" s="58" t="n">
        <v>46274.77473045139</v>
      </c>
      <c r="B213" s="19" t="inlineStr">
        <is>
          <t>3. This Month (Sep 2026)</t>
        </is>
      </c>
      <c r="C213" s="17" t="inlineStr">
        <is>
          <t>Meta Ads (NB PropertyTech Rental Ad 0408)</t>
        </is>
      </c>
      <c r="D213" s="17" t="inlineStr">
        <is>
          <t>Urban Realty (9898775010)</t>
        </is>
      </c>
      <c r="E213" s="17" t="inlineStr">
        <is>
          <t>Zeel Mudaliyar</t>
        </is>
      </c>
      <c r="F213" s="17" t="inlineStr">
        <is>
          <t>New</t>
        </is>
      </c>
      <c r="G213" s="17" t="inlineStr">
        <is>
          <t>Not Assigned</t>
        </is>
      </c>
      <c r="H213" s="17" t="inlineStr">
        <is>
          <t>N/A (Not Assigned)</t>
        </is>
      </c>
      <c r="I213" s="17" t="inlineStr">
        <is>
          <t>-</t>
        </is>
      </c>
    </row>
    <row r="214" ht="20" customHeight="1">
      <c r="A214" s="57" t="n">
        <v>46274.77473034722</v>
      </c>
      <c r="B214" s="16" t="inlineStr">
        <is>
          <t>3. This Month (Sep 2026)</t>
        </is>
      </c>
      <c r="C214" s="14" t="inlineStr">
        <is>
          <t>Meta Ads (NB PropertyTech Rental Ad 0408)</t>
        </is>
      </c>
      <c r="D214" s="14" t="inlineStr">
        <is>
          <t>Sk (9909630275)</t>
        </is>
      </c>
      <c r="E214" s="14" t="inlineStr">
        <is>
          <t>Zeel Mudaliyar</t>
        </is>
      </c>
      <c r="F214" s="14" t="inlineStr">
        <is>
          <t>New</t>
        </is>
      </c>
      <c r="G214" s="14" t="inlineStr">
        <is>
          <t>Not Assigned</t>
        </is>
      </c>
      <c r="H214" s="14" t="inlineStr">
        <is>
          <t>N/A (Not Assigned)</t>
        </is>
      </c>
      <c r="I214" s="14" t="inlineStr">
        <is>
          <t>-</t>
        </is>
      </c>
    </row>
    <row r="215" ht="20" customHeight="1">
      <c r="A215" s="58" t="n">
        <v>46274.77473020833</v>
      </c>
      <c r="B215" s="19" t="inlineStr">
        <is>
          <t>3. This Month (Sep 2026)</t>
        </is>
      </c>
      <c r="C215" s="17" t="inlineStr">
        <is>
          <t>Meta Ads (NB PropertyTech Rental Ad 0408)</t>
        </is>
      </c>
      <c r="D215" s="17" t="inlineStr">
        <is>
          <t>Dharmesh Vyas Advocate (9426274123)</t>
        </is>
      </c>
      <c r="E215" s="17" t="inlineStr">
        <is>
          <t>Prexa Vithalapara</t>
        </is>
      </c>
      <c r="F215" s="17" t="inlineStr">
        <is>
          <t>New</t>
        </is>
      </c>
      <c r="G215" s="17" t="inlineStr">
        <is>
          <t>Not Assigned</t>
        </is>
      </c>
      <c r="H215" s="17" t="inlineStr">
        <is>
          <t>N/A (Not Assigned)</t>
        </is>
      </c>
      <c r="I215" s="17" t="inlineStr">
        <is>
          <t>-</t>
        </is>
      </c>
    </row>
    <row r="216" ht="20" customHeight="1">
      <c r="A216" s="57" t="n">
        <v>46274.77472983796</v>
      </c>
      <c r="B216" s="16" t="inlineStr">
        <is>
          <t>3. This Month (Sep 2026)</t>
        </is>
      </c>
      <c r="C216" s="14" t="inlineStr">
        <is>
          <t>Meta Ads (NB PropertyTech Rental Ad 0408)</t>
        </is>
      </c>
      <c r="D216" s="14" t="inlineStr">
        <is>
          <t>Dilipkumar Lallubhai Nayi (9428185333)</t>
        </is>
      </c>
      <c r="E216" s="14" t="inlineStr">
        <is>
          <t>Prexa Vithalapara</t>
        </is>
      </c>
      <c r="F216" s="14" t="inlineStr">
        <is>
          <t>New</t>
        </is>
      </c>
      <c r="G216" s="14" t="inlineStr">
        <is>
          <t>Not Assigned</t>
        </is>
      </c>
      <c r="H216" s="14" t="inlineStr">
        <is>
          <t>N/A (Not Assigned)</t>
        </is>
      </c>
      <c r="I216" s="14" t="inlineStr">
        <is>
          <t>-</t>
        </is>
      </c>
    </row>
    <row r="217" ht="20" customHeight="1">
      <c r="A217" s="58" t="n">
        <v>46274.77472972222</v>
      </c>
      <c r="B217" s="19" t="inlineStr">
        <is>
          <t>3. This Month (Sep 2026)</t>
        </is>
      </c>
      <c r="C217" s="17" t="inlineStr">
        <is>
          <t>Meta Ads (NB PropertyTech Rental Ad 0408)</t>
        </is>
      </c>
      <c r="D217" s="17" t="inlineStr">
        <is>
          <t>𝐤♡𝐢𝐬𝐬𝐮𝐮𝐮.... (6352227983)</t>
        </is>
      </c>
      <c r="E217" s="17" t="inlineStr">
        <is>
          <t>Zeel Mudaliyar</t>
        </is>
      </c>
      <c r="F217" s="17" t="inlineStr">
        <is>
          <t>New</t>
        </is>
      </c>
      <c r="G217" s="17" t="inlineStr">
        <is>
          <t>Not Assigned</t>
        </is>
      </c>
      <c r="H217" s="17" t="inlineStr">
        <is>
          <t>N/A (Not Assigned)</t>
        </is>
      </c>
      <c r="I217" s="17" t="inlineStr">
        <is>
          <t>-</t>
        </is>
      </c>
    </row>
    <row r="218" ht="20" customHeight="1">
      <c r="A218" s="57" t="n">
        <v>46274.77472949074</v>
      </c>
      <c r="B218" s="16" t="inlineStr">
        <is>
          <t>3. This Month (Sep 2026)</t>
        </is>
      </c>
      <c r="C218" s="14" t="inlineStr">
        <is>
          <t>Meta Ads (NB PropertyTech Rental Ad 0408)</t>
        </is>
      </c>
      <c r="D218" s="14" t="inlineStr">
        <is>
          <t>Rajesh Tiwari (8601877360)</t>
        </is>
      </c>
      <c r="E218" s="14" t="inlineStr">
        <is>
          <t>Prexa Vithalapara</t>
        </is>
      </c>
      <c r="F218" s="14" t="inlineStr">
        <is>
          <t>New</t>
        </is>
      </c>
      <c r="G218" s="14" t="inlineStr">
        <is>
          <t>Not Assigned</t>
        </is>
      </c>
      <c r="H218" s="14" t="inlineStr">
        <is>
          <t>N/A (Not Assigned)</t>
        </is>
      </c>
      <c r="I218" s="14" t="inlineStr">
        <is>
          <t>Followup: rajesh tiwari callback</t>
        </is>
      </c>
    </row>
    <row r="219" ht="20" customHeight="1">
      <c r="A219" s="58" t="n">
        <v>46274.77472922454</v>
      </c>
      <c r="B219" s="19" t="inlineStr">
        <is>
          <t>3. This Month (Sep 2026)</t>
        </is>
      </c>
      <c r="C219" s="17" t="inlineStr">
        <is>
          <t>Meta Ads (NB PropertyTech Rental Ad 0408)</t>
        </is>
      </c>
      <c r="D219" s="17" t="inlineStr">
        <is>
          <t>Naresh Bunker 009 (8849813131)</t>
        </is>
      </c>
      <c r="E219" s="17" t="inlineStr">
        <is>
          <t>Prexa Vithalapara</t>
        </is>
      </c>
      <c r="F219" s="17" t="inlineStr">
        <is>
          <t>New</t>
        </is>
      </c>
      <c r="G219" s="17" t="inlineStr">
        <is>
          <t>Not Assigned</t>
        </is>
      </c>
      <c r="H219" s="17" t="inlineStr">
        <is>
          <t>N/A (Not Assigned)</t>
        </is>
      </c>
      <c r="I219" s="17" t="inlineStr">
        <is>
          <t>-</t>
        </is>
      </c>
    </row>
    <row r="220" ht="20" customHeight="1">
      <c r="A220" s="57" t="n">
        <v>46274.77472908565</v>
      </c>
      <c r="B220" s="16" t="inlineStr">
        <is>
          <t>3. This Month (Sep 2026)</t>
        </is>
      </c>
      <c r="C220" s="14" t="inlineStr">
        <is>
          <t>Meta Ads (NB PropertyTech Rental Ad 0408)</t>
        </is>
      </c>
      <c r="D220" s="14" t="inlineStr">
        <is>
          <t>Sudhir Arya (7698451376)</t>
        </is>
      </c>
      <c r="E220" s="14" t="inlineStr">
        <is>
          <t>Prexa Vithalapara</t>
        </is>
      </c>
      <c r="F220" s="14" t="inlineStr">
        <is>
          <t>New</t>
        </is>
      </c>
      <c r="G220" s="14" t="inlineStr">
        <is>
          <t>Not Assigned</t>
        </is>
      </c>
      <c r="H220" s="14" t="inlineStr">
        <is>
          <t>N/A (Not Assigned)</t>
        </is>
      </c>
      <c r="I220" s="14" t="inlineStr">
        <is>
          <t>-</t>
        </is>
      </c>
    </row>
    <row r="221" ht="20" customHeight="1">
      <c r="A221" s="58" t="n">
        <v>46274.77472892361</v>
      </c>
      <c r="B221" s="19" t="inlineStr">
        <is>
          <t>3. This Month (Sep 2026)</t>
        </is>
      </c>
      <c r="C221" s="17" t="inlineStr">
        <is>
          <t>Meta Ads (NB PropertyTech Rental Ad 0408)</t>
        </is>
      </c>
      <c r="D221" s="17" t="inlineStr">
        <is>
          <t>Bharatkumar Somabhai Modi (9825503818)</t>
        </is>
      </c>
      <c r="E221" s="17" t="inlineStr">
        <is>
          <t>Prexa Vithalapara</t>
        </is>
      </c>
      <c r="F221" s="17" t="inlineStr">
        <is>
          <t>New</t>
        </is>
      </c>
      <c r="G221" s="17" t="inlineStr">
        <is>
          <t>Not Assigned</t>
        </is>
      </c>
      <c r="H221" s="17" t="inlineStr">
        <is>
          <t>N/A (Not Assigned)</t>
        </is>
      </c>
      <c r="I221" s="17" t="inlineStr">
        <is>
          <t>-</t>
        </is>
      </c>
    </row>
    <row r="222" ht="20" customHeight="1">
      <c r="A222" s="57" t="n">
        <v>46274.77472871527</v>
      </c>
      <c r="B222" s="16" t="inlineStr">
        <is>
          <t>3. This Month (Sep 2026)</t>
        </is>
      </c>
      <c r="C222" s="14" t="inlineStr">
        <is>
          <t>Meta Ads (NB PropertyTech Rental Ad 0408)</t>
        </is>
      </c>
      <c r="D222" s="14" t="inlineStr">
        <is>
          <t>Kavita Murjani (9537475459)</t>
        </is>
      </c>
      <c r="E222" s="14" t="inlineStr">
        <is>
          <t>Zeel Mudaliyar</t>
        </is>
      </c>
      <c r="F222" s="14" t="inlineStr">
        <is>
          <t>New</t>
        </is>
      </c>
      <c r="G222" s="14" t="inlineStr">
        <is>
          <t>Not Assigned</t>
        </is>
      </c>
      <c r="H222" s="14" t="inlineStr">
        <is>
          <t>N/A (Not Assigned)</t>
        </is>
      </c>
      <c r="I222" s="14" t="inlineStr">
        <is>
          <t>-</t>
        </is>
      </c>
    </row>
    <row r="223" ht="20" customHeight="1">
      <c r="A223" s="58" t="n">
        <v>46274.77472840278</v>
      </c>
      <c r="B223" s="19" t="inlineStr">
        <is>
          <t>3. This Month (Sep 2026)</t>
        </is>
      </c>
      <c r="C223" s="17" t="inlineStr">
        <is>
          <t>Meta Ads (NB PropertyTech Rental Ad 0408)</t>
        </is>
      </c>
      <c r="D223" s="17" t="inlineStr">
        <is>
          <t>Mukesh Devmurari (9925216178)</t>
        </is>
      </c>
      <c r="E223" s="17" t="inlineStr">
        <is>
          <t>Prexa Vithalapara</t>
        </is>
      </c>
      <c r="F223" s="17" t="inlineStr">
        <is>
          <t>New</t>
        </is>
      </c>
      <c r="G223" s="17" t="inlineStr">
        <is>
          <t>Not Assigned</t>
        </is>
      </c>
      <c r="H223" s="17" t="inlineStr">
        <is>
          <t>N/A (Not Assigned)</t>
        </is>
      </c>
      <c r="I223" s="17" t="inlineStr">
        <is>
          <t>-</t>
        </is>
      </c>
    </row>
    <row r="224" ht="20" customHeight="1">
      <c r="A224" s="57" t="n">
        <v>46274.77472827546</v>
      </c>
      <c r="B224" s="16" t="inlineStr">
        <is>
          <t>3. This Month (Sep 2026)</t>
        </is>
      </c>
      <c r="C224" s="14" t="inlineStr">
        <is>
          <t>Meta Ads (NB PropertyTech Rental Ad 0408)</t>
        </is>
      </c>
      <c r="D224" s="14" t="inlineStr">
        <is>
          <t>Kamlesh (9924649205)</t>
        </is>
      </c>
      <c r="E224" s="14" t="inlineStr">
        <is>
          <t>Prexa Vithalapara</t>
        </is>
      </c>
      <c r="F224" s="14" t="inlineStr">
        <is>
          <t>New</t>
        </is>
      </c>
      <c r="G224" s="14" t="inlineStr">
        <is>
          <t>Not Assigned</t>
        </is>
      </c>
      <c r="H224" s="14" t="inlineStr">
        <is>
          <t>N/A (Not Assigned)</t>
        </is>
      </c>
      <c r="I224" s="14" t="inlineStr">
        <is>
          <t>-</t>
        </is>
      </c>
    </row>
    <row r="225" ht="20" customHeight="1">
      <c r="A225" s="58" t="n">
        <v>46274.77472818287</v>
      </c>
      <c r="B225" s="19" t="inlineStr">
        <is>
          <t>3. This Month (Sep 2026)</t>
        </is>
      </c>
      <c r="C225" s="17" t="inlineStr">
        <is>
          <t>Meta Ads (NB PropertyTech Rental Ad 0408)</t>
        </is>
      </c>
      <c r="D225" s="17" t="inlineStr">
        <is>
          <t>Tushar Parikh (9979356800)</t>
        </is>
      </c>
      <c r="E225" s="17" t="inlineStr">
        <is>
          <t>Zeel Mudaliyar</t>
        </is>
      </c>
      <c r="F225" s="17" t="inlineStr">
        <is>
          <t>New</t>
        </is>
      </c>
      <c r="G225" s="17" t="inlineStr">
        <is>
          <t>Not Assigned</t>
        </is>
      </c>
      <c r="H225" s="17" t="inlineStr">
        <is>
          <t>N/A (Not Assigned)</t>
        </is>
      </c>
      <c r="I225" s="17" t="inlineStr">
        <is>
          <t>-</t>
        </is>
      </c>
    </row>
    <row r="226" ht="20" customHeight="1">
      <c r="A226" s="57" t="n">
        <v>46274.77472795139</v>
      </c>
      <c r="B226" s="16" t="inlineStr">
        <is>
          <t>3. This Month (Sep 2026)</t>
        </is>
      </c>
      <c r="C226" s="14" t="inlineStr">
        <is>
          <t>Meta Ads (NB PropertyTech Rental Ad 0408)</t>
        </is>
      </c>
      <c r="D226" s="14" t="inlineStr">
        <is>
          <t>Bharatbhai Shah (9825044566)</t>
        </is>
      </c>
      <c r="E226" s="14" t="inlineStr">
        <is>
          <t>Prexa Vithalapara</t>
        </is>
      </c>
      <c r="F226" s="14" t="inlineStr">
        <is>
          <t>New</t>
        </is>
      </c>
      <c r="G226" s="14" t="inlineStr">
        <is>
          <t>Not Assigned</t>
        </is>
      </c>
      <c r="H226" s="14" t="inlineStr">
        <is>
          <t>N/A (Not Assigned)</t>
        </is>
      </c>
      <c r="I226" s="14" t="inlineStr">
        <is>
          <t>-</t>
        </is>
      </c>
    </row>
    <row r="227" ht="20" customHeight="1">
      <c r="A227" s="58" t="n">
        <v>46274.77472783565</v>
      </c>
      <c r="B227" s="19" t="inlineStr">
        <is>
          <t>3. This Month (Sep 2026)</t>
        </is>
      </c>
      <c r="C227" s="17" t="inlineStr">
        <is>
          <t>Meta Ads (NB PropertyTech Rental Ad 0408)</t>
        </is>
      </c>
      <c r="D227" s="17" t="inlineStr">
        <is>
          <t>Surendra Singh (9998109756)</t>
        </is>
      </c>
      <c r="E227" s="17" t="inlineStr">
        <is>
          <t>Prexa Vithalapara</t>
        </is>
      </c>
      <c r="F227" s="17" t="inlineStr">
        <is>
          <t>New</t>
        </is>
      </c>
      <c r="G227" s="17" t="inlineStr">
        <is>
          <t>Not Assigned</t>
        </is>
      </c>
      <c r="H227" s="17" t="inlineStr">
        <is>
          <t>N/A (Not Assigned)</t>
        </is>
      </c>
      <c r="I227" s="17" t="inlineStr">
        <is>
          <t>-</t>
        </is>
      </c>
    </row>
    <row r="228" ht="20" customHeight="1">
      <c r="A228" s="57" t="n">
        <v>46274.77472748842</v>
      </c>
      <c r="B228" s="16" t="inlineStr">
        <is>
          <t>3. This Month (Sep 2026)</t>
        </is>
      </c>
      <c r="C228" s="14" t="inlineStr">
        <is>
          <t>Meta Ads (NB PropertyTech Rental Ad 0408)</t>
        </is>
      </c>
      <c r="D228" s="14" t="inlineStr">
        <is>
          <t>Kishan Panchal (9824488656)</t>
        </is>
      </c>
      <c r="E228" s="14" t="inlineStr">
        <is>
          <t>Zeel Mudaliyar</t>
        </is>
      </c>
      <c r="F228" s="14" t="inlineStr">
        <is>
          <t>New</t>
        </is>
      </c>
      <c r="G228" s="14" t="inlineStr">
        <is>
          <t>Not Assigned</t>
        </is>
      </c>
      <c r="H228" s="14" t="inlineStr">
        <is>
          <t>N/A (Not Assigned)</t>
        </is>
      </c>
      <c r="I228" s="14" t="inlineStr">
        <is>
          <t>-</t>
        </is>
      </c>
    </row>
    <row r="229" ht="20" customHeight="1">
      <c r="A229" s="58" t="n">
        <v>46274.77472711806</v>
      </c>
      <c r="B229" s="19" t="inlineStr">
        <is>
          <t>3. This Month (Sep 2026)</t>
        </is>
      </c>
      <c r="C229" s="17" t="inlineStr">
        <is>
          <t>Meta Ads (NB PropertyTech Rental Ad 0408)</t>
        </is>
      </c>
      <c r="D229" s="17" t="inlineStr">
        <is>
          <t>Narendra (9909289068)</t>
        </is>
      </c>
      <c r="E229" s="17" t="inlineStr">
        <is>
          <t>Prexa Vithalapara</t>
        </is>
      </c>
      <c r="F229" s="17" t="inlineStr">
        <is>
          <t>New</t>
        </is>
      </c>
      <c r="G229" s="17" t="inlineStr">
        <is>
          <t>Not Assigned</t>
        </is>
      </c>
      <c r="H229" s="17" t="inlineStr">
        <is>
          <t>N/A (Not Assigned)</t>
        </is>
      </c>
      <c r="I229" s="17" t="inlineStr">
        <is>
          <t>-</t>
        </is>
      </c>
    </row>
    <row r="230" ht="20" customHeight="1">
      <c r="A230" s="57" t="n">
        <v>46274.77472695602</v>
      </c>
      <c r="B230" s="16" t="inlineStr">
        <is>
          <t>3. This Month (Sep 2026)</t>
        </is>
      </c>
      <c r="C230" s="14" t="inlineStr">
        <is>
          <t>Meta Ads (NB PropertyTech Rental Ad 0408)</t>
        </is>
      </c>
      <c r="D230" s="14" t="inlineStr">
        <is>
          <t>Bhavesh Varma (7567649617)</t>
        </is>
      </c>
      <c r="E230" s="14" t="inlineStr">
        <is>
          <t>Prexa Vithalapara</t>
        </is>
      </c>
      <c r="F230" s="14" t="inlineStr">
        <is>
          <t>New</t>
        </is>
      </c>
      <c r="G230" s="14" t="inlineStr">
        <is>
          <t>Not Assigned</t>
        </is>
      </c>
      <c r="H230" s="14" t="inlineStr">
        <is>
          <t>N/A (Not Assigned)</t>
        </is>
      </c>
      <c r="I230" s="14" t="inlineStr">
        <is>
          <t>-</t>
        </is>
      </c>
    </row>
    <row r="231" ht="20" customHeight="1">
      <c r="A231" s="58" t="n">
        <v>46274.77472677083</v>
      </c>
      <c r="B231" s="19" t="inlineStr">
        <is>
          <t>3. This Month (Sep 2026)</t>
        </is>
      </c>
      <c r="C231" s="17" t="inlineStr">
        <is>
          <t>Meta Ads (NB PropertyTech Rental Ad 0408)</t>
        </is>
      </c>
      <c r="D231" s="17" t="inlineStr">
        <is>
          <t>Mehul Desai (9824145011)</t>
        </is>
      </c>
      <c r="E231" s="17" t="inlineStr">
        <is>
          <t>Zeel Mudaliyar</t>
        </is>
      </c>
      <c r="F231" s="17" t="inlineStr">
        <is>
          <t>New</t>
        </is>
      </c>
      <c r="G231" s="17" t="inlineStr">
        <is>
          <t>Not Assigned</t>
        </is>
      </c>
      <c r="H231" s="17" t="inlineStr">
        <is>
          <t>N/A (Not Assigned)</t>
        </is>
      </c>
      <c r="I231" s="17" t="inlineStr">
        <is>
          <t>Property Remark: 4 AC, 2 cabin, separate lift, 25 work station, in built CCTV, pantry area separate, furnished waiting area, large reception desk</t>
        </is>
      </c>
    </row>
    <row r="232" ht="20" customHeight="1">
      <c r="A232" s="57" t="n">
        <v>46274.77472657408</v>
      </c>
      <c r="B232" s="16" t="inlineStr">
        <is>
          <t>3. This Month (Sep 2026)</t>
        </is>
      </c>
      <c r="C232" s="14" t="inlineStr">
        <is>
          <t>Meta Ads (NB PropertyTech Rental Ad 0408)</t>
        </is>
      </c>
      <c r="D232" s="14" t="inlineStr">
        <is>
          <t>Naveen Behl (7575002880)</t>
        </is>
      </c>
      <c r="E232" s="14" t="inlineStr">
        <is>
          <t>Prexa Vithalapara</t>
        </is>
      </c>
      <c r="F232" s="14" t="inlineStr">
        <is>
          <t>New</t>
        </is>
      </c>
      <c r="G232" s="14" t="inlineStr">
        <is>
          <t>Not Assigned</t>
        </is>
      </c>
      <c r="H232" s="14" t="inlineStr">
        <is>
          <t>N/A (Not Assigned)</t>
        </is>
      </c>
      <c r="I232" s="14" t="inlineStr">
        <is>
          <t>-</t>
        </is>
      </c>
    </row>
    <row r="233" ht="20" customHeight="1">
      <c r="A233" s="58" t="n">
        <v>46274.77472644676</v>
      </c>
      <c r="B233" s="19" t="inlineStr">
        <is>
          <t>3. This Month (Sep 2026)</t>
        </is>
      </c>
      <c r="C233" s="17" t="inlineStr">
        <is>
          <t>Meta Ads (NB PropertyTech Rental Ad 0408)</t>
        </is>
      </c>
      <c r="D233" s="17" t="inlineStr">
        <is>
          <t>Yogina Tripathi (9998224030)</t>
        </is>
      </c>
      <c r="E233" s="17" t="inlineStr">
        <is>
          <t>Zeel Mudaliyar</t>
        </is>
      </c>
      <c r="F233" s="17" t="inlineStr">
        <is>
          <t>New</t>
        </is>
      </c>
      <c r="G233" s="17" t="inlineStr">
        <is>
          <t>Not Assigned</t>
        </is>
      </c>
      <c r="H233" s="17" t="inlineStr">
        <is>
          <t>N/A (Not Assigned)</t>
        </is>
      </c>
      <c r="I233" s="17" t="inlineStr">
        <is>
          <t>-</t>
        </is>
      </c>
    </row>
    <row r="234" ht="20" customHeight="1">
      <c r="A234" s="57" t="n">
        <v>46274.77472629629</v>
      </c>
      <c r="B234" s="16" t="inlineStr">
        <is>
          <t>3. This Month (Sep 2026)</t>
        </is>
      </c>
      <c r="C234" s="14" t="inlineStr">
        <is>
          <t>Meta Ads (NB PropertyTech Rental Ad 0408)</t>
        </is>
      </c>
      <c r="D234" s="14" t="inlineStr">
        <is>
          <t>Dr Rajput (8401156644)</t>
        </is>
      </c>
      <c r="E234" s="14" t="inlineStr">
        <is>
          <t>Prexa Vithalapara</t>
        </is>
      </c>
      <c r="F234" s="14" t="inlineStr">
        <is>
          <t>New</t>
        </is>
      </c>
      <c r="G234" s="14" t="inlineStr">
        <is>
          <t>Not Assigned</t>
        </is>
      </c>
      <c r="H234" s="14" t="inlineStr">
        <is>
          <t>N/A (Not Assigned)</t>
        </is>
      </c>
      <c r="I234" s="14" t="inlineStr">
        <is>
          <t>-</t>
        </is>
      </c>
    </row>
    <row r="235" ht="20" customHeight="1">
      <c r="A235" s="58" t="n">
        <v>46274.77472457176</v>
      </c>
      <c r="B235" s="19" t="inlineStr">
        <is>
          <t>3. This Month (Sep 2026)</t>
        </is>
      </c>
      <c r="C235" s="17" t="inlineStr">
        <is>
          <t>Meta Ads (NB PropertyTech Rental Ad 0408)</t>
        </is>
      </c>
      <c r="D235" s="17" t="inlineStr">
        <is>
          <t>Mulchandbhai Patel (9824313651)</t>
        </is>
      </c>
      <c r="E235" s="17" t="inlineStr">
        <is>
          <t>Zeel Mudaliyar</t>
        </is>
      </c>
      <c r="F235" s="17" t="inlineStr">
        <is>
          <t>New</t>
        </is>
      </c>
      <c r="G235" s="17" t="inlineStr">
        <is>
          <t>Not Assigned</t>
        </is>
      </c>
      <c r="H235" s="17" t="inlineStr">
        <is>
          <t>N/A (Not Assigned)</t>
        </is>
      </c>
      <c r="I235" s="17" t="inlineStr">
        <is>
          <t>-</t>
        </is>
      </c>
    </row>
    <row r="236" ht="20" customHeight="1">
      <c r="A236" s="57" t="n">
        <v>46274.77472417824</v>
      </c>
      <c r="B236" s="16" t="inlineStr">
        <is>
          <t>3. This Month (Sep 2026)</t>
        </is>
      </c>
      <c r="C236" s="14" t="inlineStr">
        <is>
          <t>Meta Ads (NB PropertyTech Rental Ad 0408)</t>
        </is>
      </c>
      <c r="D236" s="14" t="inlineStr">
        <is>
          <t>Sureshbhai Rasiklal Soni (9898871398)</t>
        </is>
      </c>
      <c r="E236" s="14" t="inlineStr">
        <is>
          <t>Prexa Vithalapara</t>
        </is>
      </c>
      <c r="F236" s="14" t="inlineStr">
        <is>
          <t>New</t>
        </is>
      </c>
      <c r="G236" s="14" t="inlineStr">
        <is>
          <t>Not Assigned</t>
        </is>
      </c>
      <c r="H236" s="14" t="inlineStr">
        <is>
          <t>N/A (Not Assigned)</t>
        </is>
      </c>
      <c r="I236" s="14" t="inlineStr">
        <is>
          <t>-</t>
        </is>
      </c>
    </row>
    <row r="237" ht="20" customHeight="1">
      <c r="A237" s="58" t="n">
        <v>46274.7747237037</v>
      </c>
      <c r="B237" s="19" t="inlineStr">
        <is>
          <t>3. This Month (Sep 2026)</t>
        </is>
      </c>
      <c r="C237" s="17" t="inlineStr">
        <is>
          <t>Meta Ads (NB PropertyTech Rental Ad 0408)</t>
        </is>
      </c>
      <c r="D237" s="17" t="inlineStr">
        <is>
          <t>Atul Patel (9879587037)</t>
        </is>
      </c>
      <c r="E237" s="17" t="inlineStr">
        <is>
          <t>Zeel Mudaliyar</t>
        </is>
      </c>
      <c r="F237" s="17" t="inlineStr">
        <is>
          <t>New</t>
        </is>
      </c>
      <c r="G237" s="17" t="inlineStr">
        <is>
          <t>Not Assigned</t>
        </is>
      </c>
      <c r="H237" s="17" t="inlineStr">
        <is>
          <t>N/A (Not Assigned)</t>
        </is>
      </c>
      <c r="I237" s="17" t="inlineStr">
        <is>
          <t>-</t>
        </is>
      </c>
    </row>
    <row r="238" ht="20" customHeight="1">
      <c r="A238" s="57" t="n">
        <v>46274.77472305555</v>
      </c>
      <c r="B238" s="16" t="inlineStr">
        <is>
          <t>3. This Month (Sep 2026)</t>
        </is>
      </c>
      <c r="C238" s="14" t="inlineStr">
        <is>
          <t>Meta Ads (NB PropertyTech Rental Ad 0408)</t>
        </is>
      </c>
      <c r="D238" s="14" t="inlineStr">
        <is>
          <t>Janki Chaudhary (7435944166)</t>
        </is>
      </c>
      <c r="E238" s="14" t="inlineStr">
        <is>
          <t>Prexa Vithalapara</t>
        </is>
      </c>
      <c r="F238" s="14" t="inlineStr">
        <is>
          <t>New</t>
        </is>
      </c>
      <c r="G238" s="14" t="inlineStr">
        <is>
          <t>Not Assigned</t>
        </is>
      </c>
      <c r="H238" s="14" t="inlineStr">
        <is>
          <t>N/A (Not Assigned)</t>
        </is>
      </c>
      <c r="I238" s="14" t="inlineStr">
        <is>
          <t>-</t>
        </is>
      </c>
    </row>
    <row r="239" ht="20" customHeight="1">
      <c r="A239" s="58" t="n">
        <v>46274.77472262731</v>
      </c>
      <c r="B239" s="19" t="inlineStr">
        <is>
          <t>3. This Month (Sep 2026)</t>
        </is>
      </c>
      <c r="C239" s="17" t="inlineStr">
        <is>
          <t>Meta Ads (NB PropertyTech Rental Ad 0408)</t>
        </is>
      </c>
      <c r="D239" s="17" t="inlineStr">
        <is>
          <t>Avanish Kumar (7004428180)</t>
        </is>
      </c>
      <c r="E239" s="17" t="inlineStr">
        <is>
          <t>Prexa Vithalapara</t>
        </is>
      </c>
      <c r="F239" s="17" t="inlineStr">
        <is>
          <t>New</t>
        </is>
      </c>
      <c r="G239" s="17" t="inlineStr">
        <is>
          <t>Not Assigned</t>
        </is>
      </c>
      <c r="H239" s="17" t="inlineStr">
        <is>
          <t>N/A (Not Assigned)</t>
        </is>
      </c>
      <c r="I239" s="17" t="inlineStr">
        <is>
          <t>-</t>
        </is>
      </c>
    </row>
    <row r="240" ht="20" customHeight="1">
      <c r="A240" s="57" t="n">
        <v>46274.77472212963</v>
      </c>
      <c r="B240" s="16" t="inlineStr">
        <is>
          <t>3. This Month (Sep 2026)</t>
        </is>
      </c>
      <c r="C240" s="14" t="inlineStr">
        <is>
          <t>Meta Ads (NB PropertyTech Rental Ad 0408)</t>
        </is>
      </c>
      <c r="D240" s="14" t="inlineStr">
        <is>
          <t>Vasant Engineering Co (9898009123)</t>
        </is>
      </c>
      <c r="E240" s="14" t="inlineStr">
        <is>
          <t>Zeel Mudaliyar</t>
        </is>
      </c>
      <c r="F240" s="14" t="inlineStr">
        <is>
          <t>New</t>
        </is>
      </c>
      <c r="G240" s="14" t="inlineStr">
        <is>
          <t>Not Assigned</t>
        </is>
      </c>
      <c r="H240" s="14" t="inlineStr">
        <is>
          <t>N/A (Not Assigned)</t>
        </is>
      </c>
      <c r="I240" s="14" t="inlineStr">
        <is>
          <t>-</t>
        </is>
      </c>
    </row>
    <row r="241" ht="20" customHeight="1">
      <c r="A241" s="58" t="n">
        <v>46274.77472158565</v>
      </c>
      <c r="B241" s="19" t="inlineStr">
        <is>
          <t>3. This Month (Sep 2026)</t>
        </is>
      </c>
      <c r="C241" s="17" t="inlineStr">
        <is>
          <t>Meta Ads (NB PropertyTech Rental Ad 0408)</t>
        </is>
      </c>
      <c r="D241" s="17" t="inlineStr">
        <is>
          <t>Asha Desai (8401780024)</t>
        </is>
      </c>
      <c r="E241" s="17" t="inlineStr">
        <is>
          <t>Zeel Mudaliyar</t>
        </is>
      </c>
      <c r="F241" s="17" t="inlineStr">
        <is>
          <t>New</t>
        </is>
      </c>
      <c r="G241" s="17" t="inlineStr">
        <is>
          <t>Not Assigned</t>
        </is>
      </c>
      <c r="H241" s="17" t="inlineStr">
        <is>
          <t>N/A (Not Assigned)</t>
        </is>
      </c>
      <c r="I241" s="17" t="inlineStr">
        <is>
          <t>-</t>
        </is>
      </c>
    </row>
    <row r="242" ht="20" customHeight="1">
      <c r="A242" s="57" t="n">
        <v>46274.77472131945</v>
      </c>
      <c r="B242" s="16" t="inlineStr">
        <is>
          <t>3. This Month (Sep 2026)</t>
        </is>
      </c>
      <c r="C242" s="14" t="inlineStr">
        <is>
          <t>Meta Ads (NB PropertyTech Rental Ad 0408)</t>
        </is>
      </c>
      <c r="D242" s="14" t="inlineStr">
        <is>
          <t>Hiren Patoliya (9638516939)</t>
        </is>
      </c>
      <c r="E242" s="14" t="inlineStr">
        <is>
          <t>Unassigned</t>
        </is>
      </c>
      <c r="F242" s="14" t="inlineStr">
        <is>
          <t>New</t>
        </is>
      </c>
      <c r="G242" s="14" t="inlineStr">
        <is>
          <t>Not Assigned</t>
        </is>
      </c>
      <c r="H242" s="14" t="inlineStr">
        <is>
          <t>N/A (Not Assigned)</t>
        </is>
      </c>
      <c r="I242" s="14" t="inlineStr">
        <is>
          <t>-</t>
        </is>
      </c>
    </row>
    <row r="243" ht="20" customHeight="1">
      <c r="A243" s="58" t="n">
        <v>46274.77472112269</v>
      </c>
      <c r="B243" s="19" t="inlineStr">
        <is>
          <t>3. This Month (Sep 2026)</t>
        </is>
      </c>
      <c r="C243" s="17" t="inlineStr">
        <is>
          <t>Meta Ads (NB PropertyTech Rental Ad 0408)</t>
        </is>
      </c>
      <c r="D243" s="17" t="inlineStr">
        <is>
          <t>Unnati (9157646747)</t>
        </is>
      </c>
      <c r="E243" s="17" t="inlineStr">
        <is>
          <t>Prexa Vithalapara</t>
        </is>
      </c>
      <c r="F243" s="17" t="inlineStr">
        <is>
          <t>New</t>
        </is>
      </c>
      <c r="G243" s="17" t="inlineStr">
        <is>
          <t>Not Assigned</t>
        </is>
      </c>
      <c r="H243" s="17" t="inlineStr">
        <is>
          <t>N/A (Not Assigned)</t>
        </is>
      </c>
      <c r="I243" s="17" t="inlineStr">
        <is>
          <t>-</t>
        </is>
      </c>
    </row>
    <row r="244" ht="20" customHeight="1">
      <c r="A244" s="57" t="n">
        <v>46274.77468320602</v>
      </c>
      <c r="B244" s="16" t="inlineStr">
        <is>
          <t>3. This Month (Sep 2026)</t>
        </is>
      </c>
      <c r="C244" s="14" t="inlineStr">
        <is>
          <t>Meta Ads (NB PropertyTech Rental Ad 0408)</t>
        </is>
      </c>
      <c r="D244" s="14" t="inlineStr">
        <is>
          <t>Jayeshbhai H Maheta (9624622175)</t>
        </is>
      </c>
      <c r="E244" s="14" t="inlineStr">
        <is>
          <t>Prexa Vithalapara</t>
        </is>
      </c>
      <c r="F244" s="14" t="inlineStr">
        <is>
          <t>New</t>
        </is>
      </c>
      <c r="G244" s="14" t="inlineStr">
        <is>
          <t>Not Assigned</t>
        </is>
      </c>
      <c r="H244" s="14" t="inlineStr">
        <is>
          <t>N/A (Not Assigned)</t>
        </is>
      </c>
      <c r="I244" s="14" t="inlineStr">
        <is>
          <t>-</t>
        </is>
      </c>
    </row>
    <row r="245" ht="20" customHeight="1">
      <c r="A245" s="58" t="n">
        <v>46274.77468304398</v>
      </c>
      <c r="B245" s="19" t="inlineStr">
        <is>
          <t>3. This Month (Sep 2026)</t>
        </is>
      </c>
      <c r="C245" s="17" t="inlineStr">
        <is>
          <t>Meta Ads (NB PropertyTech Rental Ad 0408)</t>
        </is>
      </c>
      <c r="D245" s="17" t="inlineStr">
        <is>
          <t>Yash_patel (8401142635)</t>
        </is>
      </c>
      <c r="E245" s="17" t="inlineStr">
        <is>
          <t>Zeel Mudaliyar</t>
        </is>
      </c>
      <c r="F245" s="17" t="inlineStr">
        <is>
          <t>New</t>
        </is>
      </c>
      <c r="G245" s="17" t="inlineStr">
        <is>
          <t>Not Assigned</t>
        </is>
      </c>
      <c r="H245" s="17" t="inlineStr">
        <is>
          <t>N/A (Not Assigned)</t>
        </is>
      </c>
      <c r="I245" s="17" t="inlineStr">
        <is>
          <t>-</t>
        </is>
      </c>
    </row>
    <row r="246" ht="20" customHeight="1">
      <c r="A246" s="57" t="n">
        <v>46274.77468289352</v>
      </c>
      <c r="B246" s="16" t="inlineStr">
        <is>
          <t>3. This Month (Sep 2026)</t>
        </is>
      </c>
      <c r="C246" s="14" t="inlineStr">
        <is>
          <t>Meta Ads (NB PropertyTech Rental Ad 0408)</t>
        </is>
      </c>
      <c r="D246" s="14" t="inlineStr">
        <is>
          <t>Parmar Bharti (8469180557)</t>
        </is>
      </c>
      <c r="E246" s="14" t="inlineStr">
        <is>
          <t>Prexa Vithalapara</t>
        </is>
      </c>
      <c r="F246" s="14" t="inlineStr">
        <is>
          <t>New</t>
        </is>
      </c>
      <c r="G246" s="14" t="inlineStr">
        <is>
          <t>Not Assigned</t>
        </is>
      </c>
      <c r="H246" s="14" t="inlineStr">
        <is>
          <t>N/A (Not Assigned)</t>
        </is>
      </c>
      <c r="I246" s="14" t="inlineStr">
        <is>
          <t>-</t>
        </is>
      </c>
    </row>
    <row r="247" ht="20" customHeight="1">
      <c r="A247" s="58" t="n">
        <v>46274.77468275463</v>
      </c>
      <c r="B247" s="19" t="inlineStr">
        <is>
          <t>3. This Month (Sep 2026)</t>
        </is>
      </c>
      <c r="C247" s="17" t="inlineStr">
        <is>
          <t>Meta Ads (NB PropertyTech Rental Ad 0408)</t>
        </is>
      </c>
      <c r="D247" s="17" t="inlineStr">
        <is>
          <t>Rakesh C Shelat (9638034209)</t>
        </is>
      </c>
      <c r="E247" s="17" t="inlineStr">
        <is>
          <t>Zeel Mudaliyar</t>
        </is>
      </c>
      <c r="F247" s="17" t="inlineStr">
        <is>
          <t>New</t>
        </is>
      </c>
      <c r="G247" s="17" t="inlineStr">
        <is>
          <t>Not Assigned</t>
        </is>
      </c>
      <c r="H247" s="17" t="inlineStr">
        <is>
          <t>N/A (Not Assigned)</t>
        </is>
      </c>
      <c r="I247" s="17" t="inlineStr">
        <is>
          <t>-</t>
        </is>
      </c>
    </row>
    <row r="248" ht="20" customHeight="1">
      <c r="A248" s="57" t="n">
        <v>46274.77468256944</v>
      </c>
      <c r="B248" s="16" t="inlineStr">
        <is>
          <t>3. This Month (Sep 2026)</t>
        </is>
      </c>
      <c r="C248" s="14" t="inlineStr">
        <is>
          <t>Meta Ads (NB PropertyTech Rental Ad 0408)</t>
        </is>
      </c>
      <c r="D248" s="14" t="inlineStr">
        <is>
          <t>Jayendra N Shah (9824025285)</t>
        </is>
      </c>
      <c r="E248" s="14" t="inlineStr">
        <is>
          <t>Prexa Vithalapara</t>
        </is>
      </c>
      <c r="F248" s="14" t="inlineStr">
        <is>
          <t>New</t>
        </is>
      </c>
      <c r="G248" s="14" t="inlineStr">
        <is>
          <t>Not Assigned</t>
        </is>
      </c>
      <c r="H248" s="14" t="inlineStr">
        <is>
          <t>N/A (Not Assigned)</t>
        </is>
      </c>
      <c r="I248" s="14" t="inlineStr">
        <is>
          <t>-</t>
        </is>
      </c>
    </row>
    <row r="249" ht="20" customHeight="1">
      <c r="A249" s="58" t="n">
        <v>46274.77468240741</v>
      </c>
      <c r="B249" s="19" t="inlineStr">
        <is>
          <t>3. This Month (Sep 2026)</t>
        </is>
      </c>
      <c r="C249" s="17" t="inlineStr">
        <is>
          <t>Meta Ads (NB PropertyTech Rental Ad 0408)</t>
        </is>
      </c>
      <c r="D249" s="17" t="inlineStr">
        <is>
          <t>Dhairya Patel (8141279797)</t>
        </is>
      </c>
      <c r="E249" s="17" t="inlineStr">
        <is>
          <t>Prexa Vithalapara</t>
        </is>
      </c>
      <c r="F249" s="17" t="inlineStr">
        <is>
          <t>New</t>
        </is>
      </c>
      <c r="G249" s="17" t="inlineStr">
        <is>
          <t>Not Assigned</t>
        </is>
      </c>
      <c r="H249" s="17" t="inlineStr">
        <is>
          <t>N/A (Not Assigned)</t>
        </is>
      </c>
      <c r="I249" s="17" t="inlineStr">
        <is>
          <t>Property Remark: 2500 maintenance</t>
        </is>
      </c>
    </row>
    <row r="250" ht="20" customHeight="1">
      <c r="A250" s="57" t="n">
        <v>46274.77468224537</v>
      </c>
      <c r="B250" s="16" t="inlineStr">
        <is>
          <t>3. This Month (Sep 2026)</t>
        </is>
      </c>
      <c r="C250" s="14" t="inlineStr">
        <is>
          <t>Meta Ads (NB PropertyTech Rental Ad 0408)</t>
        </is>
      </c>
      <c r="D250" s="14" t="inlineStr">
        <is>
          <t>Yogeshgiri Goswami (8780599736)</t>
        </is>
      </c>
      <c r="E250" s="14" t="inlineStr">
        <is>
          <t>Zeel Mudaliyar</t>
        </is>
      </c>
      <c r="F250" s="14" t="inlineStr">
        <is>
          <t>New</t>
        </is>
      </c>
      <c r="G250" s="14" t="inlineStr">
        <is>
          <t>Not Assigned</t>
        </is>
      </c>
      <c r="H250" s="14" t="inlineStr">
        <is>
          <t>N/A (Not Assigned)</t>
        </is>
      </c>
      <c r="I250" s="14" t="inlineStr">
        <is>
          <t>-</t>
        </is>
      </c>
    </row>
    <row r="251" ht="20" customHeight="1">
      <c r="A251" s="58" t="n">
        <v>46274.77468207176</v>
      </c>
      <c r="B251" s="19" t="inlineStr">
        <is>
          <t>3. This Month (Sep 2026)</t>
        </is>
      </c>
      <c r="C251" s="17" t="inlineStr">
        <is>
          <t>Meta Ads (NB PropertyTech Rental Ad 0408)</t>
        </is>
      </c>
      <c r="D251" s="17" t="inlineStr">
        <is>
          <t>Anil Trivedi Real Estate Broker (7359107369)</t>
        </is>
      </c>
      <c r="E251" s="17" t="inlineStr">
        <is>
          <t>Prexa Vithalapara</t>
        </is>
      </c>
      <c r="F251" s="17" t="inlineStr">
        <is>
          <t>New</t>
        </is>
      </c>
      <c r="G251" s="17" t="inlineStr">
        <is>
          <t>Not Assigned</t>
        </is>
      </c>
      <c r="H251" s="17" t="inlineStr">
        <is>
          <t>N/A (Not Assigned)</t>
        </is>
      </c>
      <c r="I251" s="17" t="inlineStr">
        <is>
          <t>-</t>
        </is>
      </c>
    </row>
    <row r="252" ht="20" customHeight="1">
      <c r="A252" s="57" t="n">
        <v>46274.77468194444</v>
      </c>
      <c r="B252" s="16" t="inlineStr">
        <is>
          <t>3. This Month (Sep 2026)</t>
        </is>
      </c>
      <c r="C252" s="14" t="inlineStr">
        <is>
          <t>Meta Ads (NB PropertyTech Rental Ad 0408)</t>
        </is>
      </c>
      <c r="D252" s="14" t="inlineStr">
        <is>
          <t>Mᴀɴɪsʜ々vaishnav (9351212904)</t>
        </is>
      </c>
      <c r="E252" s="14" t="inlineStr">
        <is>
          <t>Prexa Vithalapara</t>
        </is>
      </c>
      <c r="F252" s="14" t="inlineStr">
        <is>
          <t>CNR (Could Not Reach)</t>
        </is>
      </c>
      <c r="G252" s="14" t="inlineStr">
        <is>
          <t>Not Assigned</t>
        </is>
      </c>
      <c r="H252" s="14" t="inlineStr">
        <is>
          <t>N/A (Not Assigned)</t>
        </is>
      </c>
      <c r="I252" s="14" t="inlineStr">
        <is>
          <t>-</t>
        </is>
      </c>
    </row>
    <row r="253" ht="20" customHeight="1">
      <c r="A253" s="58" t="n">
        <v>46274.77468175926</v>
      </c>
      <c r="B253" s="19" t="inlineStr">
        <is>
          <t>3. This Month (Sep 2026)</t>
        </is>
      </c>
      <c r="C253" s="17" t="inlineStr">
        <is>
          <t>Meta Ads (NB PropertyTech Rental Ad 0408)</t>
        </is>
      </c>
      <c r="D253" s="17" t="inlineStr">
        <is>
          <t>Shashank Brahmbhatt (9429660196)</t>
        </is>
      </c>
      <c r="E253" s="17" t="inlineStr">
        <is>
          <t>Zeel Mudaliyar</t>
        </is>
      </c>
      <c r="F253" s="17" t="inlineStr">
        <is>
          <t>New</t>
        </is>
      </c>
      <c r="G253" s="17" t="inlineStr">
        <is>
          <t>Not Assigned</t>
        </is>
      </c>
      <c r="H253" s="17" t="inlineStr">
        <is>
          <t>N/A (Not Assigned)</t>
        </is>
      </c>
      <c r="I253" s="17" t="inlineStr">
        <is>
          <t>-</t>
        </is>
      </c>
    </row>
    <row r="254" ht="20" customHeight="1">
      <c r="A254" s="57" t="n">
        <v>46274.77468159722</v>
      </c>
      <c r="B254" s="16" t="inlineStr">
        <is>
          <t>3. This Month (Sep 2026)</t>
        </is>
      </c>
      <c r="C254" s="14" t="inlineStr">
        <is>
          <t>Meta Ads (NB PropertyTech Rental Ad 0408)</t>
        </is>
      </c>
      <c r="D254" s="14" t="inlineStr">
        <is>
          <t>Dhaval Patel (9016551577)</t>
        </is>
      </c>
      <c r="E254" s="14" t="inlineStr">
        <is>
          <t>Prexa Vithalapara</t>
        </is>
      </c>
      <c r="F254" s="14" t="inlineStr">
        <is>
          <t>New</t>
        </is>
      </c>
      <c r="G254" s="14" t="inlineStr">
        <is>
          <t>Not Assigned</t>
        </is>
      </c>
      <c r="H254" s="14" t="inlineStr">
        <is>
          <t>N/A (Not Assigned)</t>
        </is>
      </c>
      <c r="I254" s="14" t="inlineStr">
        <is>
          <t>-</t>
        </is>
      </c>
    </row>
    <row r="255" ht="20" customHeight="1">
      <c r="A255" s="58" t="n">
        <v>46274.77468130787</v>
      </c>
      <c r="B255" s="19" t="inlineStr">
        <is>
          <t>3. This Month (Sep 2026)</t>
        </is>
      </c>
      <c r="C255" s="17" t="inlineStr">
        <is>
          <t>Meta Ads (NB PropertyTech Rental Ad 0408)</t>
        </is>
      </c>
      <c r="D255" s="17" t="inlineStr">
        <is>
          <t>Shraddha Vyas (9979843397)</t>
        </is>
      </c>
      <c r="E255" s="17" t="inlineStr">
        <is>
          <t>Zeel Mudaliyar</t>
        </is>
      </c>
      <c r="F255" s="17" t="inlineStr">
        <is>
          <t>New</t>
        </is>
      </c>
      <c r="G255" s="17" t="inlineStr">
        <is>
          <t>Not Assigned</t>
        </is>
      </c>
      <c r="H255" s="17" t="inlineStr">
        <is>
          <t>N/A (Not Assigned)</t>
        </is>
      </c>
      <c r="I255" s="17" t="inlineStr">
        <is>
          <t>-</t>
        </is>
      </c>
    </row>
    <row r="256" ht="20" customHeight="1">
      <c r="A256" s="57" t="n">
        <v>46274.77468118056</v>
      </c>
      <c r="B256" s="16" t="inlineStr">
        <is>
          <t>3. This Month (Sep 2026)</t>
        </is>
      </c>
      <c r="C256" s="14" t="inlineStr">
        <is>
          <t>Meta Ads (NB PropertyTech Rental Ad 0408)</t>
        </is>
      </c>
      <c r="D256" s="14" t="inlineStr">
        <is>
          <t>Ghanshyam Valaki (9879464611)</t>
        </is>
      </c>
      <c r="E256" s="14" t="inlineStr">
        <is>
          <t>Prexa Vithalapara</t>
        </is>
      </c>
      <c r="F256" s="14" t="inlineStr">
        <is>
          <t>New</t>
        </is>
      </c>
      <c r="G256" s="14" t="inlineStr">
        <is>
          <t>Not Assigned</t>
        </is>
      </c>
      <c r="H256" s="14" t="inlineStr">
        <is>
          <t>N/A (Not Assigned)</t>
        </is>
      </c>
      <c r="I256" s="14" t="inlineStr">
        <is>
          <t>-</t>
        </is>
      </c>
    </row>
    <row r="257" ht="20" customHeight="1">
      <c r="A257" s="58" t="n">
        <v>46274.77468101852</v>
      </c>
      <c r="B257" s="19" t="inlineStr">
        <is>
          <t>3. This Month (Sep 2026)</t>
        </is>
      </c>
      <c r="C257" s="17" t="inlineStr">
        <is>
          <t>Meta Ads (NB PropertyTech Rental Ad 0408)</t>
        </is>
      </c>
      <c r="D257" s="17" t="inlineStr">
        <is>
          <t>Rakeshkumar Shah (9737505206)</t>
        </is>
      </c>
      <c r="E257" s="17" t="inlineStr">
        <is>
          <t>Prexa Vithalapara</t>
        </is>
      </c>
      <c r="F257" s="17" t="inlineStr">
        <is>
          <t>New</t>
        </is>
      </c>
      <c r="G257" s="17" t="inlineStr">
        <is>
          <t>Not Assigned</t>
        </is>
      </c>
      <c r="H257" s="17" t="inlineStr">
        <is>
          <t>N/A (Not Assigned)</t>
        </is>
      </c>
      <c r="I257" s="17" t="inlineStr">
        <is>
          <t>-</t>
        </is>
      </c>
    </row>
    <row r="258" ht="20" customHeight="1">
      <c r="A258" s="57" t="n">
        <v>46274.77468086805</v>
      </c>
      <c r="B258" s="16" t="inlineStr">
        <is>
          <t>3. This Month (Sep 2026)</t>
        </is>
      </c>
      <c r="C258" s="14" t="inlineStr">
        <is>
          <t>Meta Ads (NB PropertyTech Rental Ad 0408)</t>
        </is>
      </c>
      <c r="D258" s="14" t="inlineStr">
        <is>
          <t>Khushi Pankhaniya (7990700991)</t>
        </is>
      </c>
      <c r="E258" s="14" t="inlineStr">
        <is>
          <t>Zeel Mudaliyar</t>
        </is>
      </c>
      <c r="F258" s="14" t="inlineStr">
        <is>
          <t>New</t>
        </is>
      </c>
      <c r="G258" s="14" t="inlineStr">
        <is>
          <t>Not Assigned</t>
        </is>
      </c>
      <c r="H258" s="14" t="inlineStr">
        <is>
          <t>N/A (Not Assigned)</t>
        </is>
      </c>
      <c r="I258" s="14" t="inlineStr">
        <is>
          <t>-</t>
        </is>
      </c>
    </row>
    <row r="259" ht="20" customHeight="1">
      <c r="A259" s="58" t="n">
        <v>46274.77468072917</v>
      </c>
      <c r="B259" s="19" t="inlineStr">
        <is>
          <t>3. This Month (Sep 2026)</t>
        </is>
      </c>
      <c r="C259" s="17" t="inlineStr">
        <is>
          <t>Meta Ads (NB PropertyTech Rental Ad 0408)</t>
        </is>
      </c>
      <c r="D259" s="17" t="inlineStr">
        <is>
          <t>Dolly Popat (9106626596)</t>
        </is>
      </c>
      <c r="E259" s="17" t="inlineStr">
        <is>
          <t>Unassigned</t>
        </is>
      </c>
      <c r="F259" s="17" t="inlineStr">
        <is>
          <t>Interested</t>
        </is>
      </c>
      <c r="G259" s="17" t="inlineStr">
        <is>
          <t>Not Assigned</t>
        </is>
      </c>
      <c r="H259" s="17" t="inlineStr">
        <is>
          <t>N/A (Not Assigned)</t>
        </is>
      </c>
      <c r="I259" s="17" t="inlineStr">
        <is>
          <t>-</t>
        </is>
      </c>
    </row>
    <row r="260" ht="20" customHeight="1">
      <c r="A260" s="57" t="n">
        <v>46274.77468060185</v>
      </c>
      <c r="B260" s="16" t="inlineStr">
        <is>
          <t>3. This Month (Sep 2026)</t>
        </is>
      </c>
      <c r="C260" s="14" t="inlineStr">
        <is>
          <t>Meta Ads (NB PropertyTech Rental Ad 0408)</t>
        </is>
      </c>
      <c r="D260" s="14" t="inlineStr">
        <is>
          <t>Sejjal Upadhyay (9586232537)</t>
        </is>
      </c>
      <c r="E260" s="14" t="inlineStr">
        <is>
          <t>Zeel Mudaliyar</t>
        </is>
      </c>
      <c r="F260" s="14" t="inlineStr">
        <is>
          <t>New</t>
        </is>
      </c>
      <c r="G260" s="14" t="inlineStr">
        <is>
          <t>Not Assigned</t>
        </is>
      </c>
      <c r="H260" s="14" t="inlineStr">
        <is>
          <t>N/A (Not Assigned)</t>
        </is>
      </c>
      <c r="I260" s="14" t="inlineStr">
        <is>
          <t>-</t>
        </is>
      </c>
    </row>
    <row r="261" ht="20" customHeight="1">
      <c r="A261" s="58" t="n">
        <v>46274.77468048611</v>
      </c>
      <c r="B261" s="19" t="inlineStr">
        <is>
          <t>3. This Month (Sep 2026)</t>
        </is>
      </c>
      <c r="C261" s="17" t="inlineStr">
        <is>
          <t>Meta Ads (NB PropertyTech Rental Ad 0408)</t>
        </is>
      </c>
      <c r="D261" s="17" t="inlineStr">
        <is>
          <t>Umesh (8320296774)</t>
        </is>
      </c>
      <c r="E261" s="17" t="inlineStr">
        <is>
          <t>Prexa Vithalapara</t>
        </is>
      </c>
      <c r="F261" s="17" t="inlineStr">
        <is>
          <t>New</t>
        </is>
      </c>
      <c r="G261" s="17" t="inlineStr">
        <is>
          <t>Not Assigned</t>
        </is>
      </c>
      <c r="H261" s="17" t="inlineStr">
        <is>
          <t>N/A (Not Assigned)</t>
        </is>
      </c>
      <c r="I261" s="17" t="inlineStr">
        <is>
          <t>-</t>
        </is>
      </c>
    </row>
    <row r="262" ht="20" customHeight="1">
      <c r="A262" s="57" t="n">
        <v>46274.77468034723</v>
      </c>
      <c r="B262" s="16" t="inlineStr">
        <is>
          <t>3. This Month (Sep 2026)</t>
        </is>
      </c>
      <c r="C262" s="14" t="inlineStr">
        <is>
          <t>Meta Ads (NB PropertyTech Rental Ad 0408)</t>
        </is>
      </c>
      <c r="D262" s="14" t="inlineStr">
        <is>
          <t>Hiren Shah (9924945499)</t>
        </is>
      </c>
      <c r="E262" s="14" t="inlineStr">
        <is>
          <t>Prexa Vithalapara</t>
        </is>
      </c>
      <c r="F262" s="14" t="inlineStr">
        <is>
          <t>New</t>
        </is>
      </c>
      <c r="G262" s="14" t="inlineStr">
        <is>
          <t>Not Assigned</t>
        </is>
      </c>
      <c r="H262" s="14" t="inlineStr">
        <is>
          <t>N/A (Not Assigned)</t>
        </is>
      </c>
      <c r="I262" s="14" t="inlineStr">
        <is>
          <t>-</t>
        </is>
      </c>
    </row>
    <row r="263" ht="20" customHeight="1">
      <c r="A263" s="58" t="n">
        <v>46274.77468023148</v>
      </c>
      <c r="B263" s="19" t="inlineStr">
        <is>
          <t>3. This Month (Sep 2026)</t>
        </is>
      </c>
      <c r="C263" s="17" t="inlineStr">
        <is>
          <t>Meta Ads (NB PropertyTech Rental Ad 0408)</t>
        </is>
      </c>
      <c r="D263" s="17" t="inlineStr">
        <is>
          <t>Dr. Priyal Bhatt Shah (9408280355)</t>
        </is>
      </c>
      <c r="E263" s="17" t="inlineStr">
        <is>
          <t>Prexa Vithalapara</t>
        </is>
      </c>
      <c r="F263" s="17" t="inlineStr">
        <is>
          <t>New</t>
        </is>
      </c>
      <c r="G263" s="17" t="inlineStr">
        <is>
          <t>Not Assigned</t>
        </is>
      </c>
      <c r="H263" s="17" t="inlineStr">
        <is>
          <t>N/A (Not Assigned)</t>
        </is>
      </c>
      <c r="I263" s="17" t="inlineStr">
        <is>
          <t>Property Remark: 17,000 + tax and maintenance</t>
        </is>
      </c>
    </row>
    <row r="264" ht="20" customHeight="1">
      <c r="A264" s="57" t="n">
        <v>46274.77468006944</v>
      </c>
      <c r="B264" s="16" t="inlineStr">
        <is>
          <t>3. This Month (Sep 2026)</t>
        </is>
      </c>
      <c r="C264" s="14" t="inlineStr">
        <is>
          <t>Meta Ads (NB PropertyTech Rental Ad 0408)</t>
        </is>
      </c>
      <c r="D264" s="14" t="inlineStr">
        <is>
          <t>Meghavi Limbachiya (7990276497)</t>
        </is>
      </c>
      <c r="E264" s="14" t="inlineStr">
        <is>
          <t>Unassigned</t>
        </is>
      </c>
      <c r="F264" s="14" t="inlineStr">
        <is>
          <t>New</t>
        </is>
      </c>
      <c r="G264" s="14" t="inlineStr">
        <is>
          <t>Not Assigned</t>
        </is>
      </c>
      <c r="H264" s="14" t="inlineStr">
        <is>
          <t>N/A (Not Assigned)</t>
        </is>
      </c>
      <c r="I264" s="14" t="inlineStr">
        <is>
          <t>-</t>
        </is>
      </c>
    </row>
    <row r="265" ht="20" customHeight="1">
      <c r="A265" s="58" t="n">
        <v>46274.77467994213</v>
      </c>
      <c r="B265" s="19" t="inlineStr">
        <is>
          <t>3. This Month (Sep 2026)</t>
        </is>
      </c>
      <c r="C265" s="17" t="inlineStr">
        <is>
          <t>Meta Ads (NB PropertyTech Rental Ad 0408)</t>
        </is>
      </c>
      <c r="D265" s="17" t="inlineStr">
        <is>
          <t>Yug Patel (8758235855)</t>
        </is>
      </c>
      <c r="E265" s="17" t="inlineStr">
        <is>
          <t>Zeel Mudaliyar</t>
        </is>
      </c>
      <c r="F265" s="17" t="inlineStr">
        <is>
          <t>New</t>
        </is>
      </c>
      <c r="G265" s="17" t="inlineStr">
        <is>
          <t>Not Assigned</t>
        </is>
      </c>
      <c r="H265" s="17" t="inlineStr">
        <is>
          <t>N/A (Not Assigned)</t>
        </is>
      </c>
      <c r="I265" s="17" t="inlineStr">
        <is>
          <t>-</t>
        </is>
      </c>
    </row>
    <row r="266" ht="20" customHeight="1">
      <c r="A266" s="57" t="n">
        <v>46274.77467982639</v>
      </c>
      <c r="B266" s="16" t="inlineStr">
        <is>
          <t>3. This Month (Sep 2026)</t>
        </is>
      </c>
      <c r="C266" s="14" t="inlineStr">
        <is>
          <t>Meta Ads (NB PropertyTech Rental Ad 0408)</t>
        </is>
      </c>
      <c r="D266" s="14" t="inlineStr">
        <is>
          <t>Rakesh (9251060587)</t>
        </is>
      </c>
      <c r="E266" s="14" t="inlineStr">
        <is>
          <t>Unassigned</t>
        </is>
      </c>
      <c r="F266" s="14" t="inlineStr">
        <is>
          <t>CNR (Could Not Reach)</t>
        </is>
      </c>
      <c r="G266" s="14" t="inlineStr">
        <is>
          <t>Not Assigned</t>
        </is>
      </c>
      <c r="H266" s="14" t="inlineStr">
        <is>
          <t>N/A (Not Assigned)</t>
        </is>
      </c>
      <c r="I266" s="14" t="inlineStr">
        <is>
          <t>-</t>
        </is>
      </c>
    </row>
    <row r="267" ht="20" customHeight="1">
      <c r="A267" s="58" t="n">
        <v>46274.77467969908</v>
      </c>
      <c r="B267" s="19" t="inlineStr">
        <is>
          <t>3. This Month (Sep 2026)</t>
        </is>
      </c>
      <c r="C267" s="17" t="inlineStr">
        <is>
          <t>Meta Ads (NB PropertyTech Rental Ad 0408)</t>
        </is>
      </c>
      <c r="D267" s="17" t="inlineStr">
        <is>
          <t>Shailesh (9904864000)</t>
        </is>
      </c>
      <c r="E267" s="17" t="inlineStr">
        <is>
          <t>Zeel Mudaliyar</t>
        </is>
      </c>
      <c r="F267" s="17" t="inlineStr">
        <is>
          <t>New</t>
        </is>
      </c>
      <c r="G267" s="17" t="inlineStr">
        <is>
          <t>Not Assigned</t>
        </is>
      </c>
      <c r="H267" s="17" t="inlineStr">
        <is>
          <t>N/A (Not Assigned)</t>
        </is>
      </c>
      <c r="I267" s="17" t="inlineStr">
        <is>
          <t>-</t>
        </is>
      </c>
    </row>
    <row r="268" ht="20" customHeight="1">
      <c r="A268" s="57" t="n">
        <v>46274.77467956019</v>
      </c>
      <c r="B268" s="16" t="inlineStr">
        <is>
          <t>3. This Month (Sep 2026)</t>
        </is>
      </c>
      <c r="C268" s="14" t="inlineStr">
        <is>
          <t>Meta Ads (NB PropertyTech Rental Ad 0408)</t>
        </is>
      </c>
      <c r="D268" s="14" t="inlineStr">
        <is>
          <t>Milan Vaghela (8511724035)</t>
        </is>
      </c>
      <c r="E268" s="14" t="inlineStr">
        <is>
          <t>Prexa Vithalapara</t>
        </is>
      </c>
      <c r="F268" s="14" t="inlineStr">
        <is>
          <t>New</t>
        </is>
      </c>
      <c r="G268" s="14" t="inlineStr">
        <is>
          <t>Not Assigned</t>
        </is>
      </c>
      <c r="H268" s="14" t="inlineStr">
        <is>
          <t>N/A (Not Assigned)</t>
        </is>
      </c>
      <c r="I268" s="14" t="inlineStr">
        <is>
          <t>-</t>
        </is>
      </c>
    </row>
    <row r="269" ht="20" customHeight="1">
      <c r="A269" s="58" t="n">
        <v>46274.77467942129</v>
      </c>
      <c r="B269" s="19" t="inlineStr">
        <is>
          <t>3. This Month (Sep 2026)</t>
        </is>
      </c>
      <c r="C269" s="17" t="inlineStr">
        <is>
          <t>Meta Ads (NB PropertyTech Rental Ad 0408)</t>
        </is>
      </c>
      <c r="D269" s="17" t="inlineStr">
        <is>
          <t>Anju Soni (9979607890)</t>
        </is>
      </c>
      <c r="E269" s="17" t="inlineStr">
        <is>
          <t>Zeel Mudaliyar</t>
        </is>
      </c>
      <c r="F269" s="17" t="inlineStr">
        <is>
          <t>New</t>
        </is>
      </c>
      <c r="G269" s="17" t="inlineStr">
        <is>
          <t>Not Assigned</t>
        </is>
      </c>
      <c r="H269" s="17" t="inlineStr">
        <is>
          <t>N/A (Not Assigned)</t>
        </is>
      </c>
      <c r="I269" s="17" t="inlineStr">
        <is>
          <t>-</t>
        </is>
      </c>
    </row>
    <row r="270" ht="20" customHeight="1">
      <c r="A270" s="57" t="n">
        <v>46274.77467928241</v>
      </c>
      <c r="B270" s="16" t="inlineStr">
        <is>
          <t>3. This Month (Sep 2026)</t>
        </is>
      </c>
      <c r="C270" s="14" t="inlineStr">
        <is>
          <t>Meta Ads (NB PropertyTech Rental Ad 0408)</t>
        </is>
      </c>
      <c r="D270" s="14" t="inlineStr">
        <is>
          <t>Sheela Vijay (9428219706)</t>
        </is>
      </c>
      <c r="E270" s="14" t="inlineStr">
        <is>
          <t>Unassigned</t>
        </is>
      </c>
      <c r="F270" s="14" t="inlineStr">
        <is>
          <t>CNR (Could Not Reach)</t>
        </is>
      </c>
      <c r="G270" s="14" t="inlineStr">
        <is>
          <t>Not Assigned</t>
        </is>
      </c>
      <c r="H270" s="14" t="inlineStr">
        <is>
          <t>N/A (Not Assigned)</t>
        </is>
      </c>
      <c r="I270" s="14" t="inlineStr">
        <is>
          <t>-</t>
        </is>
      </c>
    </row>
    <row r="271" ht="20" customHeight="1">
      <c r="A271" s="58" t="n">
        <v>46274.77467909722</v>
      </c>
      <c r="B271" s="19" t="inlineStr">
        <is>
          <t>3. This Month (Sep 2026)</t>
        </is>
      </c>
      <c r="C271" s="17" t="inlineStr">
        <is>
          <t>Meta Ads (NB PropertyTech Rental Ad 0408)</t>
        </is>
      </c>
      <c r="D271" s="17" t="inlineStr">
        <is>
          <t>Sunil Chatterjee (9427621991)</t>
        </is>
      </c>
      <c r="E271" s="17" t="inlineStr">
        <is>
          <t>Prexa Vithalapara</t>
        </is>
      </c>
      <c r="F271" s="17" t="inlineStr">
        <is>
          <t>Listed</t>
        </is>
      </c>
      <c r="G271" s="17" t="inlineStr">
        <is>
          <t>Not Assigned</t>
        </is>
      </c>
      <c r="H271" s="17" t="inlineStr">
        <is>
          <t>N/A (Not Assigned)</t>
        </is>
      </c>
      <c r="I271" s="17" t="inlineStr">
        <is>
          <t>-</t>
        </is>
      </c>
    </row>
    <row r="272" ht="20" customHeight="1">
      <c r="A272" s="57" t="n">
        <v>46274.77467887731</v>
      </c>
      <c r="B272" s="16" t="inlineStr">
        <is>
          <t>3. This Month (Sep 2026)</t>
        </is>
      </c>
      <c r="C272" s="14" t="inlineStr">
        <is>
          <t>Meta Ads (NB PropertyTech Rental Ad 0408)</t>
        </is>
      </c>
      <c r="D272" s="14" t="inlineStr">
        <is>
          <t>Krishna Thakar (8733910895)</t>
        </is>
      </c>
      <c r="E272" s="14" t="inlineStr">
        <is>
          <t>Prexa Vithalapara</t>
        </is>
      </c>
      <c r="F272" s="14" t="inlineStr">
        <is>
          <t>New</t>
        </is>
      </c>
      <c r="G272" s="14" t="inlineStr">
        <is>
          <t>Not Assigned</t>
        </is>
      </c>
      <c r="H272" s="14" t="inlineStr">
        <is>
          <t>N/A (Not Assigned)</t>
        </is>
      </c>
      <c r="I272" s="14" t="inlineStr">
        <is>
          <t>-</t>
        </is>
      </c>
    </row>
    <row r="273" ht="20" customHeight="1">
      <c r="A273" s="58" t="n">
        <v>46274.77467875</v>
      </c>
      <c r="B273" s="19" t="inlineStr">
        <is>
          <t>3. This Month (Sep 2026)</t>
        </is>
      </c>
      <c r="C273" s="17" t="inlineStr">
        <is>
          <t>Meta Ads (NB PropertyTech Rental Ad 0408)</t>
        </is>
      </c>
      <c r="D273" s="17" t="inlineStr">
        <is>
          <t>Prashant Karavadiya (7817827810)</t>
        </is>
      </c>
      <c r="E273" s="17" t="inlineStr">
        <is>
          <t>Zeel Mudaliyar</t>
        </is>
      </c>
      <c r="F273" s="17" t="inlineStr">
        <is>
          <t>New</t>
        </is>
      </c>
      <c r="G273" s="17" t="inlineStr">
        <is>
          <t>Not Assigned</t>
        </is>
      </c>
      <c r="H273" s="17" t="inlineStr">
        <is>
          <t>N/A (Not Assigned)</t>
        </is>
      </c>
      <c r="I273" s="17" t="inlineStr">
        <is>
          <t>-</t>
        </is>
      </c>
    </row>
    <row r="274" ht="20" customHeight="1">
      <c r="A274" s="57" t="n">
        <v>46274.77467862269</v>
      </c>
      <c r="B274" s="16" t="inlineStr">
        <is>
          <t>3. This Month (Sep 2026)</t>
        </is>
      </c>
      <c r="C274" s="14" t="inlineStr">
        <is>
          <t>Meta Ads (NB PropertyTech Rental Ad 0408)</t>
        </is>
      </c>
      <c r="D274" s="14" t="inlineStr">
        <is>
          <t>Khushbu Barot (9687888641)</t>
        </is>
      </c>
      <c r="E274" s="14" t="inlineStr">
        <is>
          <t>Unassigned</t>
        </is>
      </c>
      <c r="F274" s="14" t="inlineStr">
        <is>
          <t>CNR (Could Not Reach)</t>
        </is>
      </c>
      <c r="G274" s="14" t="inlineStr">
        <is>
          <t>Not Assigned</t>
        </is>
      </c>
      <c r="H274" s="14" t="inlineStr">
        <is>
          <t>N/A (Not Assigned)</t>
        </is>
      </c>
      <c r="I274" s="14" t="inlineStr">
        <is>
          <t>-</t>
        </is>
      </c>
    </row>
    <row r="275" ht="20" customHeight="1">
      <c r="A275" s="58" t="n">
        <v>46274.77467849537</v>
      </c>
      <c r="B275" s="19" t="inlineStr">
        <is>
          <t>3. This Month (Sep 2026)</t>
        </is>
      </c>
      <c r="C275" s="17" t="inlineStr">
        <is>
          <t>Meta Ads (NB PropertyTech Rental Ad 0408)</t>
        </is>
      </c>
      <c r="D275" s="17" t="inlineStr">
        <is>
          <t>Kirit Patel (9924026800)</t>
        </is>
      </c>
      <c r="E275" s="17" t="inlineStr">
        <is>
          <t>Prexa Vithalapara</t>
        </is>
      </c>
      <c r="F275" s="17" t="inlineStr">
        <is>
          <t>New</t>
        </is>
      </c>
      <c r="G275" s="17" t="inlineStr">
        <is>
          <t>Not Assigned</t>
        </is>
      </c>
      <c r="H275" s="17" t="inlineStr">
        <is>
          <t>N/A (Not Assigned)</t>
        </is>
      </c>
      <c r="I275" s="17" t="inlineStr">
        <is>
          <t>-</t>
        </is>
      </c>
    </row>
    <row r="276" ht="20" customHeight="1">
      <c r="A276" s="57" t="n">
        <v>46274.7746783912</v>
      </c>
      <c r="B276" s="16" t="inlineStr">
        <is>
          <t>3. This Month (Sep 2026)</t>
        </is>
      </c>
      <c r="C276" s="14" t="inlineStr">
        <is>
          <t>Meta Ads (NB PropertyTech Rental Ad 0408)</t>
        </is>
      </c>
      <c r="D276" s="14" t="inlineStr">
        <is>
          <t>Ummed Gehlot (9829317114)</t>
        </is>
      </c>
      <c r="E276" s="14" t="inlineStr">
        <is>
          <t>Prexa Vithalapara</t>
        </is>
      </c>
      <c r="F276" s="14" t="inlineStr">
        <is>
          <t>New</t>
        </is>
      </c>
      <c r="G276" s="14" t="inlineStr">
        <is>
          <t>Not Assigned</t>
        </is>
      </c>
      <c r="H276" s="14" t="inlineStr">
        <is>
          <t>N/A (Not Assigned)</t>
        </is>
      </c>
      <c r="I276" s="14" t="inlineStr">
        <is>
          <t>-</t>
        </is>
      </c>
    </row>
    <row r="277" ht="20" customHeight="1">
      <c r="A277" s="58" t="n">
        <v>46274.7746777662</v>
      </c>
      <c r="B277" s="19" t="inlineStr">
        <is>
          <t>3. This Month (Sep 2026)</t>
        </is>
      </c>
      <c r="C277" s="17" t="inlineStr">
        <is>
          <t>Meta Ads (NB PropertyTech Rental Ad 0408)</t>
        </is>
      </c>
      <c r="D277" s="17" t="inlineStr">
        <is>
          <t>Vipul Parikh (9033021158)</t>
        </is>
      </c>
      <c r="E277" s="17" t="inlineStr">
        <is>
          <t>Zeel Mudaliyar</t>
        </is>
      </c>
      <c r="F277" s="17" t="inlineStr">
        <is>
          <t>New</t>
        </is>
      </c>
      <c r="G277" s="17" t="inlineStr">
        <is>
          <t>Not Assigned</t>
        </is>
      </c>
      <c r="H277" s="17" t="inlineStr">
        <is>
          <t>N/A (Not Assigned)</t>
        </is>
      </c>
      <c r="I277" s="17" t="inlineStr">
        <is>
          <t>-</t>
        </is>
      </c>
    </row>
    <row r="278" ht="20" customHeight="1">
      <c r="A278" s="57" t="n">
        <v>46274.77467767361</v>
      </c>
      <c r="B278" s="16" t="inlineStr">
        <is>
          <t>3. This Month (Sep 2026)</t>
        </is>
      </c>
      <c r="C278" s="14" t="inlineStr">
        <is>
          <t>Meta Ads (NB PropertyTech Rental Ad 0408)</t>
        </is>
      </c>
      <c r="D278" s="14" t="inlineStr">
        <is>
          <t>Krishna Vithalani (9376607294)</t>
        </is>
      </c>
      <c r="E278" s="14" t="inlineStr">
        <is>
          <t>Prexa Vithalapara</t>
        </is>
      </c>
      <c r="F278" s="14" t="inlineStr">
        <is>
          <t>New</t>
        </is>
      </c>
      <c r="G278" s="14" t="inlineStr">
        <is>
          <t>Not Assigned</t>
        </is>
      </c>
      <c r="H278" s="14" t="inlineStr">
        <is>
          <t>N/A (Not Assigned)</t>
        </is>
      </c>
      <c r="I278" s="14" t="inlineStr">
        <is>
          <t>-</t>
        </is>
      </c>
    </row>
    <row r="279" ht="20" customHeight="1">
      <c r="A279" s="58" t="n">
        <v>46274.77467754629</v>
      </c>
      <c r="B279" s="19" t="inlineStr">
        <is>
          <t>3. This Month (Sep 2026)</t>
        </is>
      </c>
      <c r="C279" s="17" t="inlineStr">
        <is>
          <t>Meta Ads (NB PropertyTech Rental Ad 0408)</t>
        </is>
      </c>
      <c r="D279" s="17" t="inlineStr">
        <is>
          <t>Jayesh Khambhala (6351215725)</t>
        </is>
      </c>
      <c r="E279" s="17" t="inlineStr">
        <is>
          <t>Prexa Vithalapara</t>
        </is>
      </c>
      <c r="F279" s="17" t="inlineStr">
        <is>
          <t>New</t>
        </is>
      </c>
      <c r="G279" s="17" t="inlineStr">
        <is>
          <t>Not Assigned</t>
        </is>
      </c>
      <c r="H279" s="17" t="inlineStr">
        <is>
          <t>N/A (Not Assigned)</t>
        </is>
      </c>
      <c r="I279" s="17" t="inlineStr">
        <is>
          <t>-</t>
        </is>
      </c>
    </row>
    <row r="280" ht="20" customHeight="1">
      <c r="A280" s="57" t="n">
        <v>46274.77467741898</v>
      </c>
      <c r="B280" s="16" t="inlineStr">
        <is>
          <t>3. This Month (Sep 2026)</t>
        </is>
      </c>
      <c r="C280" s="14" t="inlineStr">
        <is>
          <t>Meta Ads (NB PropertyTech Rental Ad 0408)</t>
        </is>
      </c>
      <c r="D280" s="14" t="inlineStr">
        <is>
          <t>Mukesh Patel (9825063997)</t>
        </is>
      </c>
      <c r="E280" s="14" t="inlineStr">
        <is>
          <t>Zeel Mudaliyar</t>
        </is>
      </c>
      <c r="F280" s="14" t="inlineStr">
        <is>
          <t>New</t>
        </is>
      </c>
      <c r="G280" s="14" t="inlineStr">
        <is>
          <t>Not Assigned</t>
        </is>
      </c>
      <c r="H280" s="14" t="inlineStr">
        <is>
          <t>N/A (Not Assigned)</t>
        </is>
      </c>
      <c r="I280" s="14" t="inlineStr">
        <is>
          <t>Property Remark: Separate garden provided</t>
        </is>
      </c>
    </row>
    <row r="281" ht="20" customHeight="1">
      <c r="A281" s="58" t="n">
        <v>46274.77467730324</v>
      </c>
      <c r="B281" s="19" t="inlineStr">
        <is>
          <t>3. This Month (Sep 2026)</t>
        </is>
      </c>
      <c r="C281" s="17" t="inlineStr">
        <is>
          <t>Meta Ads (NB PropertyTech Rental Ad 0408)</t>
        </is>
      </c>
      <c r="D281" s="17" t="inlineStr">
        <is>
          <t>Magan Lal Jp Dhanlaxmi (9828766083)</t>
        </is>
      </c>
      <c r="E281" s="17" t="inlineStr">
        <is>
          <t>Zeel Mudaliyar</t>
        </is>
      </c>
      <c r="F281" s="17" t="inlineStr">
        <is>
          <t>New</t>
        </is>
      </c>
      <c r="G281" s="17" t="inlineStr">
        <is>
          <t>Not Assigned</t>
        </is>
      </c>
      <c r="H281" s="17" t="inlineStr">
        <is>
          <t>N/A (Not Assigned)</t>
        </is>
      </c>
      <c r="I281" s="17" t="inlineStr">
        <is>
          <t>-</t>
        </is>
      </c>
    </row>
    <row r="282" ht="20" customHeight="1">
      <c r="A282" s="57" t="n">
        <v>46274.77467715277</v>
      </c>
      <c r="B282" s="16" t="inlineStr">
        <is>
          <t>3. This Month (Sep 2026)</t>
        </is>
      </c>
      <c r="C282" s="14" t="inlineStr">
        <is>
          <t>Meta Ads (NB PropertyTech Rental Ad 0408)</t>
        </is>
      </c>
      <c r="D282" s="14" t="inlineStr">
        <is>
          <t>Jain Raj (9904245742)</t>
        </is>
      </c>
      <c r="E282" s="14" t="inlineStr">
        <is>
          <t>Prexa Vithalapara</t>
        </is>
      </c>
      <c r="F282" s="14" t="inlineStr">
        <is>
          <t>New</t>
        </is>
      </c>
      <c r="G282" s="14" t="inlineStr">
        <is>
          <t>Not Assigned</t>
        </is>
      </c>
      <c r="H282" s="14" t="inlineStr">
        <is>
          <t>N/A (Not Assigned)</t>
        </is>
      </c>
      <c r="I282" s="14" t="inlineStr">
        <is>
          <t>-</t>
        </is>
      </c>
    </row>
    <row r="283" ht="20" customHeight="1">
      <c r="A283" s="58" t="n">
        <v>46274.77467685186</v>
      </c>
      <c r="B283" s="19" t="inlineStr">
        <is>
          <t>3. This Month (Sep 2026)</t>
        </is>
      </c>
      <c r="C283" s="17" t="inlineStr">
        <is>
          <t>Meta Ads (NB PropertyTech Rental Ad 0408)</t>
        </is>
      </c>
      <c r="D283" s="17" t="inlineStr">
        <is>
          <t>Prashant Gandhi (8460440793)</t>
        </is>
      </c>
      <c r="E283" s="17" t="inlineStr">
        <is>
          <t>Zeel Mudaliyar</t>
        </is>
      </c>
      <c r="F283" s="17" t="inlineStr">
        <is>
          <t>New</t>
        </is>
      </c>
      <c r="G283" s="17" t="inlineStr">
        <is>
          <t>Not Assigned</t>
        </is>
      </c>
      <c r="H283" s="17" t="inlineStr">
        <is>
          <t>N/A (Not Assigned)</t>
        </is>
      </c>
      <c r="I283" s="17" t="inlineStr">
        <is>
          <t>-</t>
        </is>
      </c>
    </row>
    <row r="284" ht="20" customHeight="1">
      <c r="A284" s="57" t="n">
        <v>46274.77467670139</v>
      </c>
      <c r="B284" s="16" t="inlineStr">
        <is>
          <t>3. This Month (Sep 2026)</t>
        </is>
      </c>
      <c r="C284" s="14" t="inlineStr">
        <is>
          <t>Meta Ads (NB PropertyTech Rental Ad 0408)</t>
        </is>
      </c>
      <c r="D284" s="14" t="inlineStr">
        <is>
          <t>Harsha Akhja (9879666513)</t>
        </is>
      </c>
      <c r="E284" s="14" t="inlineStr">
        <is>
          <t>Zeel Mudaliyar</t>
        </is>
      </c>
      <c r="F284" s="14" t="inlineStr">
        <is>
          <t>New</t>
        </is>
      </c>
      <c r="G284" s="14" t="inlineStr">
        <is>
          <t>Not Assigned</t>
        </is>
      </c>
      <c r="H284" s="14" t="inlineStr">
        <is>
          <t>N/A (Not Assigned)</t>
        </is>
      </c>
      <c r="I284" s="14" t="inlineStr">
        <is>
          <t>-</t>
        </is>
      </c>
    </row>
    <row r="285" ht="20" customHeight="1">
      <c r="A285" s="58" t="n">
        <v>46274.7746765625</v>
      </c>
      <c r="B285" s="19" t="inlineStr">
        <is>
          <t>3. This Month (Sep 2026)</t>
        </is>
      </c>
      <c r="C285" s="17" t="inlineStr">
        <is>
          <t>Meta Ads (NB PropertyTech Rental Ad 0408)</t>
        </is>
      </c>
      <c r="D285" s="17" t="inlineStr">
        <is>
          <t>Sangita Patel (8849928379)</t>
        </is>
      </c>
      <c r="E285" s="17" t="inlineStr">
        <is>
          <t>Prexa Vithalapara</t>
        </is>
      </c>
      <c r="F285" s="17" t="inlineStr">
        <is>
          <t>Rejected / Lost</t>
        </is>
      </c>
      <c r="G285" s="17" t="inlineStr">
        <is>
          <t>Not Assigned</t>
        </is>
      </c>
      <c r="H285" s="17" t="inlineStr">
        <is>
          <t>N/A (Not Assigned)</t>
        </is>
      </c>
      <c r="I285" s="17" t="inlineStr">
        <is>
          <t>-</t>
        </is>
      </c>
    </row>
    <row r="286" ht="20" customHeight="1">
      <c r="A286" s="57" t="n">
        <v>46274.77467641204</v>
      </c>
      <c r="B286" s="16" t="inlineStr">
        <is>
          <t>3. This Month (Sep 2026)</t>
        </is>
      </c>
      <c r="C286" s="14" t="inlineStr">
        <is>
          <t>Meta Ads (NB PropertyTech Rental Ad 0408)</t>
        </is>
      </c>
      <c r="D286" s="14" t="inlineStr">
        <is>
          <t>Pankaj Manek (9427944344)</t>
        </is>
      </c>
      <c r="E286" s="14" t="inlineStr">
        <is>
          <t>Prexa Vithalapara</t>
        </is>
      </c>
      <c r="F286" s="14" t="inlineStr">
        <is>
          <t>New</t>
        </is>
      </c>
      <c r="G286" s="14" t="inlineStr">
        <is>
          <t>Not Assigned</t>
        </is>
      </c>
      <c r="H286" s="14" t="inlineStr">
        <is>
          <t>N/A (Not Assigned)</t>
        </is>
      </c>
      <c r="I286" s="14" t="inlineStr">
        <is>
          <t>-</t>
        </is>
      </c>
    </row>
    <row r="287" ht="20" customHeight="1">
      <c r="A287" s="58" t="n">
        <v>46274.77467625</v>
      </c>
      <c r="B287" s="19" t="inlineStr">
        <is>
          <t>3. This Month (Sep 2026)</t>
        </is>
      </c>
      <c r="C287" s="17" t="inlineStr">
        <is>
          <t>Meta Ads (NB PropertyTech Rental Ad 0408)</t>
        </is>
      </c>
      <c r="D287" s="17" t="inlineStr">
        <is>
          <t>Khushi Patel (9265602115)</t>
        </is>
      </c>
      <c r="E287" s="17" t="inlineStr">
        <is>
          <t>Zeel Mudaliyar</t>
        </is>
      </c>
      <c r="F287" s="17" t="inlineStr">
        <is>
          <t>New</t>
        </is>
      </c>
      <c r="G287" s="17" t="inlineStr">
        <is>
          <t>Not Assigned</t>
        </is>
      </c>
      <c r="H287" s="17" t="inlineStr">
        <is>
          <t>N/A (Not Assigned)</t>
        </is>
      </c>
      <c r="I287" s="17" t="inlineStr">
        <is>
          <t>-</t>
        </is>
      </c>
    </row>
    <row r="288" ht="20" customHeight="1">
      <c r="A288" s="57" t="n">
        <v>46274.77467611111</v>
      </c>
      <c r="B288" s="16" t="inlineStr">
        <is>
          <t>3. This Month (Sep 2026)</t>
        </is>
      </c>
      <c r="C288" s="14" t="inlineStr">
        <is>
          <t>Meta Ads (NB PropertyTech Rental Ad 0408)</t>
        </is>
      </c>
      <c r="D288" s="14" t="inlineStr">
        <is>
          <t>Dhaval Solanki (7622989941)</t>
        </is>
      </c>
      <c r="E288" s="14" t="inlineStr">
        <is>
          <t>Prexa Vithalapara</t>
        </is>
      </c>
      <c r="F288" s="14" t="inlineStr">
        <is>
          <t>New</t>
        </is>
      </c>
      <c r="G288" s="14" t="inlineStr">
        <is>
          <t>Not Assigned</t>
        </is>
      </c>
      <c r="H288" s="14" t="inlineStr">
        <is>
          <t>N/A (Not Assigned)</t>
        </is>
      </c>
      <c r="I288" s="14" t="inlineStr">
        <is>
          <t>Property Remark: "Modular kitchen, Folding Dining, Safety Door,
Lights &amp; fans, 2 Geysers,
Another Basic Accessories"</t>
        </is>
      </c>
    </row>
    <row r="289" ht="20" customHeight="1">
      <c r="A289" s="58" t="n">
        <v>46274.77467594908</v>
      </c>
      <c r="B289" s="19" t="inlineStr">
        <is>
          <t>3. This Month (Sep 2026)</t>
        </is>
      </c>
      <c r="C289" s="17" t="inlineStr">
        <is>
          <t>Meta Ads (NB PropertyTech Rental Ad 0408)</t>
        </is>
      </c>
      <c r="D289" s="17" t="inlineStr">
        <is>
          <t>Bhavna Gharekhan (9879514255)</t>
        </is>
      </c>
      <c r="E289" s="17" t="inlineStr">
        <is>
          <t>Prexa Vithalapara</t>
        </is>
      </c>
      <c r="F289" s="17" t="inlineStr">
        <is>
          <t>New</t>
        </is>
      </c>
      <c r="G289" s="17" t="inlineStr">
        <is>
          <t>Not Assigned</t>
        </is>
      </c>
      <c r="H289" s="17" t="inlineStr">
        <is>
          <t>N/A (Not Assigned)</t>
        </is>
      </c>
      <c r="I289" s="17" t="inlineStr">
        <is>
          <t>-</t>
        </is>
      </c>
    </row>
    <row r="290" ht="20" customHeight="1">
      <c r="A290" s="57" t="n">
        <v>46274.77467582176</v>
      </c>
      <c r="B290" s="16" t="inlineStr">
        <is>
          <t>3. This Month (Sep 2026)</t>
        </is>
      </c>
      <c r="C290" s="14" t="inlineStr">
        <is>
          <t>Meta Ads (NB PropertyTech Rental Ad 0408)</t>
        </is>
      </c>
      <c r="D290" s="14" t="inlineStr">
        <is>
          <t>Khemraj Dangi Shiv Constion (9511545048)</t>
        </is>
      </c>
      <c r="E290" s="14" t="inlineStr">
        <is>
          <t>Prexa Vithalapara</t>
        </is>
      </c>
      <c r="F290" s="14" t="inlineStr">
        <is>
          <t>New</t>
        </is>
      </c>
      <c r="G290" s="14" t="inlineStr">
        <is>
          <t>Not Assigned</t>
        </is>
      </c>
      <c r="H290" s="14" t="inlineStr">
        <is>
          <t>N/A (Not Assigned)</t>
        </is>
      </c>
      <c r="I290" s="14" t="inlineStr">
        <is>
          <t>-</t>
        </is>
      </c>
    </row>
    <row r="291" ht="20" customHeight="1">
      <c r="A291" s="58" t="n">
        <v>46274.77467570602</v>
      </c>
      <c r="B291" s="19" t="inlineStr">
        <is>
          <t>3. This Month (Sep 2026)</t>
        </is>
      </c>
      <c r="C291" s="17" t="inlineStr">
        <is>
          <t>Meta Ads (NB PropertyTech Rental Ad 0408)</t>
        </is>
      </c>
      <c r="D291" s="17" t="inlineStr">
        <is>
          <t>Raxit Shah (9974051143)</t>
        </is>
      </c>
      <c r="E291" s="17" t="inlineStr">
        <is>
          <t>Prexa Vithalapara</t>
        </is>
      </c>
      <c r="F291" s="17" t="inlineStr">
        <is>
          <t>New</t>
        </is>
      </c>
      <c r="G291" s="17" t="inlineStr">
        <is>
          <t>Not Assigned</t>
        </is>
      </c>
      <c r="H291" s="17" t="inlineStr">
        <is>
          <t>N/A (Not Assigned)</t>
        </is>
      </c>
      <c r="I291" s="17" t="inlineStr">
        <is>
          <t>-</t>
        </is>
      </c>
    </row>
    <row r="292" ht="20" customHeight="1">
      <c r="A292" s="57" t="n">
        <v>46274.7746755324</v>
      </c>
      <c r="B292" s="16" t="inlineStr">
        <is>
          <t>3. This Month (Sep 2026)</t>
        </is>
      </c>
      <c r="C292" s="14" t="inlineStr">
        <is>
          <t>Meta Ads (NB PropertyTech Rental Ad 0408)</t>
        </is>
      </c>
      <c r="D292" s="14" t="inlineStr">
        <is>
          <t>Jyoti Gadhavi (8511216756)</t>
        </is>
      </c>
      <c r="E292" s="14" t="inlineStr">
        <is>
          <t>Zeel Mudaliyar</t>
        </is>
      </c>
      <c r="F292" s="14" t="inlineStr">
        <is>
          <t>New</t>
        </is>
      </c>
      <c r="G292" s="14" t="inlineStr">
        <is>
          <t>Not Assigned</t>
        </is>
      </c>
      <c r="H292" s="14" t="inlineStr">
        <is>
          <t>N/A (Not Assigned)</t>
        </is>
      </c>
      <c r="I292" s="14" t="inlineStr">
        <is>
          <t>-</t>
        </is>
      </c>
    </row>
    <row r="293" ht="20" customHeight="1">
      <c r="A293" s="58" t="n">
        <v>46274.77467541667</v>
      </c>
      <c r="B293" s="19" t="inlineStr">
        <is>
          <t>3. This Month (Sep 2026)</t>
        </is>
      </c>
      <c r="C293" s="17" t="inlineStr">
        <is>
          <t>Meta Ads (NB PropertyTech Rental Ad 0408)</t>
        </is>
      </c>
      <c r="D293" s="17" t="inlineStr">
        <is>
          <t>Kanchan Tiwari (8827867119)</t>
        </is>
      </c>
      <c r="E293" s="17" t="inlineStr">
        <is>
          <t>Prexa Vithalapara</t>
        </is>
      </c>
      <c r="F293" s="17" t="inlineStr">
        <is>
          <t>New</t>
        </is>
      </c>
      <c r="G293" s="17" t="inlineStr">
        <is>
          <t>Not Assigned</t>
        </is>
      </c>
      <c r="H293" s="17" t="inlineStr">
        <is>
          <t>N/A (Not Assigned)</t>
        </is>
      </c>
      <c r="I293" s="17" t="inlineStr">
        <is>
          <t>-</t>
        </is>
      </c>
    </row>
    <row r="294" ht="20" customHeight="1">
      <c r="A294" s="57" t="n">
        <v>46274.77467528935</v>
      </c>
      <c r="B294" s="16" t="inlineStr">
        <is>
          <t>3. This Month (Sep 2026)</t>
        </is>
      </c>
      <c r="C294" s="14" t="inlineStr">
        <is>
          <t>Meta Ads (NB PropertyTech Rental Ad 0408)</t>
        </is>
      </c>
      <c r="D294" s="14" t="inlineStr">
        <is>
          <t>Utsav Radadiya (7043798279)</t>
        </is>
      </c>
      <c r="E294" s="14" t="inlineStr">
        <is>
          <t>Prexa Vithalapara</t>
        </is>
      </c>
      <c r="F294" s="14" t="inlineStr">
        <is>
          <t>New</t>
        </is>
      </c>
      <c r="G294" s="14" t="inlineStr">
        <is>
          <t>Not Assigned</t>
        </is>
      </c>
      <c r="H294" s="14" t="inlineStr">
        <is>
          <t>N/A (Not Assigned)</t>
        </is>
      </c>
      <c r="I294" s="14" t="inlineStr">
        <is>
          <t>-</t>
        </is>
      </c>
    </row>
    <row r="295" ht="20" customHeight="1">
      <c r="A295" s="58" t="n">
        <v>46274.77467503472</v>
      </c>
      <c r="B295" s="19" t="inlineStr">
        <is>
          <t>3. This Month (Sep 2026)</t>
        </is>
      </c>
      <c r="C295" s="17" t="inlineStr">
        <is>
          <t>Meta Ads (NB PropertyTech Rental Ad 0408)</t>
        </is>
      </c>
      <c r="D295" s="17" t="inlineStr">
        <is>
          <t>Rajesh Bharadva (9879044207)</t>
        </is>
      </c>
      <c r="E295" s="17" t="inlineStr">
        <is>
          <t>Prexa Vithalapara</t>
        </is>
      </c>
      <c r="F295" s="17" t="inlineStr">
        <is>
          <t>New</t>
        </is>
      </c>
      <c r="G295" s="17" t="inlineStr">
        <is>
          <t>Not Assigned</t>
        </is>
      </c>
      <c r="H295" s="17" t="inlineStr">
        <is>
          <t>N/A (Not Assigned)</t>
        </is>
      </c>
      <c r="I295" s="17" t="inlineStr">
        <is>
          <t>-</t>
        </is>
      </c>
    </row>
    <row r="296" ht="20" customHeight="1">
      <c r="A296" s="57" t="n">
        <v>46274.77467490741</v>
      </c>
      <c r="B296" s="16" t="inlineStr">
        <is>
          <t>3. This Month (Sep 2026)</t>
        </is>
      </c>
      <c r="C296" s="14" t="inlineStr">
        <is>
          <t>Meta Ads (NB PropertyTech Rental Ad 0408)</t>
        </is>
      </c>
      <c r="D296" s="14" t="inlineStr">
        <is>
          <t>Nikunj Kuma (7600626611)</t>
        </is>
      </c>
      <c r="E296" s="14" t="inlineStr">
        <is>
          <t>Prexa Vithalapara</t>
        </is>
      </c>
      <c r="F296" s="14" t="inlineStr">
        <is>
          <t>New</t>
        </is>
      </c>
      <c r="G296" s="14" t="inlineStr">
        <is>
          <t>Not Assigned</t>
        </is>
      </c>
      <c r="H296" s="14" t="inlineStr">
        <is>
          <t>N/A (Not Assigned)</t>
        </is>
      </c>
      <c r="I296" s="14" t="inlineStr">
        <is>
          <t>-</t>
        </is>
      </c>
    </row>
    <row r="297" ht="20" customHeight="1">
      <c r="A297" s="58" t="n">
        <v>46274.77467479167</v>
      </c>
      <c r="B297" s="19" t="inlineStr">
        <is>
          <t>3. This Month (Sep 2026)</t>
        </is>
      </c>
      <c r="C297" s="17" t="inlineStr">
        <is>
          <t>Meta Ads (NB PropertyTech Rental Ad 0408)</t>
        </is>
      </c>
      <c r="D297" s="17" t="inlineStr">
        <is>
          <t>Harsh Barot (6354770025)</t>
        </is>
      </c>
      <c r="E297" s="17" t="inlineStr">
        <is>
          <t>Prexa Vithalapara</t>
        </is>
      </c>
      <c r="F297" s="17" t="inlineStr">
        <is>
          <t>New</t>
        </is>
      </c>
      <c r="G297" s="17" t="inlineStr">
        <is>
          <t>Not Assigned</t>
        </is>
      </c>
      <c r="H297" s="17" t="inlineStr">
        <is>
          <t>N/A (Not Assigned)</t>
        </is>
      </c>
      <c r="I297" s="17" t="inlineStr">
        <is>
          <t>-</t>
        </is>
      </c>
    </row>
    <row r="298" ht="20" customHeight="1">
      <c r="A298" s="57" t="n">
        <v>46274.77467466435</v>
      </c>
      <c r="B298" s="16" t="inlineStr">
        <is>
          <t>3. This Month (Sep 2026)</t>
        </is>
      </c>
      <c r="C298" s="14" t="inlineStr">
        <is>
          <t>Meta Ads (NB PropertyTech Rental Ad 0408)</t>
        </is>
      </c>
      <c r="D298" s="14" t="inlineStr">
        <is>
          <t>Ketan Dhall (9888922802)</t>
        </is>
      </c>
      <c r="E298" s="14" t="inlineStr">
        <is>
          <t>Prexa Vithalapara</t>
        </is>
      </c>
      <c r="F298" s="14" t="inlineStr">
        <is>
          <t>New</t>
        </is>
      </c>
      <c r="G298" s="14" t="inlineStr">
        <is>
          <t>Not Assigned</t>
        </is>
      </c>
      <c r="H298" s="14" t="inlineStr">
        <is>
          <t>N/A (Not Assigned)</t>
        </is>
      </c>
      <c r="I298" s="14" t="inlineStr">
        <is>
          <t>-</t>
        </is>
      </c>
    </row>
    <row r="299" ht="20" customHeight="1">
      <c r="A299" s="58" t="n">
        <v>46274.77467454861</v>
      </c>
      <c r="B299" s="19" t="inlineStr">
        <is>
          <t>3. This Month (Sep 2026)</t>
        </is>
      </c>
      <c r="C299" s="17" t="inlineStr">
        <is>
          <t>Meta Ads (NB PropertyTech Rental Ad 0408)</t>
        </is>
      </c>
      <c r="D299" s="17" t="inlineStr">
        <is>
          <t>Rohit Sharma (9537310448)</t>
        </is>
      </c>
      <c r="E299" s="17" t="inlineStr">
        <is>
          <t>Prexa Vithalapara</t>
        </is>
      </c>
      <c r="F299" s="17" t="inlineStr">
        <is>
          <t>New</t>
        </is>
      </c>
      <c r="G299" s="17" t="inlineStr">
        <is>
          <t>Not Assigned</t>
        </is>
      </c>
      <c r="H299" s="17" t="inlineStr">
        <is>
          <t>N/A (Not Assigned)</t>
        </is>
      </c>
      <c r="I299" s="17" t="inlineStr">
        <is>
          <t>-</t>
        </is>
      </c>
    </row>
    <row r="300" ht="20" customHeight="1">
      <c r="A300" s="57" t="n">
        <v>46274.77467440972</v>
      </c>
      <c r="B300" s="16" t="inlineStr">
        <is>
          <t>3. This Month (Sep 2026)</t>
        </is>
      </c>
      <c r="C300" s="14" t="inlineStr">
        <is>
          <t>Meta Ads (NB PropertyTech Rental Ad 0408)</t>
        </is>
      </c>
      <c r="D300" s="14" t="inlineStr">
        <is>
          <t>Himanshu (9427314116)</t>
        </is>
      </c>
      <c r="E300" s="14" t="inlineStr">
        <is>
          <t>Unassigned</t>
        </is>
      </c>
      <c r="F300" s="14" t="inlineStr">
        <is>
          <t>CNR (Could Not Reach)</t>
        </is>
      </c>
      <c r="G300" s="14" t="inlineStr">
        <is>
          <t>Not Assigned</t>
        </is>
      </c>
      <c r="H300" s="14" t="inlineStr">
        <is>
          <t>N/A (Not Assigned)</t>
        </is>
      </c>
      <c r="I300" s="14" t="inlineStr">
        <is>
          <t>-</t>
        </is>
      </c>
    </row>
    <row r="301" ht="20" customHeight="1">
      <c r="A301" s="58" t="n">
        <v>46274.77467427083</v>
      </c>
      <c r="B301" s="19" t="inlineStr">
        <is>
          <t>3. This Month (Sep 2026)</t>
        </is>
      </c>
      <c r="C301" s="17" t="inlineStr">
        <is>
          <t>Meta Ads (NB PropertyTech Rental Ad 0408)</t>
        </is>
      </c>
      <c r="D301" s="17" t="inlineStr">
        <is>
          <t>Ansh Khokhani (9016062014)</t>
        </is>
      </c>
      <c r="E301" s="17" t="inlineStr">
        <is>
          <t>Zeel Mudaliyar</t>
        </is>
      </c>
      <c r="F301" s="17" t="inlineStr">
        <is>
          <t>New</t>
        </is>
      </c>
      <c r="G301" s="17" t="inlineStr">
        <is>
          <t>Not Assigned</t>
        </is>
      </c>
      <c r="H301" s="17" t="inlineStr">
        <is>
          <t>N/A (Not Assigned)</t>
        </is>
      </c>
      <c r="I301" s="17" t="inlineStr">
        <is>
          <t>-</t>
        </is>
      </c>
    </row>
    <row r="302" ht="20" customHeight="1">
      <c r="A302" s="57" t="n">
        <v>46274.77467412037</v>
      </c>
      <c r="B302" s="16" t="inlineStr">
        <is>
          <t>3. This Month (Sep 2026)</t>
        </is>
      </c>
      <c r="C302" s="14" t="inlineStr">
        <is>
          <t>Meta Ads (NB PropertyTech Rental Ad 0408)</t>
        </is>
      </c>
      <c r="D302" s="14" t="inlineStr">
        <is>
          <t>Kavya (9574169190)</t>
        </is>
      </c>
      <c r="E302" s="14" t="inlineStr">
        <is>
          <t>Prexa Vithalapara</t>
        </is>
      </c>
      <c r="F302" s="14" t="inlineStr">
        <is>
          <t>New</t>
        </is>
      </c>
      <c r="G302" s="14" t="inlineStr">
        <is>
          <t>Not Assigned</t>
        </is>
      </c>
      <c r="H302" s="14" t="inlineStr">
        <is>
          <t>N/A (Not Assigned)</t>
        </is>
      </c>
      <c r="I302" s="14" t="inlineStr">
        <is>
          <t>-</t>
        </is>
      </c>
    </row>
    <row r="303" ht="20" customHeight="1">
      <c r="A303" s="58" t="n">
        <v>46274.77467394676</v>
      </c>
      <c r="B303" s="19" t="inlineStr">
        <is>
          <t>3. This Month (Sep 2026)</t>
        </is>
      </c>
      <c r="C303" s="17" t="inlineStr">
        <is>
          <t>Meta Ads (NB PropertyTech Rental Ad 0408)</t>
        </is>
      </c>
      <c r="D303" s="17" t="inlineStr">
        <is>
          <t>Vinay (8619168086)</t>
        </is>
      </c>
      <c r="E303" s="17" t="inlineStr">
        <is>
          <t>Unassigned</t>
        </is>
      </c>
      <c r="F303" s="17" t="inlineStr">
        <is>
          <t>CNR (Could Not Reach)</t>
        </is>
      </c>
      <c r="G303" s="17" t="inlineStr">
        <is>
          <t>Not Assigned</t>
        </is>
      </c>
      <c r="H303" s="17" t="inlineStr">
        <is>
          <t>N/A (Not Assigned)</t>
        </is>
      </c>
      <c r="I303" s="17" t="inlineStr">
        <is>
          <t>-</t>
        </is>
      </c>
    </row>
    <row r="304" ht="20" customHeight="1">
      <c r="A304" s="57" t="n">
        <v>46274.77467380787</v>
      </c>
      <c r="B304" s="16" t="inlineStr">
        <is>
          <t>3. This Month (Sep 2026)</t>
        </is>
      </c>
      <c r="C304" s="14" t="inlineStr">
        <is>
          <t>Meta Ads (NB PropertyTech Rental Ad 0408)</t>
        </is>
      </c>
      <c r="D304" s="14" t="inlineStr">
        <is>
          <t>Dhrumil Sinroja (7984937070)</t>
        </is>
      </c>
      <c r="E304" s="14" t="inlineStr">
        <is>
          <t>Zeel Mudaliyar</t>
        </is>
      </c>
      <c r="F304" s="14" t="inlineStr">
        <is>
          <t>New</t>
        </is>
      </c>
      <c r="G304" s="14" t="inlineStr">
        <is>
          <t>Not Assigned</t>
        </is>
      </c>
      <c r="H304" s="14" t="inlineStr">
        <is>
          <t>N/A (Not Assigned)</t>
        </is>
      </c>
      <c r="I304" s="14" t="inlineStr">
        <is>
          <t>-</t>
        </is>
      </c>
    </row>
    <row r="305" ht="20" customHeight="1">
      <c r="A305" s="58" t="n">
        <v>46274.7746736574</v>
      </c>
      <c r="B305" s="19" t="inlineStr">
        <is>
          <t>3. This Month (Sep 2026)</t>
        </is>
      </c>
      <c r="C305" s="17" t="inlineStr">
        <is>
          <t>Meta Ads (NB PropertyTech Rental Ad 0408)</t>
        </is>
      </c>
      <c r="D305" s="17" t="inlineStr">
        <is>
          <t>Ashok Pathak (9427236810)</t>
        </is>
      </c>
      <c r="E305" s="17" t="inlineStr">
        <is>
          <t>Prexa Vithalapara</t>
        </is>
      </c>
      <c r="F305" s="17" t="inlineStr">
        <is>
          <t>New</t>
        </is>
      </c>
      <c r="G305" s="17" t="inlineStr">
        <is>
          <t>Not Assigned</t>
        </is>
      </c>
      <c r="H305" s="17" t="inlineStr">
        <is>
          <t>N/A (Not Assigned)</t>
        </is>
      </c>
      <c r="I305" s="17" t="inlineStr">
        <is>
          <t>-</t>
        </is>
      </c>
    </row>
    <row r="306" ht="20" customHeight="1">
      <c r="A306" s="57" t="n">
        <v>46274.77467327546</v>
      </c>
      <c r="B306" s="16" t="inlineStr">
        <is>
          <t>3. This Month (Sep 2026)</t>
        </is>
      </c>
      <c r="C306" s="14" t="inlineStr">
        <is>
          <t>Meta Ads (NB PropertyTech Rental Ad 0408)</t>
        </is>
      </c>
      <c r="D306" s="14" t="inlineStr">
        <is>
          <t>Vivek Shah (9904902525)</t>
        </is>
      </c>
      <c r="E306" s="14" t="inlineStr">
        <is>
          <t>Prexa Vithalapara</t>
        </is>
      </c>
      <c r="F306" s="14" t="inlineStr">
        <is>
          <t>Rejected / Lost</t>
        </is>
      </c>
      <c r="G306" s="14" t="inlineStr">
        <is>
          <t>Not Assigned</t>
        </is>
      </c>
      <c r="H306" s="14" t="inlineStr">
        <is>
          <t>N/A (Not Assigned)</t>
        </is>
      </c>
      <c r="I306" s="14" t="inlineStr">
        <is>
          <t>Property Remark: Semi furnished, modular kitchen, basic accesories</t>
        </is>
      </c>
    </row>
    <row r="307" ht="20" customHeight="1">
      <c r="A307" s="58" t="n">
        <v>46274.77467315972</v>
      </c>
      <c r="B307" s="19" t="inlineStr">
        <is>
          <t>3. This Month (Sep 2026)</t>
        </is>
      </c>
      <c r="C307" s="17" t="inlineStr">
        <is>
          <t>Meta Ads (NB PropertyTech Rental Ad 0408)</t>
        </is>
      </c>
      <c r="D307" s="17" t="inlineStr">
        <is>
          <t>Raj Raj (8511777224)</t>
        </is>
      </c>
      <c r="E307" s="17" t="inlineStr">
        <is>
          <t>Prexa Vithalapara</t>
        </is>
      </c>
      <c r="F307" s="17" t="inlineStr">
        <is>
          <t>New</t>
        </is>
      </c>
      <c r="G307" s="17" t="inlineStr">
        <is>
          <t>Not Assigned</t>
        </is>
      </c>
      <c r="H307" s="17" t="inlineStr">
        <is>
          <t>N/A (Not Assigned)</t>
        </is>
      </c>
      <c r="I307" s="17" t="inlineStr">
        <is>
          <t>-</t>
        </is>
      </c>
    </row>
    <row r="308" ht="20" customHeight="1">
      <c r="A308" s="57" t="n">
        <v>46274.77467304398</v>
      </c>
      <c r="B308" s="16" t="inlineStr">
        <is>
          <t>3. This Month (Sep 2026)</t>
        </is>
      </c>
      <c r="C308" s="14" t="inlineStr">
        <is>
          <t>Meta Ads (NB PropertyTech Rental Ad 0408)</t>
        </is>
      </c>
      <c r="D308" s="14" t="inlineStr">
        <is>
          <t>Darshana (9313126261)</t>
        </is>
      </c>
      <c r="E308" s="14" t="inlineStr">
        <is>
          <t>Zeel Mudaliyar</t>
        </is>
      </c>
      <c r="F308" s="14" t="inlineStr">
        <is>
          <t>New</t>
        </is>
      </c>
      <c r="G308" s="14" t="inlineStr">
        <is>
          <t>Not Assigned</t>
        </is>
      </c>
      <c r="H308" s="14" t="inlineStr">
        <is>
          <t>N/A (Not Assigned)</t>
        </is>
      </c>
      <c r="I308" s="14" t="inlineStr">
        <is>
          <t>-</t>
        </is>
      </c>
    </row>
    <row r="309" ht="20" customHeight="1">
      <c r="A309" s="58" t="n">
        <v>46274.77467292824</v>
      </c>
      <c r="B309" s="19" t="inlineStr">
        <is>
          <t>3. This Month (Sep 2026)</t>
        </is>
      </c>
      <c r="C309" s="17" t="inlineStr">
        <is>
          <t>Meta Ads (NB PropertyTech Rental Ad 0408)</t>
        </is>
      </c>
      <c r="D309" s="17" t="inlineStr">
        <is>
          <t>Bhadreshkumar Bhatt (9824375709)</t>
        </is>
      </c>
      <c r="E309" s="17" t="inlineStr">
        <is>
          <t>Zeel Mudaliyar</t>
        </is>
      </c>
      <c r="F309" s="17" t="inlineStr">
        <is>
          <t>New</t>
        </is>
      </c>
      <c r="G309" s="17" t="inlineStr">
        <is>
          <t>Not Assigned</t>
        </is>
      </c>
      <c r="H309" s="17" t="inlineStr">
        <is>
          <t>N/A (Not Assigned)</t>
        </is>
      </c>
      <c r="I309" s="17" t="inlineStr">
        <is>
          <t>-</t>
        </is>
      </c>
    </row>
    <row r="310" ht="20" customHeight="1">
      <c r="A310" s="57" t="n">
        <v>46274.7746728125</v>
      </c>
      <c r="B310" s="16" t="inlineStr">
        <is>
          <t>3. This Month (Sep 2026)</t>
        </is>
      </c>
      <c r="C310" s="14" t="inlineStr">
        <is>
          <t>Meta Ads (NB PropertyTech Rental Ad 0408)</t>
        </is>
      </c>
      <c r="D310" s="14" t="inlineStr">
        <is>
          <t>Sanjay N (7892524042)</t>
        </is>
      </c>
      <c r="E310" s="14" t="inlineStr">
        <is>
          <t>Prexa Vithalapara</t>
        </is>
      </c>
      <c r="F310" s="14" t="inlineStr">
        <is>
          <t>New</t>
        </is>
      </c>
      <c r="G310" s="14" t="inlineStr">
        <is>
          <t>Not Assigned</t>
        </is>
      </c>
      <c r="H310" s="14" t="inlineStr">
        <is>
          <t>N/A (Not Assigned)</t>
        </is>
      </c>
      <c r="I310" s="14" t="inlineStr">
        <is>
          <t>-</t>
        </is>
      </c>
    </row>
    <row r="311" ht="20" customHeight="1">
      <c r="A311" s="58" t="n">
        <v>46274.77467270834</v>
      </c>
      <c r="B311" s="19" t="inlineStr">
        <is>
          <t>3. This Month (Sep 2026)</t>
        </is>
      </c>
      <c r="C311" s="17" t="inlineStr">
        <is>
          <t>Meta Ads (NB PropertyTech Rental Ad 0408)</t>
        </is>
      </c>
      <c r="D311" s="17" t="inlineStr">
        <is>
          <t>Bhagwandas Datwani (9825083766)</t>
        </is>
      </c>
      <c r="E311" s="17" t="inlineStr">
        <is>
          <t>Prexa Vithalapara</t>
        </is>
      </c>
      <c r="F311" s="17" t="inlineStr">
        <is>
          <t>New</t>
        </is>
      </c>
      <c r="G311" s="17" t="inlineStr">
        <is>
          <t>Not Assigned</t>
        </is>
      </c>
      <c r="H311" s="17" t="inlineStr">
        <is>
          <t>N/A (Not Assigned)</t>
        </is>
      </c>
      <c r="I311" s="17" t="inlineStr">
        <is>
          <t>-</t>
        </is>
      </c>
    </row>
    <row r="312" ht="20" customHeight="1">
      <c r="A312" s="57" t="n">
        <v>46274.77467259259</v>
      </c>
      <c r="B312" s="16" t="inlineStr">
        <is>
          <t>3. This Month (Sep 2026)</t>
        </is>
      </c>
      <c r="C312" s="14" t="inlineStr">
        <is>
          <t>Meta Ads (NB PropertyTech Rental Ad 0408)</t>
        </is>
      </c>
      <c r="D312" s="14" t="inlineStr">
        <is>
          <t>Sunita Chhablani (9099090784)</t>
        </is>
      </c>
      <c r="E312" s="14" t="inlineStr">
        <is>
          <t>Zeel Mudaliyar</t>
        </is>
      </c>
      <c r="F312" s="14" t="inlineStr">
        <is>
          <t>New</t>
        </is>
      </c>
      <c r="G312" s="14" t="inlineStr">
        <is>
          <t>Not Assigned</t>
        </is>
      </c>
      <c r="H312" s="14" t="inlineStr">
        <is>
          <t>N/A (Not Assigned)</t>
        </is>
      </c>
      <c r="I312" s="14" t="inlineStr">
        <is>
          <t>-</t>
        </is>
      </c>
    </row>
    <row r="313" ht="20" customHeight="1">
      <c r="A313" s="58" t="n">
        <v>46274.77467248843</v>
      </c>
      <c r="B313" s="19" t="inlineStr">
        <is>
          <t>3. This Month (Sep 2026)</t>
        </is>
      </c>
      <c r="C313" s="17" t="inlineStr">
        <is>
          <t>Meta Ads (NB PropertyTech Rental Ad 0408)</t>
        </is>
      </c>
      <c r="D313" s="17" t="inlineStr">
        <is>
          <t>Ca_shail Shah (9328342213)</t>
        </is>
      </c>
      <c r="E313" s="17" t="inlineStr">
        <is>
          <t>Zeel Mudaliyar</t>
        </is>
      </c>
      <c r="F313" s="17" t="inlineStr">
        <is>
          <t>New</t>
        </is>
      </c>
      <c r="G313" s="17" t="inlineStr">
        <is>
          <t>Not Assigned</t>
        </is>
      </c>
      <c r="H313" s="17" t="inlineStr">
        <is>
          <t>N/A (Not Assigned)</t>
        </is>
      </c>
      <c r="I313" s="17" t="inlineStr">
        <is>
          <t>-</t>
        </is>
      </c>
    </row>
    <row r="314" ht="20" customHeight="1">
      <c r="A314" s="57" t="n">
        <v>46274.77467237269</v>
      </c>
      <c r="B314" s="16" t="inlineStr">
        <is>
          <t>3. This Month (Sep 2026)</t>
        </is>
      </c>
      <c r="C314" s="14" t="inlineStr">
        <is>
          <t>Meta Ads (NB PropertyTech Rental Ad 0408)</t>
        </is>
      </c>
      <c r="D314" s="14" t="inlineStr">
        <is>
          <t>Ghanshyam Jethva (9328112792)</t>
        </is>
      </c>
      <c r="E314" s="14" t="inlineStr">
        <is>
          <t>Zeel Mudaliyar</t>
        </is>
      </c>
      <c r="F314" s="14" t="inlineStr">
        <is>
          <t>New</t>
        </is>
      </c>
      <c r="G314" s="14" t="inlineStr">
        <is>
          <t>Not Assigned</t>
        </is>
      </c>
      <c r="H314" s="14" t="inlineStr">
        <is>
          <t>N/A (Not Assigned)</t>
        </is>
      </c>
      <c r="I314" s="14" t="inlineStr">
        <is>
          <t>Property Remark: AC, lights, fans, basic accesories
Open terrace, open parking, for both family as well as 2 bach.</t>
        </is>
      </c>
    </row>
    <row r="315" ht="20" customHeight="1">
      <c r="A315" s="58" t="n">
        <v>46274.77466314815</v>
      </c>
      <c r="B315" s="19" t="inlineStr">
        <is>
          <t>3. This Month (Sep 2026)</t>
        </is>
      </c>
      <c r="C315" s="17" t="inlineStr">
        <is>
          <t>Meta Ads (NB PropertyTech Rental Ad 0408)</t>
        </is>
      </c>
      <c r="D315" s="17" t="inlineStr">
        <is>
          <t>Akshay (9409067253)</t>
        </is>
      </c>
      <c r="E315" s="17" t="inlineStr">
        <is>
          <t>Zeel Mudaliyar</t>
        </is>
      </c>
      <c r="F315" s="17" t="inlineStr">
        <is>
          <t>New</t>
        </is>
      </c>
      <c r="G315" s="17" t="inlineStr">
        <is>
          <t>Not Assigned</t>
        </is>
      </c>
      <c r="H315" s="17" t="inlineStr">
        <is>
          <t>N/A (Not Assigned)</t>
        </is>
      </c>
      <c r="I315" s="17" t="inlineStr">
        <is>
          <t>-</t>
        </is>
      </c>
    </row>
    <row r="316" ht="20" customHeight="1">
      <c r="A316" s="57" t="n">
        <v>46274.77466298611</v>
      </c>
      <c r="B316" s="16" t="inlineStr">
        <is>
          <t>3. This Month (Sep 2026)</t>
        </is>
      </c>
      <c r="C316" s="14" t="inlineStr">
        <is>
          <t>Meta Ads (NB PropertyTech Rental Ad 0408)</t>
        </is>
      </c>
      <c r="D316" s="14" t="inlineStr">
        <is>
          <t>Devang Parekh (9978908306)</t>
        </is>
      </c>
      <c r="E316" s="14" t="inlineStr">
        <is>
          <t>Prexa Vithalapara</t>
        </is>
      </c>
      <c r="F316" s="14" t="inlineStr">
        <is>
          <t>New</t>
        </is>
      </c>
      <c r="G316" s="14" t="inlineStr">
        <is>
          <t>Not Assigned</t>
        </is>
      </c>
      <c r="H316" s="14" t="inlineStr">
        <is>
          <t>N/A (Not Assigned)</t>
        </is>
      </c>
      <c r="I316" s="14" t="inlineStr">
        <is>
          <t>Property Remark: Garden facing</t>
        </is>
      </c>
    </row>
    <row r="317" ht="20" customHeight="1">
      <c r="A317" s="58" t="n">
        <v>46274.77466277777</v>
      </c>
      <c r="B317" s="19" t="inlineStr">
        <is>
          <t>3. This Month (Sep 2026)</t>
        </is>
      </c>
      <c r="C317" s="17" t="inlineStr">
        <is>
          <t>Meta Ads (NB PropertyTech Rental Ad 0408)</t>
        </is>
      </c>
      <c r="D317" s="17" t="inlineStr">
        <is>
          <t>Dêvyãñì Shärmâ (7304029039)</t>
        </is>
      </c>
      <c r="E317" s="17" t="inlineStr">
        <is>
          <t>Zeel Mudaliyar</t>
        </is>
      </c>
      <c r="F317" s="17" t="inlineStr">
        <is>
          <t>New</t>
        </is>
      </c>
      <c r="G317" s="17" t="inlineStr">
        <is>
          <t>Not Assigned</t>
        </is>
      </c>
      <c r="H317" s="17" t="inlineStr">
        <is>
          <t>N/A (Not Assigned)</t>
        </is>
      </c>
      <c r="I317" s="17" t="inlineStr">
        <is>
          <t>-</t>
        </is>
      </c>
    </row>
    <row r="318" ht="20" customHeight="1">
      <c r="A318" s="57" t="n">
        <v>46274.77466253472</v>
      </c>
      <c r="B318" s="16" t="inlineStr">
        <is>
          <t>3. This Month (Sep 2026)</t>
        </is>
      </c>
      <c r="C318" s="14" t="inlineStr">
        <is>
          <t>Meta Ads (NB PropertyTech Rental Ad 0408)</t>
        </is>
      </c>
      <c r="D318" s="14" t="inlineStr">
        <is>
          <t>Maria Dodiyar Dodiyar (9879193147)</t>
        </is>
      </c>
      <c r="E318" s="14" t="inlineStr">
        <is>
          <t>Prexa Vithalapara</t>
        </is>
      </c>
      <c r="F318" s="14" t="inlineStr">
        <is>
          <t>New</t>
        </is>
      </c>
      <c r="G318" s="14" t="inlineStr">
        <is>
          <t>Not Assigned</t>
        </is>
      </c>
      <c r="H318" s="14" t="inlineStr">
        <is>
          <t>N/A (Not Assigned)</t>
        </is>
      </c>
      <c r="I318" s="14" t="inlineStr">
        <is>
          <t>-</t>
        </is>
      </c>
    </row>
    <row r="319" ht="20" customHeight="1">
      <c r="A319" s="58" t="n">
        <v>46274.77466237269</v>
      </c>
      <c r="B319" s="19" t="inlineStr">
        <is>
          <t>3. This Month (Sep 2026)</t>
        </is>
      </c>
      <c r="C319" s="17" t="inlineStr">
        <is>
          <t>Meta Ads (NB PropertyTech Rental Ad 0408)</t>
        </is>
      </c>
      <c r="D319" s="17" t="inlineStr">
        <is>
          <t>Maniish Anttani (9824632667)</t>
        </is>
      </c>
      <c r="E319" s="17" t="inlineStr">
        <is>
          <t>Zeel Mudaliyar</t>
        </is>
      </c>
      <c r="F319" s="17" t="inlineStr">
        <is>
          <t>New</t>
        </is>
      </c>
      <c r="G319" s="17" t="inlineStr">
        <is>
          <t>Not Assigned</t>
        </is>
      </c>
      <c r="H319" s="17" t="inlineStr">
        <is>
          <t>N/A (Not Assigned)</t>
        </is>
      </c>
      <c r="I319" s="17" t="inlineStr">
        <is>
          <t>-</t>
        </is>
      </c>
    </row>
    <row r="320" ht="20" customHeight="1">
      <c r="A320" s="57" t="n">
        <v>46274.77466224537</v>
      </c>
      <c r="B320" s="16" t="inlineStr">
        <is>
          <t>3. This Month (Sep 2026)</t>
        </is>
      </c>
      <c r="C320" s="14" t="inlineStr">
        <is>
          <t>Meta Ads (NB PropertyTech Rental Ad 0408)</t>
        </is>
      </c>
      <c r="D320" s="14" t="inlineStr">
        <is>
          <t>Raj Koshti (9925461554)</t>
        </is>
      </c>
      <c r="E320" s="14" t="inlineStr">
        <is>
          <t>Zeel Mudaliyar</t>
        </is>
      </c>
      <c r="F320" s="14" t="inlineStr">
        <is>
          <t>New</t>
        </is>
      </c>
      <c r="G320" s="14" t="inlineStr">
        <is>
          <t>Not Assigned</t>
        </is>
      </c>
      <c r="H320" s="14" t="inlineStr">
        <is>
          <t>N/A (Not Assigned)</t>
        </is>
      </c>
      <c r="I320" s="14" t="inlineStr">
        <is>
          <t>-</t>
        </is>
      </c>
    </row>
    <row r="321" ht="20" customHeight="1">
      <c r="A321" s="58" t="n">
        <v>46274.77466204861</v>
      </c>
      <c r="B321" s="19" t="inlineStr">
        <is>
          <t>3. This Month (Sep 2026)</t>
        </is>
      </c>
      <c r="C321" s="17" t="inlineStr">
        <is>
          <t>Meta Ads (NB PropertyTech Rental Ad 0408)</t>
        </is>
      </c>
      <c r="D321" s="17" t="inlineStr">
        <is>
          <t>Yash Patel (9099384210)</t>
        </is>
      </c>
      <c r="E321" s="17" t="inlineStr">
        <is>
          <t>Zeel Mudaliyar</t>
        </is>
      </c>
      <c r="F321" s="17" t="inlineStr">
        <is>
          <t>New</t>
        </is>
      </c>
      <c r="G321" s="17" t="inlineStr">
        <is>
          <t>Not Assigned</t>
        </is>
      </c>
      <c r="H321" s="17" t="inlineStr">
        <is>
          <t>N/A (Not Assigned)</t>
        </is>
      </c>
      <c r="I321" s="17" t="inlineStr">
        <is>
          <t>-</t>
        </is>
      </c>
    </row>
    <row r="322" ht="20" customHeight="1">
      <c r="A322" s="57" t="n">
        <v>46274.77466172454</v>
      </c>
      <c r="B322" s="16" t="inlineStr">
        <is>
          <t>3. This Month (Sep 2026)</t>
        </is>
      </c>
      <c r="C322" s="14" t="inlineStr">
        <is>
          <t>Meta Ads (NB PropertyTech Rental Ad 0408)</t>
        </is>
      </c>
      <c r="D322" s="14" t="inlineStr">
        <is>
          <t>Chandmal Singhvi (7597335584)</t>
        </is>
      </c>
      <c r="E322" s="14" t="inlineStr">
        <is>
          <t>Zeel Mudaliyar</t>
        </is>
      </c>
      <c r="F322" s="14" t="inlineStr">
        <is>
          <t>New</t>
        </is>
      </c>
      <c r="G322" s="14" t="inlineStr">
        <is>
          <t>Not Assigned</t>
        </is>
      </c>
      <c r="H322" s="14" t="inlineStr">
        <is>
          <t>N/A (Not Assigned)</t>
        </is>
      </c>
      <c r="I322" s="14" t="inlineStr">
        <is>
          <t>-</t>
        </is>
      </c>
    </row>
    <row r="323" ht="20" customHeight="1">
      <c r="A323" s="58" t="n">
        <v>46274.77466157408</v>
      </c>
      <c r="B323" s="19" t="inlineStr">
        <is>
          <t>3. This Month (Sep 2026)</t>
        </is>
      </c>
      <c r="C323" s="17" t="inlineStr">
        <is>
          <t>Meta Ads (NB PropertyTech Rental Ad 0408)</t>
        </is>
      </c>
      <c r="D323" s="17" t="inlineStr">
        <is>
          <t>Ravindra Pal (9427284626)</t>
        </is>
      </c>
      <c r="E323" s="17" t="inlineStr">
        <is>
          <t>Zeel Mudaliyar</t>
        </is>
      </c>
      <c r="F323" s="17" t="inlineStr">
        <is>
          <t>New</t>
        </is>
      </c>
      <c r="G323" s="17" t="inlineStr">
        <is>
          <t>Not Assigned</t>
        </is>
      </c>
      <c r="H323" s="17" t="inlineStr">
        <is>
          <t>N/A (Not Assigned)</t>
        </is>
      </c>
      <c r="I323" s="17" t="inlineStr">
        <is>
          <t>-</t>
        </is>
      </c>
    </row>
    <row r="324" ht="20" customHeight="1">
      <c r="A324" s="57" t="n">
        <v>46274.77466140046</v>
      </c>
      <c r="B324" s="16" t="inlineStr">
        <is>
          <t>3. This Month (Sep 2026)</t>
        </is>
      </c>
      <c r="C324" s="14" t="inlineStr">
        <is>
          <t>Meta Ads (NB PropertyTech Rental Ad 0408)</t>
        </is>
      </c>
      <c r="D324" s="14" t="inlineStr">
        <is>
          <t>Babubhai Patel (9909795304)</t>
        </is>
      </c>
      <c r="E324" s="14" t="inlineStr">
        <is>
          <t>Prexa Vithalapara</t>
        </is>
      </c>
      <c r="F324" s="14" t="inlineStr">
        <is>
          <t>New</t>
        </is>
      </c>
      <c r="G324" s="14" t="inlineStr">
        <is>
          <t>Not Assigned</t>
        </is>
      </c>
      <c r="H324" s="14" t="inlineStr">
        <is>
          <t>N/A (Not Assigned)</t>
        </is>
      </c>
      <c r="I324" s="14" t="inlineStr">
        <is>
          <t>-</t>
        </is>
      </c>
    </row>
    <row r="325" ht="20" customHeight="1">
      <c r="A325" s="58" t="n">
        <v>46274.77466126157</v>
      </c>
      <c r="B325" s="19" t="inlineStr">
        <is>
          <t>3. This Month (Sep 2026)</t>
        </is>
      </c>
      <c r="C325" s="17" t="inlineStr">
        <is>
          <t>Meta Ads (NB PropertyTech Rental Ad 0408)</t>
        </is>
      </c>
      <c r="D325" s="17" t="inlineStr">
        <is>
          <t>Mihieer Desai (9725999800)</t>
        </is>
      </c>
      <c r="E325" s="17" t="inlineStr">
        <is>
          <t>Zeel Mudaliyar</t>
        </is>
      </c>
      <c r="F325" s="17" t="inlineStr">
        <is>
          <t>New</t>
        </is>
      </c>
      <c r="G325" s="17" t="inlineStr">
        <is>
          <t>Not Assigned</t>
        </is>
      </c>
      <c r="H325" s="17" t="inlineStr">
        <is>
          <t>N/A (Not Assigned)</t>
        </is>
      </c>
      <c r="I325" s="17" t="inlineStr">
        <is>
          <t>-</t>
        </is>
      </c>
    </row>
    <row r="326" ht="20" customHeight="1">
      <c r="A326" s="57" t="n">
        <v>46274.77466113426</v>
      </c>
      <c r="B326" s="16" t="inlineStr">
        <is>
          <t>3. This Month (Sep 2026)</t>
        </is>
      </c>
      <c r="C326" s="14" t="inlineStr">
        <is>
          <t>Meta Ads (NB PropertyTech Rental Ad 0408)</t>
        </is>
      </c>
      <c r="D326" s="14" t="inlineStr">
        <is>
          <t>Thakkar Naresh (9427645123)</t>
        </is>
      </c>
      <c r="E326" s="14" t="inlineStr">
        <is>
          <t>Zeel Mudaliyar</t>
        </is>
      </c>
      <c r="F326" s="14" t="inlineStr">
        <is>
          <t>Listed</t>
        </is>
      </c>
      <c r="G326" s="14" t="inlineStr">
        <is>
          <t>Not Assigned</t>
        </is>
      </c>
      <c r="H326" s="14" t="inlineStr">
        <is>
          <t>N/A (Not Assigned)</t>
        </is>
      </c>
      <c r="I326" s="14" t="inlineStr">
        <is>
          <t>-</t>
        </is>
      </c>
    </row>
    <row r="327" ht="20" customHeight="1">
      <c r="A327" s="58" t="n">
        <v>46274.77466100694</v>
      </c>
      <c r="B327" s="19" t="inlineStr">
        <is>
          <t>3. This Month (Sep 2026)</t>
        </is>
      </c>
      <c r="C327" s="17" t="inlineStr">
        <is>
          <t>Meta Ads (NB PropertyTech Rental Ad 0408)</t>
        </is>
      </c>
      <c r="D327" s="17" t="inlineStr">
        <is>
          <t>Rekha Vadecha (9879539295)</t>
        </is>
      </c>
      <c r="E327" s="17" t="inlineStr">
        <is>
          <t>Zeel Mudaliyar</t>
        </is>
      </c>
      <c r="F327" s="17" t="inlineStr">
        <is>
          <t>New</t>
        </is>
      </c>
      <c r="G327" s="17" t="inlineStr">
        <is>
          <t>Not Assigned</t>
        </is>
      </c>
      <c r="H327" s="17" t="inlineStr">
        <is>
          <t>N/A (Not Assigned)</t>
        </is>
      </c>
      <c r="I327" s="17" t="inlineStr">
        <is>
          <t>-</t>
        </is>
      </c>
    </row>
    <row r="328" ht="20" customHeight="1">
      <c r="A328" s="57" t="n">
        <v>46274.77466090277</v>
      </c>
      <c r="B328" s="16" t="inlineStr">
        <is>
          <t>3. This Month (Sep 2026)</t>
        </is>
      </c>
      <c r="C328" s="14" t="inlineStr">
        <is>
          <t>Meta Ads (NB PropertyTech Rental Ad 0408)</t>
        </is>
      </c>
      <c r="D328" s="14" t="inlineStr">
        <is>
          <t>Julee Thakkar (9429622015)</t>
        </is>
      </c>
      <c r="E328" s="14" t="inlineStr">
        <is>
          <t>Prexa Vithalapara</t>
        </is>
      </c>
      <c r="F328" s="14" t="inlineStr">
        <is>
          <t>New</t>
        </is>
      </c>
      <c r="G328" s="14" t="inlineStr">
        <is>
          <t>Not Assigned</t>
        </is>
      </c>
      <c r="H328" s="14" t="inlineStr">
        <is>
          <t>N/A (Not Assigned)</t>
        </is>
      </c>
      <c r="I328" s="14" t="inlineStr">
        <is>
          <t>Property Remark: 2000 maintenance (taxes and maintenance excluded)
6 working station, 3 cabins, 8 seater conference room,  6 AC, CCTV Camera, 1 reception, waiting lounge, 1 pantry, EPABX system</t>
        </is>
      </c>
    </row>
    <row r="329" ht="20" customHeight="1">
      <c r="A329" s="58" t="n">
        <v>46274.77466079861</v>
      </c>
      <c r="B329" s="19" t="inlineStr">
        <is>
          <t>3. This Month (Sep 2026)</t>
        </is>
      </c>
      <c r="C329" s="17" t="inlineStr">
        <is>
          <t>Meta Ads (NB PropertyTech Rental Ad 0408)</t>
        </is>
      </c>
      <c r="D329" s="17" t="inlineStr">
        <is>
          <t>Atul Upadhyay (9327064440)</t>
        </is>
      </c>
      <c r="E329" s="17" t="inlineStr">
        <is>
          <t>Zeel Mudaliyar</t>
        </is>
      </c>
      <c r="F329" s="17" t="inlineStr">
        <is>
          <t>New</t>
        </is>
      </c>
      <c r="G329" s="17" t="inlineStr">
        <is>
          <t>Not Assigned</t>
        </is>
      </c>
      <c r="H329" s="17" t="inlineStr">
        <is>
          <t>N/A (Not Assigned)</t>
        </is>
      </c>
      <c r="I329" s="17" t="inlineStr">
        <is>
          <t>-</t>
        </is>
      </c>
    </row>
    <row r="330" ht="20" customHeight="1">
      <c r="A330" s="57" t="n">
        <v>46274.774660625</v>
      </c>
      <c r="B330" s="16" t="inlineStr">
        <is>
          <t>3. This Month (Sep 2026)</t>
        </is>
      </c>
      <c r="C330" s="14" t="inlineStr">
        <is>
          <t>Meta Ads (NB PropertyTech Rental Ad 0408)</t>
        </is>
      </c>
      <c r="D330" s="14" t="inlineStr">
        <is>
          <t>Mayra (9978923413)</t>
        </is>
      </c>
      <c r="E330" s="14" t="inlineStr">
        <is>
          <t>Prexa Vithalapara</t>
        </is>
      </c>
      <c r="F330" s="14" t="inlineStr">
        <is>
          <t>New</t>
        </is>
      </c>
      <c r="G330" s="14" t="inlineStr">
        <is>
          <t>Not Assigned</t>
        </is>
      </c>
      <c r="H330" s="14" t="inlineStr">
        <is>
          <t>N/A (Not Assigned)</t>
        </is>
      </c>
      <c r="I330" s="14" t="inlineStr">
        <is>
          <t>-</t>
        </is>
      </c>
    </row>
    <row r="331" ht="20" customHeight="1">
      <c r="A331" s="58" t="n">
        <v>46274.77466043981</v>
      </c>
      <c r="B331" s="19" t="inlineStr">
        <is>
          <t>3. This Month (Sep 2026)</t>
        </is>
      </c>
      <c r="C331" s="17" t="inlineStr">
        <is>
          <t>Meta Ads (NB PropertyTech Rental Ad 0408)</t>
        </is>
      </c>
      <c r="D331" s="17" t="inlineStr">
        <is>
          <t>Khushi_lodhari (7698475570)</t>
        </is>
      </c>
      <c r="E331" s="17" t="inlineStr">
        <is>
          <t>Prexa Vithalapara</t>
        </is>
      </c>
      <c r="F331" s="17" t="inlineStr">
        <is>
          <t>New</t>
        </is>
      </c>
      <c r="G331" s="17" t="inlineStr">
        <is>
          <t>Not Assigned</t>
        </is>
      </c>
      <c r="H331" s="17" t="inlineStr">
        <is>
          <t>N/A (Not Assigned)</t>
        </is>
      </c>
      <c r="I331" s="17" t="inlineStr">
        <is>
          <t>-</t>
        </is>
      </c>
    </row>
    <row r="332" ht="20" customHeight="1">
      <c r="A332" s="57" t="n">
        <v>46274.7746602662</v>
      </c>
      <c r="B332" s="16" t="inlineStr">
        <is>
          <t>3. This Month (Sep 2026)</t>
        </is>
      </c>
      <c r="C332" s="14" t="inlineStr">
        <is>
          <t>Meta Ads (NB PropertyTech Rental Ad 0408)</t>
        </is>
      </c>
      <c r="D332" s="14" t="inlineStr">
        <is>
          <t>Ashish Mistry (9979066830)</t>
        </is>
      </c>
      <c r="E332" s="14" t="inlineStr">
        <is>
          <t>Prexa Vithalapara</t>
        </is>
      </c>
      <c r="F332" s="14" t="inlineStr">
        <is>
          <t>Interested</t>
        </is>
      </c>
      <c r="G332" s="14" t="inlineStr">
        <is>
          <t>Not Assigned</t>
        </is>
      </c>
      <c r="H332" s="14" t="inlineStr">
        <is>
          <t>N/A (Not Assigned)</t>
        </is>
      </c>
      <c r="I332" s="14" t="inlineStr">
        <is>
          <t>-</t>
        </is>
      </c>
    </row>
    <row r="333" ht="20" customHeight="1">
      <c r="A333" s="58" t="n">
        <v>46274.77466017361</v>
      </c>
      <c r="B333" s="19" t="inlineStr">
        <is>
          <t>3. This Month (Sep 2026)</t>
        </is>
      </c>
      <c r="C333" s="17" t="inlineStr">
        <is>
          <t>Meta Ads (NB PropertyTech Rental Ad 0408)</t>
        </is>
      </c>
      <c r="D333" s="17" t="inlineStr">
        <is>
          <t>Piyush Banerjee (9889663430)</t>
        </is>
      </c>
      <c r="E333" s="17" t="inlineStr">
        <is>
          <t>Unassigned</t>
        </is>
      </c>
      <c r="F333" s="17" t="inlineStr">
        <is>
          <t>CNR (Could Not Reach)</t>
        </is>
      </c>
      <c r="G333" s="17" t="inlineStr">
        <is>
          <t>Not Assigned</t>
        </is>
      </c>
      <c r="H333" s="17" t="inlineStr">
        <is>
          <t>N/A (Not Assigned)</t>
        </is>
      </c>
      <c r="I333" s="17" t="inlineStr">
        <is>
          <t>-</t>
        </is>
      </c>
    </row>
    <row r="334" ht="20" customHeight="1">
      <c r="A334" s="57" t="n">
        <v>46274.77466006944</v>
      </c>
      <c r="B334" s="16" t="inlineStr">
        <is>
          <t>3. This Month (Sep 2026)</t>
        </is>
      </c>
      <c r="C334" s="14" t="inlineStr">
        <is>
          <t>Meta Ads (NB PropertyTech Rental Ad 0408)</t>
        </is>
      </c>
      <c r="D334" s="14" t="inlineStr">
        <is>
          <t>Sujatapanchal (9558014982)</t>
        </is>
      </c>
      <c r="E334" s="14" t="inlineStr">
        <is>
          <t>Zeel Mudaliyar</t>
        </is>
      </c>
      <c r="F334" s="14" t="inlineStr">
        <is>
          <t>New</t>
        </is>
      </c>
      <c r="G334" s="14" t="inlineStr">
        <is>
          <t>Not Assigned</t>
        </is>
      </c>
      <c r="H334" s="14" t="inlineStr">
        <is>
          <t>N/A (Not Assigned)</t>
        </is>
      </c>
      <c r="I334" s="14" t="inlineStr">
        <is>
          <t>-</t>
        </is>
      </c>
    </row>
    <row r="335" ht="20" customHeight="1">
      <c r="A335" s="58" t="n">
        <v>46274.77465986111</v>
      </c>
      <c r="B335" s="19" t="inlineStr">
        <is>
          <t>3. This Month (Sep 2026)</t>
        </is>
      </c>
      <c r="C335" s="17" t="inlineStr">
        <is>
          <t>Meta Ads (NB PropertyTech Rental Ad 0408)</t>
        </is>
      </c>
      <c r="D335" s="17" t="inlineStr">
        <is>
          <t>Parag Shah (9825284949)</t>
        </is>
      </c>
      <c r="E335" s="17" t="inlineStr">
        <is>
          <t>Prexa Vithalapara</t>
        </is>
      </c>
      <c r="F335" s="17" t="inlineStr">
        <is>
          <t>New</t>
        </is>
      </c>
      <c r="G335" s="17" t="inlineStr">
        <is>
          <t>Not Assigned</t>
        </is>
      </c>
      <c r="H335" s="17" t="inlineStr">
        <is>
          <t>N/A (Not Assigned)</t>
        </is>
      </c>
      <c r="I335" s="17" t="inlineStr">
        <is>
          <t>-</t>
        </is>
      </c>
    </row>
    <row r="336" ht="20" customHeight="1">
      <c r="A336" s="57" t="n">
        <v>46274.77465971065</v>
      </c>
      <c r="B336" s="16" t="inlineStr">
        <is>
          <t>3. This Month (Sep 2026)</t>
        </is>
      </c>
      <c r="C336" s="14" t="inlineStr">
        <is>
          <t>Meta Ads (NB PropertyTech Rental Ad 0408)</t>
        </is>
      </c>
      <c r="D336" s="14" t="inlineStr">
        <is>
          <t>Rohitkumar Trivedi (9825007326)</t>
        </is>
      </c>
      <c r="E336" s="14" t="inlineStr">
        <is>
          <t>Unassigned</t>
        </is>
      </c>
      <c r="F336" s="14" t="inlineStr">
        <is>
          <t>CNR (Could Not Reach)</t>
        </is>
      </c>
      <c r="G336" s="14" t="inlineStr">
        <is>
          <t>Not Assigned</t>
        </is>
      </c>
      <c r="H336" s="14" t="inlineStr">
        <is>
          <t>N/A (Not Assigned)</t>
        </is>
      </c>
      <c r="I336" s="14" t="inlineStr">
        <is>
          <t>Property Remark: Lift Shifting Charges 3000</t>
        </is>
      </c>
    </row>
    <row r="337" ht="20" customHeight="1">
      <c r="A337" s="58" t="n">
        <v>46274.77465960648</v>
      </c>
      <c r="B337" s="19" t="inlineStr">
        <is>
          <t>3. This Month (Sep 2026)</t>
        </is>
      </c>
      <c r="C337" s="17" t="inlineStr">
        <is>
          <t>Meta Ads (NB PropertyTech Rental Ad 0408)</t>
        </is>
      </c>
      <c r="D337" s="17" t="inlineStr">
        <is>
          <t>Uma Vyas Vaghela (7043336692)</t>
        </is>
      </c>
      <c r="E337" s="17" t="inlineStr">
        <is>
          <t>Unassigned</t>
        </is>
      </c>
      <c r="F337" s="17" t="inlineStr">
        <is>
          <t>New</t>
        </is>
      </c>
      <c r="G337" s="17" t="inlineStr">
        <is>
          <t>Not Assigned</t>
        </is>
      </c>
      <c r="H337" s="17" t="inlineStr">
        <is>
          <t>N/A (Not Assigned)</t>
        </is>
      </c>
      <c r="I337" s="17" t="inlineStr">
        <is>
          <t>Property Remark: Furnished Kitchen, folding dining, TV, AC, Gyzer, Ro, Refridgerator, Washing machine, fully furnished</t>
        </is>
      </c>
    </row>
    <row r="338" ht="20" customHeight="1">
      <c r="A338" s="57" t="n">
        <v>46274.77465949074</v>
      </c>
      <c r="B338" s="16" t="inlineStr">
        <is>
          <t>3. This Month (Sep 2026)</t>
        </is>
      </c>
      <c r="C338" s="14" t="inlineStr">
        <is>
          <t>Meta Ads (NB PropertyTech Rental Ad 0408)</t>
        </is>
      </c>
      <c r="D338" s="14" t="inlineStr">
        <is>
          <t>Swati Gill (8810459963)</t>
        </is>
      </c>
      <c r="E338" s="14" t="inlineStr">
        <is>
          <t>Unassigned</t>
        </is>
      </c>
      <c r="F338" s="14" t="inlineStr">
        <is>
          <t>CNR (Could Not Reach)</t>
        </is>
      </c>
      <c r="G338" s="14" t="inlineStr">
        <is>
          <t>Not Assigned</t>
        </is>
      </c>
      <c r="H338" s="14" t="inlineStr">
        <is>
          <t>N/A (Not Assigned)</t>
        </is>
      </c>
      <c r="I338" s="14" t="inlineStr">
        <is>
          <t>-</t>
        </is>
      </c>
    </row>
    <row r="339" ht="20" customHeight="1">
      <c r="A339" s="58" t="n">
        <v>46274.77465922454</v>
      </c>
      <c r="B339" s="19" t="inlineStr">
        <is>
          <t>3. This Month (Sep 2026)</t>
        </is>
      </c>
      <c r="C339" s="17" t="inlineStr">
        <is>
          <t>Meta Ads (NB PropertyTech Rental Ad 0408)</t>
        </is>
      </c>
      <c r="D339" s="17" t="inlineStr">
        <is>
          <t>Premal Raval (9824242410)</t>
        </is>
      </c>
      <c r="E339" s="17" t="inlineStr">
        <is>
          <t>Prexa Vithalapara</t>
        </is>
      </c>
      <c r="F339" s="17" t="inlineStr">
        <is>
          <t>Interested</t>
        </is>
      </c>
      <c r="G339" s="17" t="inlineStr">
        <is>
          <t>Not Assigned</t>
        </is>
      </c>
      <c r="H339" s="17" t="inlineStr">
        <is>
          <t>N/A (Not Assigned)</t>
        </is>
      </c>
      <c r="I339" s="17" t="inlineStr">
        <is>
          <t>Property Remark: Taxes and maintenance excluded</t>
        </is>
      </c>
    </row>
    <row r="340" ht="20" customHeight="1">
      <c r="A340" s="57" t="n">
        <v>46274.77465908565</v>
      </c>
      <c r="B340" s="16" t="inlineStr">
        <is>
          <t>3. This Month (Sep 2026)</t>
        </is>
      </c>
      <c r="C340" s="14" t="inlineStr">
        <is>
          <t>Meta Ads (NB PropertyTech Rental Ad 0408)</t>
        </is>
      </c>
      <c r="D340" s="14" t="inlineStr">
        <is>
          <t>Sumi S.c Dave (6352340996)</t>
        </is>
      </c>
      <c r="E340" s="14" t="inlineStr">
        <is>
          <t>Unassigned</t>
        </is>
      </c>
      <c r="F340" s="14" t="inlineStr">
        <is>
          <t>CNR (Could Not Reach)</t>
        </is>
      </c>
      <c r="G340" s="14" t="inlineStr">
        <is>
          <t>Not Assigned</t>
        </is>
      </c>
      <c r="H340" s="14" t="inlineStr">
        <is>
          <t>N/A (Not Assigned)</t>
        </is>
      </c>
      <c r="I340" s="14" t="inlineStr">
        <is>
          <t>-</t>
        </is>
      </c>
    </row>
    <row r="341" ht="20" customHeight="1">
      <c r="A341" s="58" t="n">
        <v>46274.77465891204</v>
      </c>
      <c r="B341" s="19" t="inlineStr">
        <is>
          <t>3. This Month (Sep 2026)</t>
        </is>
      </c>
      <c r="C341" s="17" t="inlineStr">
        <is>
          <t>Meta Ads (NB PropertyTech Rental Ad 0408)</t>
        </is>
      </c>
      <c r="D341" s="17" t="inlineStr">
        <is>
          <t>Rajesh Agrawal (9426068683)</t>
        </is>
      </c>
      <c r="E341" s="17" t="inlineStr">
        <is>
          <t>Prexa Vithalapara</t>
        </is>
      </c>
      <c r="F341" s="17" t="inlineStr">
        <is>
          <t>New</t>
        </is>
      </c>
      <c r="G341" s="17" t="inlineStr">
        <is>
          <t>Not Assigned</t>
        </is>
      </c>
      <c r="H341" s="17" t="inlineStr">
        <is>
          <t>N/A (Not Assigned)</t>
        </is>
      </c>
      <c r="I341" s="17" t="inlineStr">
        <is>
          <t>-</t>
        </is>
      </c>
    </row>
    <row r="342" ht="20" customHeight="1">
      <c r="A342" s="57" t="n">
        <v>46274.77465837963</v>
      </c>
      <c r="B342" s="16" t="inlineStr">
        <is>
          <t>3. This Month (Sep 2026)</t>
        </is>
      </c>
      <c r="C342" s="14" t="inlineStr">
        <is>
          <t>Meta Ads (NB PropertyTech Rental Ad 0408)</t>
        </is>
      </c>
      <c r="D342" s="14" t="inlineStr">
        <is>
          <t>Harsh Rajput (7654017987)</t>
        </is>
      </c>
      <c r="E342" s="14" t="inlineStr">
        <is>
          <t>Prexa Vithalapara</t>
        </is>
      </c>
      <c r="F342" s="14" t="inlineStr">
        <is>
          <t>New</t>
        </is>
      </c>
      <c r="G342" s="14" t="inlineStr">
        <is>
          <t>Not Assigned</t>
        </is>
      </c>
      <c r="H342" s="14" t="inlineStr">
        <is>
          <t>N/A (Not Assigned)</t>
        </is>
      </c>
      <c r="I342" s="14" t="inlineStr">
        <is>
          <t>-</t>
        </is>
      </c>
    </row>
    <row r="343" ht="20" customHeight="1">
      <c r="A343" s="58" t="n">
        <v>46274.77465771991</v>
      </c>
      <c r="B343" s="19" t="inlineStr">
        <is>
          <t>3. This Month (Sep 2026)</t>
        </is>
      </c>
      <c r="C343" s="17" t="inlineStr">
        <is>
          <t>Meta Ads (NB PropertyTech Rental Ad 0408)</t>
        </is>
      </c>
      <c r="D343" s="17" t="inlineStr">
        <is>
          <t>Rishi Vyas (9428552476)</t>
        </is>
      </c>
      <c r="E343" s="17" t="inlineStr">
        <is>
          <t>Zeel Mudaliyar</t>
        </is>
      </c>
      <c r="F343" s="17" t="inlineStr">
        <is>
          <t>New</t>
        </is>
      </c>
      <c r="G343" s="17" t="inlineStr">
        <is>
          <t>Not Assigned</t>
        </is>
      </c>
      <c r="H343" s="17" t="inlineStr">
        <is>
          <t>N/A (Not Assigned)</t>
        </is>
      </c>
      <c r="I343" s="17" t="inlineStr">
        <is>
          <t>-</t>
        </is>
      </c>
    </row>
    <row r="344" ht="20" customHeight="1">
      <c r="A344" s="57" t="n">
        <v>46274.77465702546</v>
      </c>
      <c r="B344" s="16" t="inlineStr">
        <is>
          <t>3. This Month (Sep 2026)</t>
        </is>
      </c>
      <c r="C344" s="14" t="inlineStr">
        <is>
          <t>Meta Ads (NB PropertyTech Rental Ad 0408)</t>
        </is>
      </c>
      <c r="D344" s="14" t="inlineStr">
        <is>
          <t>Dhruvi Soni (7016872592)</t>
        </is>
      </c>
      <c r="E344" s="14" t="inlineStr">
        <is>
          <t>Prexa Vithalapara</t>
        </is>
      </c>
      <c r="F344" s="14" t="inlineStr">
        <is>
          <t>New</t>
        </is>
      </c>
      <c r="G344" s="14" t="inlineStr">
        <is>
          <t>Not Assigned</t>
        </is>
      </c>
      <c r="H344" s="14" t="inlineStr">
        <is>
          <t>N/A (Not Assigned)</t>
        </is>
      </c>
      <c r="I344" s="14" t="inlineStr">
        <is>
          <t>-</t>
        </is>
      </c>
    </row>
    <row r="345" ht="20" customHeight="1">
      <c r="A345" s="58" t="n">
        <v>46274.77465662037</v>
      </c>
      <c r="B345" s="19" t="inlineStr">
        <is>
          <t>3. This Month (Sep 2026)</t>
        </is>
      </c>
      <c r="C345" s="17" t="inlineStr">
        <is>
          <t>Meta Ads (NB PropertyTech Rental Ad 0408)</t>
        </is>
      </c>
      <c r="D345" s="17" t="inlineStr">
        <is>
          <t>Jaimin P Patel (9428321951)</t>
        </is>
      </c>
      <c r="E345" s="17" t="inlineStr">
        <is>
          <t>Zeel Mudaliyar</t>
        </is>
      </c>
      <c r="F345" s="17" t="inlineStr">
        <is>
          <t>New</t>
        </is>
      </c>
      <c r="G345" s="17" t="inlineStr">
        <is>
          <t>Not Assigned</t>
        </is>
      </c>
      <c r="H345" s="17" t="inlineStr">
        <is>
          <t>N/A (Not Assigned)</t>
        </is>
      </c>
      <c r="I345" s="17" t="inlineStr">
        <is>
          <t>-</t>
        </is>
      </c>
    </row>
    <row r="346" ht="20" customHeight="1">
      <c r="A346" s="57" t="n">
        <v>46274.77465644676</v>
      </c>
      <c r="B346" s="16" t="inlineStr">
        <is>
          <t>3. This Month (Sep 2026)</t>
        </is>
      </c>
      <c r="C346" s="14" t="inlineStr">
        <is>
          <t>Meta Ads (NB PropertyTech Rental Ad 0408)</t>
        </is>
      </c>
      <c r="D346" s="14" t="inlineStr">
        <is>
          <t>Abhay Tanna (9825194975)</t>
        </is>
      </c>
      <c r="E346" s="14" t="inlineStr">
        <is>
          <t>Prexa Vithalapara</t>
        </is>
      </c>
      <c r="F346" s="14" t="inlineStr">
        <is>
          <t>Rejected / Lost</t>
        </is>
      </c>
      <c r="G346" s="14" t="inlineStr">
        <is>
          <t>Not Assigned</t>
        </is>
      </c>
      <c r="H346" s="14" t="inlineStr">
        <is>
          <t>N/A (Not Assigned)</t>
        </is>
      </c>
      <c r="I346" s="14" t="inlineStr">
        <is>
          <t>Followup: Hello</t>
        </is>
      </c>
    </row>
    <row r="347" ht="20" customHeight="1">
      <c r="A347" s="58" t="n">
        <v>46274.77465627315</v>
      </c>
      <c r="B347" s="19" t="inlineStr">
        <is>
          <t>3. This Month (Sep 2026)</t>
        </is>
      </c>
      <c r="C347" s="17" t="inlineStr">
        <is>
          <t>Meta Ads (NB PropertyTech Rental Ad 0408)</t>
        </is>
      </c>
      <c r="D347" s="17" t="inlineStr">
        <is>
          <t>Mansi Jani (9724312672)</t>
        </is>
      </c>
      <c r="E347" s="17" t="inlineStr">
        <is>
          <t>Zeel Mudaliyar</t>
        </is>
      </c>
      <c r="F347" s="17" t="inlineStr">
        <is>
          <t>New</t>
        </is>
      </c>
      <c r="G347" s="17" t="inlineStr">
        <is>
          <t>Not Assigned</t>
        </is>
      </c>
      <c r="H347" s="17" t="inlineStr">
        <is>
          <t>N/A (Not Assigned)</t>
        </is>
      </c>
      <c r="I347" s="17" t="inlineStr">
        <is>
          <t>-</t>
        </is>
      </c>
    </row>
    <row r="348" ht="20" customHeight="1">
      <c r="A348" s="57" t="n">
        <v>46274.77465605324</v>
      </c>
      <c r="B348" s="16" t="inlineStr">
        <is>
          <t>3. This Month (Sep 2026)</t>
        </is>
      </c>
      <c r="C348" s="14" t="inlineStr">
        <is>
          <t>Meta Ads (NB PropertyTech Rental Ad 0408)</t>
        </is>
      </c>
      <c r="D348" s="14" t="inlineStr">
        <is>
          <t>Manisha Soni (9979787813)</t>
        </is>
      </c>
      <c r="E348" s="14" t="inlineStr">
        <is>
          <t>Zeel Mudaliyar</t>
        </is>
      </c>
      <c r="F348" s="14" t="inlineStr">
        <is>
          <t>New</t>
        </is>
      </c>
      <c r="G348" s="14" t="inlineStr">
        <is>
          <t>Not Assigned</t>
        </is>
      </c>
      <c r="H348" s="14" t="inlineStr">
        <is>
          <t>N/A (Not Assigned)</t>
        </is>
      </c>
      <c r="I348" s="14" t="inlineStr">
        <is>
          <t>-</t>
        </is>
      </c>
    </row>
    <row r="349" ht="20" customHeight="1">
      <c r="A349" s="58" t="n">
        <v>46274.77465561342</v>
      </c>
      <c r="B349" s="19" t="inlineStr">
        <is>
          <t>3. This Month (Sep 2026)</t>
        </is>
      </c>
      <c r="C349" s="17" t="inlineStr">
        <is>
          <t>Meta Ads (NB PropertyTech Rental Ad 0408)</t>
        </is>
      </c>
      <c r="D349" s="17" t="inlineStr">
        <is>
          <t>Mehul Patel (8141097038)</t>
        </is>
      </c>
      <c r="E349" s="17" t="inlineStr">
        <is>
          <t>Prexa Vithalapara</t>
        </is>
      </c>
      <c r="F349" s="17" t="inlineStr">
        <is>
          <t>New</t>
        </is>
      </c>
      <c r="G349" s="17" t="inlineStr">
        <is>
          <t>Not Assigned</t>
        </is>
      </c>
      <c r="H349" s="17" t="inlineStr">
        <is>
          <t>N/A (Not Assigned)</t>
        </is>
      </c>
      <c r="I349" s="17" t="inlineStr">
        <is>
          <t>-</t>
        </is>
      </c>
    </row>
    <row r="350" ht="20" customHeight="1">
      <c r="A350" s="57" t="n">
        <v>46274.77465548611</v>
      </c>
      <c r="B350" s="16" t="inlineStr">
        <is>
          <t>3. This Month (Sep 2026)</t>
        </is>
      </c>
      <c r="C350" s="14" t="inlineStr">
        <is>
          <t>Meta Ads (NB PropertyTech Rental Ad 0408)</t>
        </is>
      </c>
      <c r="D350" s="14" t="inlineStr">
        <is>
          <t>Rina Deepak Parmar (9724387776)</t>
        </is>
      </c>
      <c r="E350" s="14" t="inlineStr">
        <is>
          <t>Prexa Vithalapara</t>
        </is>
      </c>
      <c r="F350" s="14" t="inlineStr">
        <is>
          <t>New</t>
        </is>
      </c>
      <c r="G350" s="14" t="inlineStr">
        <is>
          <t>Not Assigned</t>
        </is>
      </c>
      <c r="H350" s="14" t="inlineStr">
        <is>
          <t>N/A (Not Assigned)</t>
        </is>
      </c>
      <c r="I350" s="14" t="inlineStr">
        <is>
          <t>-</t>
        </is>
      </c>
    </row>
    <row r="351" ht="20" customHeight="1">
      <c r="A351" s="58" t="n">
        <v>46274.77465533565</v>
      </c>
      <c r="B351" s="19" t="inlineStr">
        <is>
          <t>3. This Month (Sep 2026)</t>
        </is>
      </c>
      <c r="C351" s="17" t="inlineStr">
        <is>
          <t>Meta Ads (NB PropertyTech Rental Ad 0408)</t>
        </is>
      </c>
      <c r="D351" s="17" t="inlineStr">
        <is>
          <t>Niket Patel (9974330322)</t>
        </is>
      </c>
      <c r="E351" s="17" t="inlineStr">
        <is>
          <t>Zeel Mudaliyar</t>
        </is>
      </c>
      <c r="F351" s="17" t="inlineStr">
        <is>
          <t>New</t>
        </is>
      </c>
      <c r="G351" s="17" t="inlineStr">
        <is>
          <t>Not Assigned</t>
        </is>
      </c>
      <c r="H351" s="17" t="inlineStr">
        <is>
          <t>N/A (Not Assigned)</t>
        </is>
      </c>
      <c r="I351" s="17" t="inlineStr">
        <is>
          <t>-</t>
        </is>
      </c>
    </row>
    <row r="352" ht="20" customHeight="1">
      <c r="A352" s="57" t="n">
        <v>46274.77465519676</v>
      </c>
      <c r="B352" s="16" t="inlineStr">
        <is>
          <t>3. This Month (Sep 2026)</t>
        </is>
      </c>
      <c r="C352" s="14" t="inlineStr">
        <is>
          <t>Meta Ads (NB PropertyTech Rental Ad 0408)</t>
        </is>
      </c>
      <c r="D352" s="14" t="inlineStr">
        <is>
          <t>Ashwini Somkuwar (7405831705)</t>
        </is>
      </c>
      <c r="E352" s="14" t="inlineStr">
        <is>
          <t>Prexa Vithalapara</t>
        </is>
      </c>
      <c r="F352" s="14" t="inlineStr">
        <is>
          <t>New</t>
        </is>
      </c>
      <c r="G352" s="14" t="inlineStr">
        <is>
          <t>Not Assigned</t>
        </is>
      </c>
      <c r="H352" s="14" t="inlineStr">
        <is>
          <t>N/A (Not Assigned)</t>
        </is>
      </c>
      <c r="I352" s="14" t="inlineStr">
        <is>
          <t>-</t>
        </is>
      </c>
    </row>
    <row r="353" ht="20" customHeight="1">
      <c r="A353" s="58" t="n">
        <v>46274.77465506944</v>
      </c>
      <c r="B353" s="19" t="inlineStr">
        <is>
          <t>3. This Month (Sep 2026)</t>
        </is>
      </c>
      <c r="C353" s="17" t="inlineStr">
        <is>
          <t>Meta Ads (NB PropertyTech Rental Ad 0408)</t>
        </is>
      </c>
      <c r="D353" s="17" t="inlineStr">
        <is>
          <t>Hardik Vaghela (8460475637)</t>
        </is>
      </c>
      <c r="E353" s="17" t="inlineStr">
        <is>
          <t>Zeel Mudaliyar</t>
        </is>
      </c>
      <c r="F353" s="17" t="inlineStr">
        <is>
          <t>New</t>
        </is>
      </c>
      <c r="G353" s="17" t="inlineStr">
        <is>
          <t>Not Assigned</t>
        </is>
      </c>
      <c r="H353" s="17" t="inlineStr">
        <is>
          <t>N/A (Not Assigned)</t>
        </is>
      </c>
      <c r="I353" s="17" t="inlineStr">
        <is>
          <t>-</t>
        </is>
      </c>
    </row>
    <row r="354" ht="20" customHeight="1">
      <c r="A354" s="57" t="n">
        <v>46274.77465497685</v>
      </c>
      <c r="B354" s="16" t="inlineStr">
        <is>
          <t>3. This Month (Sep 2026)</t>
        </is>
      </c>
      <c r="C354" s="14" t="inlineStr">
        <is>
          <t>Meta Ads (NB PropertyTech Rental Ad 0408)</t>
        </is>
      </c>
      <c r="D354" s="14" t="inlineStr">
        <is>
          <t>Akshay Dutt (9924345275)</t>
        </is>
      </c>
      <c r="E354" s="14" t="inlineStr">
        <is>
          <t>Prexa Vithalapara</t>
        </is>
      </c>
      <c r="F354" s="14" t="inlineStr">
        <is>
          <t>New</t>
        </is>
      </c>
      <c r="G354" s="14" t="inlineStr">
        <is>
          <t>Not Assigned</t>
        </is>
      </c>
      <c r="H354" s="14" t="inlineStr">
        <is>
          <t>N/A (Not Assigned)</t>
        </is>
      </c>
      <c r="I354" s="14" t="inlineStr">
        <is>
          <t>-</t>
        </is>
      </c>
    </row>
    <row r="355" ht="20" customHeight="1">
      <c r="A355" s="58" t="n">
        <v>46274.77465483797</v>
      </c>
      <c r="B355" s="19" t="inlineStr">
        <is>
          <t>3. This Month (Sep 2026)</t>
        </is>
      </c>
      <c r="C355" s="17" t="inlineStr">
        <is>
          <t>Meta Ads (NB PropertyTech Rental Ad 0408)</t>
        </is>
      </c>
      <c r="D355" s="17" t="inlineStr">
        <is>
          <t>Satish Sharma (9408287397)</t>
        </is>
      </c>
      <c r="E355" s="17" t="inlineStr">
        <is>
          <t>Unassigned</t>
        </is>
      </c>
      <c r="F355" s="17" t="inlineStr">
        <is>
          <t>CNR (Could Not Reach)</t>
        </is>
      </c>
      <c r="G355" s="17" t="inlineStr">
        <is>
          <t>Not Assigned</t>
        </is>
      </c>
      <c r="H355" s="17" t="inlineStr">
        <is>
          <t>N/A (Not Assigned)</t>
        </is>
      </c>
      <c r="I355" s="17" t="inlineStr">
        <is>
          <t>-</t>
        </is>
      </c>
    </row>
    <row r="356" ht="20" customHeight="1">
      <c r="A356" s="57" t="n">
        <v>46274.77465472222</v>
      </c>
      <c r="B356" s="16" t="inlineStr">
        <is>
          <t>3. This Month (Sep 2026)</t>
        </is>
      </c>
      <c r="C356" s="14" t="inlineStr">
        <is>
          <t>Meta Ads (NB PropertyTech Rental Ad 0408)</t>
        </is>
      </c>
      <c r="D356" s="14" t="inlineStr">
        <is>
          <t>Sandip Sharma (9099586276)</t>
        </is>
      </c>
      <c r="E356" s="14" t="inlineStr">
        <is>
          <t>Zeel Mudaliyar</t>
        </is>
      </c>
      <c r="F356" s="14" t="inlineStr">
        <is>
          <t>New</t>
        </is>
      </c>
      <c r="G356" s="14" t="inlineStr">
        <is>
          <t>Not Assigned</t>
        </is>
      </c>
      <c r="H356" s="14" t="inlineStr">
        <is>
          <t>N/A (Not Assigned)</t>
        </is>
      </c>
      <c r="I356" s="14" t="inlineStr">
        <is>
          <t>-</t>
        </is>
      </c>
    </row>
    <row r="357" ht="20" customHeight="1">
      <c r="A357" s="58" t="n">
        <v>46274.77465460648</v>
      </c>
      <c r="B357" s="19" t="inlineStr">
        <is>
          <t>3. This Month (Sep 2026)</t>
        </is>
      </c>
      <c r="C357" s="17" t="inlineStr">
        <is>
          <t>Meta Ads (NB PropertyTech Rental Ad 0408)</t>
        </is>
      </c>
      <c r="D357" s="17" t="inlineStr">
        <is>
          <t>Rajesh Bhavsar (9824442820)</t>
        </is>
      </c>
      <c r="E357" s="17" t="inlineStr">
        <is>
          <t>Zeel Mudaliyar</t>
        </is>
      </c>
      <c r="F357" s="17" t="inlineStr">
        <is>
          <t>New</t>
        </is>
      </c>
      <c r="G357" s="17" t="inlineStr">
        <is>
          <t>Not Assigned</t>
        </is>
      </c>
      <c r="H357" s="17" t="inlineStr">
        <is>
          <t>N/A (Not Assigned)</t>
        </is>
      </c>
      <c r="I357" s="17" t="inlineStr">
        <is>
          <t>-</t>
        </is>
      </c>
    </row>
    <row r="358" ht="20" customHeight="1">
      <c r="A358" s="57" t="n">
        <v>46274.77465449074</v>
      </c>
      <c r="B358" s="16" t="inlineStr">
        <is>
          <t>3. This Month (Sep 2026)</t>
        </is>
      </c>
      <c r="C358" s="14" t="inlineStr">
        <is>
          <t>Meta Ads (NB PropertyTech Rental Ad 0408)</t>
        </is>
      </c>
      <c r="D358" s="14" t="inlineStr">
        <is>
          <t>​​​​rishii (9898982525)</t>
        </is>
      </c>
      <c r="E358" s="14" t="inlineStr">
        <is>
          <t>Zeel Mudaliyar</t>
        </is>
      </c>
      <c r="F358" s="14" t="inlineStr">
        <is>
          <t>New</t>
        </is>
      </c>
      <c r="G358" s="14" t="inlineStr">
        <is>
          <t>Not Assigned</t>
        </is>
      </c>
      <c r="H358" s="14" t="inlineStr">
        <is>
          <t>N/A (Not Assigned)</t>
        </is>
      </c>
      <c r="I358" s="14" t="inlineStr">
        <is>
          <t>-</t>
        </is>
      </c>
    </row>
    <row r="359" ht="20" customHeight="1">
      <c r="A359" s="58" t="n">
        <v>46274.77465435185</v>
      </c>
      <c r="B359" s="19" t="inlineStr">
        <is>
          <t>3. This Month (Sep 2026)</t>
        </is>
      </c>
      <c r="C359" s="17" t="inlineStr">
        <is>
          <t>Meta Ads (NB PropertyTech Rental Ad 0408)</t>
        </is>
      </c>
      <c r="D359" s="17" t="inlineStr">
        <is>
          <t>Sanjay Vandra (9925987280)</t>
        </is>
      </c>
      <c r="E359" s="17" t="inlineStr">
        <is>
          <t>Prexa Vithalapara</t>
        </is>
      </c>
      <c r="F359" s="17" t="inlineStr">
        <is>
          <t>New</t>
        </is>
      </c>
      <c r="G359" s="17" t="inlineStr">
        <is>
          <t>Not Assigned</t>
        </is>
      </c>
      <c r="H359" s="17" t="inlineStr">
        <is>
          <t>N/A (Not Assigned)</t>
        </is>
      </c>
      <c r="I359" s="17" t="inlineStr">
        <is>
          <t>-</t>
        </is>
      </c>
    </row>
    <row r="360" ht="20" customHeight="1">
      <c r="A360" s="57" t="n">
        <v>46274.77465424768</v>
      </c>
      <c r="B360" s="16" t="inlineStr">
        <is>
          <t>3. This Month (Sep 2026)</t>
        </is>
      </c>
      <c r="C360" s="14" t="inlineStr">
        <is>
          <t>Meta Ads (NB PropertyTech Rental Ad 0408)</t>
        </is>
      </c>
      <c r="D360" s="14" t="inlineStr">
        <is>
          <t>Umang Shah (9924479991)</t>
        </is>
      </c>
      <c r="E360" s="14" t="inlineStr">
        <is>
          <t>Zeel Mudaliyar</t>
        </is>
      </c>
      <c r="F360" s="14" t="inlineStr">
        <is>
          <t>New</t>
        </is>
      </c>
      <c r="G360" s="14" t="inlineStr">
        <is>
          <t>Not Assigned</t>
        </is>
      </c>
      <c r="H360" s="14" t="inlineStr">
        <is>
          <t>N/A (Not Assigned)</t>
        </is>
      </c>
      <c r="I360" s="14" t="inlineStr">
        <is>
          <t>-</t>
        </is>
      </c>
    </row>
    <row r="361" ht="20" customHeight="1">
      <c r="A361" s="58" t="n">
        <v>46274.77465414352</v>
      </c>
      <c r="B361" s="19" t="inlineStr">
        <is>
          <t>3. This Month (Sep 2026)</t>
        </is>
      </c>
      <c r="C361" s="17" t="inlineStr">
        <is>
          <t>Meta Ads (NB PropertyTech Rental Ad 0408)</t>
        </is>
      </c>
      <c r="D361" s="17" t="inlineStr">
        <is>
          <t>Bhagyawati Sahu (9864234141)</t>
        </is>
      </c>
      <c r="E361" s="17" t="inlineStr">
        <is>
          <t>Zeel Mudaliyar</t>
        </is>
      </c>
      <c r="F361" s="17" t="inlineStr">
        <is>
          <t>New</t>
        </is>
      </c>
      <c r="G361" s="17" t="inlineStr">
        <is>
          <t>Not Assigned</t>
        </is>
      </c>
      <c r="H361" s="17" t="inlineStr">
        <is>
          <t>N/A (Not Assigned)</t>
        </is>
      </c>
      <c r="I361" s="17" t="inlineStr">
        <is>
          <t>-</t>
        </is>
      </c>
    </row>
    <row r="362" ht="20" customHeight="1">
      <c r="A362" s="57" t="n">
        <v>46274.77465405093</v>
      </c>
      <c r="B362" s="16" t="inlineStr">
        <is>
          <t>3. This Month (Sep 2026)</t>
        </is>
      </c>
      <c r="C362" s="14" t="inlineStr">
        <is>
          <t>Meta Ads (NB PropertyTech Rental Ad 0408)</t>
        </is>
      </c>
      <c r="D362" s="14" t="inlineStr">
        <is>
          <t>Ashok Kankaria (9426157761)</t>
        </is>
      </c>
      <c r="E362" s="14" t="inlineStr">
        <is>
          <t>Unassigned</t>
        </is>
      </c>
      <c r="F362" s="14" t="inlineStr">
        <is>
          <t>CNR (Could Not Reach)</t>
        </is>
      </c>
      <c r="G362" s="14" t="inlineStr">
        <is>
          <t>Not Assigned</t>
        </is>
      </c>
      <c r="H362" s="14" t="inlineStr">
        <is>
          <t>N/A (Not Assigned)</t>
        </is>
      </c>
      <c r="I362" s="14" t="inlineStr">
        <is>
          <t>-</t>
        </is>
      </c>
    </row>
    <row r="363" ht="20" customHeight="1">
      <c r="A363" s="58" t="n">
        <v>46274.77465392361</v>
      </c>
      <c r="B363" s="19" t="inlineStr">
        <is>
          <t>3. This Month (Sep 2026)</t>
        </is>
      </c>
      <c r="C363" s="17" t="inlineStr">
        <is>
          <t>Meta Ads (NB PropertyTech Rental Ad 0408)</t>
        </is>
      </c>
      <c r="D363" s="17" t="inlineStr">
        <is>
          <t>પ (9601478159)</t>
        </is>
      </c>
      <c r="E363" s="17" t="inlineStr">
        <is>
          <t>Unassigned</t>
        </is>
      </c>
      <c r="F363" s="17" t="inlineStr">
        <is>
          <t>CNR (Could Not Reach)</t>
        </is>
      </c>
      <c r="G363" s="17" t="inlineStr">
        <is>
          <t>Not Assigned</t>
        </is>
      </c>
      <c r="H363" s="17" t="inlineStr">
        <is>
          <t>N/A (Not Assigned)</t>
        </is>
      </c>
      <c r="I363" s="17" t="inlineStr">
        <is>
          <t>-</t>
        </is>
      </c>
    </row>
    <row r="364" ht="20" customHeight="1">
      <c r="A364" s="57" t="n">
        <v>46274.77465372685</v>
      </c>
      <c r="B364" s="16" t="inlineStr">
        <is>
          <t>3. This Month (Sep 2026)</t>
        </is>
      </c>
      <c r="C364" s="14" t="inlineStr">
        <is>
          <t>Meta Ads (NB PropertyTech Rental Ad 0408)</t>
        </is>
      </c>
      <c r="D364" s="14" t="inlineStr">
        <is>
          <t>Rajpurohit (7990705866)</t>
        </is>
      </c>
      <c r="E364" s="14" t="inlineStr">
        <is>
          <t>Prexa Vithalapara</t>
        </is>
      </c>
      <c r="F364" s="14" t="inlineStr">
        <is>
          <t>New</t>
        </is>
      </c>
      <c r="G364" s="14" t="inlineStr">
        <is>
          <t>Not Assigned</t>
        </is>
      </c>
      <c r="H364" s="14" t="inlineStr">
        <is>
          <t>N/A (Not Assigned)</t>
        </is>
      </c>
      <c r="I364" s="14" t="inlineStr">
        <is>
          <t>-</t>
        </is>
      </c>
    </row>
    <row r="365" ht="20" customHeight="1">
      <c r="A365" s="58" t="n">
        <v>46274.77465361111</v>
      </c>
      <c r="B365" s="19" t="inlineStr">
        <is>
          <t>3. This Month (Sep 2026)</t>
        </is>
      </c>
      <c r="C365" s="17" t="inlineStr">
        <is>
          <t>Meta Ads (NB PropertyTech Rental Ad 0408)</t>
        </is>
      </c>
      <c r="D365" s="17" t="inlineStr">
        <is>
          <t>Jorawar Singh (8238763999)</t>
        </is>
      </c>
      <c r="E365" s="17" t="inlineStr">
        <is>
          <t>Zeel Mudaliyar</t>
        </is>
      </c>
      <c r="F365" s="17" t="inlineStr">
        <is>
          <t>New</t>
        </is>
      </c>
      <c r="G365" s="17" t="inlineStr">
        <is>
          <t>Not Assigned</t>
        </is>
      </c>
      <c r="H365" s="17" t="inlineStr">
        <is>
          <t>N/A (Not Assigned)</t>
        </is>
      </c>
      <c r="I365" s="17" t="inlineStr">
        <is>
          <t>-</t>
        </is>
      </c>
    </row>
    <row r="366" ht="20" customHeight="1">
      <c r="A366" s="57" t="n">
        <v>46274.77465339121</v>
      </c>
      <c r="B366" s="16" t="inlineStr">
        <is>
          <t>3. This Month (Sep 2026)</t>
        </is>
      </c>
      <c r="C366" s="14" t="inlineStr">
        <is>
          <t>Meta Ads (NB PropertyTech Rental Ad 0408)</t>
        </is>
      </c>
      <c r="D366" s="14" t="inlineStr">
        <is>
          <t>Prahladpro007 (9875053100)</t>
        </is>
      </c>
      <c r="E366" s="14" t="inlineStr">
        <is>
          <t>Zeel Mudaliyar</t>
        </is>
      </c>
      <c r="F366" s="14" t="inlineStr">
        <is>
          <t>New</t>
        </is>
      </c>
      <c r="G366" s="14" t="inlineStr">
        <is>
          <t>Not Assigned</t>
        </is>
      </c>
      <c r="H366" s="14" t="inlineStr">
        <is>
          <t>N/A (Not Assigned)</t>
        </is>
      </c>
      <c r="I366" s="14" t="inlineStr">
        <is>
          <t>-</t>
        </is>
      </c>
    </row>
    <row r="367" ht="20" customHeight="1">
      <c r="A367" s="58" t="n">
        <v>46274.77465325232</v>
      </c>
      <c r="B367" s="19" t="inlineStr">
        <is>
          <t>3. This Month (Sep 2026)</t>
        </is>
      </c>
      <c r="C367" s="17" t="inlineStr">
        <is>
          <t>Meta Ads (NB PropertyTech Rental Ad 0408)</t>
        </is>
      </c>
      <c r="D367" s="17" t="inlineStr">
        <is>
          <t>Rushi Donda (7069592939)</t>
        </is>
      </c>
      <c r="E367" s="17" t="inlineStr">
        <is>
          <t>Prexa Vithalapara</t>
        </is>
      </c>
      <c r="F367" s="17" t="inlineStr">
        <is>
          <t>New</t>
        </is>
      </c>
      <c r="G367" s="17" t="inlineStr">
        <is>
          <t>Not Assigned</t>
        </is>
      </c>
      <c r="H367" s="17" t="inlineStr">
        <is>
          <t>N/A (Not Assigned)</t>
        </is>
      </c>
      <c r="I367" s="17" t="inlineStr">
        <is>
          <t>-</t>
        </is>
      </c>
    </row>
    <row r="368" ht="20" customHeight="1">
      <c r="A368" s="57" t="n">
        <v>46274.77465311343</v>
      </c>
      <c r="B368" s="16" t="inlineStr">
        <is>
          <t>3. This Month (Sep 2026)</t>
        </is>
      </c>
      <c r="C368" s="14" t="inlineStr">
        <is>
          <t>Meta Ads (NB PropertyTech Rental Ad 0408)</t>
        </is>
      </c>
      <c r="D368" s="14" t="inlineStr">
        <is>
          <t>Pooja Thakur (9712011122)</t>
        </is>
      </c>
      <c r="E368" s="14" t="inlineStr">
        <is>
          <t>Prexa Vithalapara</t>
        </is>
      </c>
      <c r="F368" s="14" t="inlineStr">
        <is>
          <t>New</t>
        </is>
      </c>
      <c r="G368" s="14" t="inlineStr">
        <is>
          <t>Not Assigned</t>
        </is>
      </c>
      <c r="H368" s="14" t="inlineStr">
        <is>
          <t>N/A (Not Assigned)</t>
        </is>
      </c>
      <c r="I368" s="14" t="inlineStr">
        <is>
          <t>-</t>
        </is>
      </c>
    </row>
    <row r="369" ht="20" customHeight="1">
      <c r="A369" s="58" t="n">
        <v>46274.77465297453</v>
      </c>
      <c r="B369" s="19" t="inlineStr">
        <is>
          <t>3. This Month (Sep 2026)</t>
        </is>
      </c>
      <c r="C369" s="17" t="inlineStr">
        <is>
          <t>Meta Ads (NB PropertyTech Rental Ad 0408)</t>
        </is>
      </c>
      <c r="D369" s="17" t="inlineStr">
        <is>
          <t>Darshan U Vyas (9979786654)</t>
        </is>
      </c>
      <c r="E369" s="17" t="inlineStr">
        <is>
          <t>Prexa Vithalapara</t>
        </is>
      </c>
      <c r="F369" s="17" t="inlineStr">
        <is>
          <t>New</t>
        </is>
      </c>
      <c r="G369" s="17" t="inlineStr">
        <is>
          <t>Not Assigned</t>
        </is>
      </c>
      <c r="H369" s="17" t="inlineStr">
        <is>
          <t>N/A (Not Assigned)</t>
        </is>
      </c>
      <c r="I369" s="17" t="inlineStr">
        <is>
          <t>Property Remark: "1 Boss cabin
2 cubicle 
10 to 15 work station
Pantry"</t>
        </is>
      </c>
    </row>
    <row r="370" ht="20" customHeight="1">
      <c r="A370" s="57" t="n">
        <v>46274.77465282408</v>
      </c>
      <c r="B370" s="16" t="inlineStr">
        <is>
          <t>3. This Month (Sep 2026)</t>
        </is>
      </c>
      <c r="C370" s="14" t="inlineStr">
        <is>
          <t>Meta Ads (NB PropertyTech Rental Ad 0408)</t>
        </is>
      </c>
      <c r="D370" s="14" t="inlineStr">
        <is>
          <t>Navin Prajapati (9725539281)</t>
        </is>
      </c>
      <c r="E370" s="14" t="inlineStr">
        <is>
          <t>Prexa Vithalapara</t>
        </is>
      </c>
      <c r="F370" s="14" t="inlineStr">
        <is>
          <t>New</t>
        </is>
      </c>
      <c r="G370" s="14" t="inlineStr">
        <is>
          <t>Not Assigned</t>
        </is>
      </c>
      <c r="H370" s="14" t="inlineStr">
        <is>
          <t>N/A (Not Assigned)</t>
        </is>
      </c>
      <c r="I370" s="14" t="inlineStr">
        <is>
          <t>-</t>
        </is>
      </c>
    </row>
    <row r="371" ht="20" customHeight="1">
      <c r="A371" s="58" t="n">
        <v>46274.77465265046</v>
      </c>
      <c r="B371" s="19" t="inlineStr">
        <is>
          <t>3. This Month (Sep 2026)</t>
        </is>
      </c>
      <c r="C371" s="17" t="inlineStr">
        <is>
          <t>Meta Ads (NB PropertyTech Rental Ad 0408)</t>
        </is>
      </c>
      <c r="D371" s="17" t="inlineStr">
        <is>
          <t>Nasrin Mansuri (9825028428)</t>
        </is>
      </c>
      <c r="E371" s="17" t="inlineStr">
        <is>
          <t>Prexa Vithalapara</t>
        </is>
      </c>
      <c r="F371" s="17" t="inlineStr">
        <is>
          <t>New</t>
        </is>
      </c>
      <c r="G371" s="17" t="inlineStr">
        <is>
          <t>Not Assigned</t>
        </is>
      </c>
      <c r="H371" s="17" t="inlineStr">
        <is>
          <t>N/A (Not Assigned)</t>
        </is>
      </c>
      <c r="I371" s="17" t="inlineStr">
        <is>
          <t>-</t>
        </is>
      </c>
    </row>
    <row r="372" ht="20" customHeight="1">
      <c r="A372" s="57" t="n">
        <v>46274.77465225694</v>
      </c>
      <c r="B372" s="16" t="inlineStr">
        <is>
          <t>3. This Month (Sep 2026)</t>
        </is>
      </c>
      <c r="C372" s="14" t="inlineStr">
        <is>
          <t>Meta Ads (NB PropertyTech Rental Ad 0408)</t>
        </is>
      </c>
      <c r="D372" s="14" t="inlineStr">
        <is>
          <t>Balubhai Gajera (9824376295)</t>
        </is>
      </c>
      <c r="E372" s="14" t="inlineStr">
        <is>
          <t>Zeel Mudaliyar</t>
        </is>
      </c>
      <c r="F372" s="14" t="inlineStr">
        <is>
          <t>Listed</t>
        </is>
      </c>
      <c r="G372" s="14" t="inlineStr">
        <is>
          <t>Not Assigned</t>
        </is>
      </c>
      <c r="H372" s="14" t="inlineStr">
        <is>
          <t>N/A (Not Assigned)</t>
        </is>
      </c>
      <c r="I372" s="14" t="inlineStr">
        <is>
          <t>-</t>
        </is>
      </c>
    </row>
    <row r="373" ht="20" customHeight="1">
      <c r="A373" s="58" t="n">
        <v>46274.77465172454</v>
      </c>
      <c r="B373" s="19" t="inlineStr">
        <is>
          <t>3. This Month (Sep 2026)</t>
        </is>
      </c>
      <c r="C373" s="17" t="inlineStr">
        <is>
          <t>Meta Ads (NB PropertyTech Rental Ad 0408)</t>
        </is>
      </c>
      <c r="D373" s="17" t="inlineStr">
        <is>
          <t>Pragnesh Modi (9998722469)</t>
        </is>
      </c>
      <c r="E373" s="17" t="inlineStr">
        <is>
          <t>Prexa Vithalapara</t>
        </is>
      </c>
      <c r="F373" s="17" t="inlineStr">
        <is>
          <t>Rejected / Lost</t>
        </is>
      </c>
      <c r="G373" s="17" t="inlineStr">
        <is>
          <t>Not Assigned</t>
        </is>
      </c>
      <c r="H373" s="17" t="inlineStr">
        <is>
          <t>N/A (Not Assigned)</t>
        </is>
      </c>
      <c r="I373" s="17" t="inlineStr">
        <is>
          <t>-</t>
        </is>
      </c>
    </row>
    <row r="374" ht="20" customHeight="1">
      <c r="A374" s="57" t="n">
        <v>46274.77465157407</v>
      </c>
      <c r="B374" s="16" t="inlineStr">
        <is>
          <t>3. This Month (Sep 2026)</t>
        </is>
      </c>
      <c r="C374" s="14" t="inlineStr">
        <is>
          <t>Meta Ads (NB PropertyTech Rental Ad 0408)</t>
        </is>
      </c>
      <c r="D374" s="14" t="inlineStr">
        <is>
          <t>Dashrath Valand (6359484693)</t>
        </is>
      </c>
      <c r="E374" s="14" t="inlineStr">
        <is>
          <t>Prexa Vithalapara</t>
        </is>
      </c>
      <c r="F374" s="14" t="inlineStr">
        <is>
          <t>Interested</t>
        </is>
      </c>
      <c r="G374" s="14" t="inlineStr">
        <is>
          <t>Not Assigned</t>
        </is>
      </c>
      <c r="H374" s="14" t="inlineStr">
        <is>
          <t>N/A (Not Assigned)</t>
        </is>
      </c>
      <c r="I374" s="14" t="inlineStr">
        <is>
          <t>-</t>
        </is>
      </c>
    </row>
    <row r="375" ht="20" customHeight="1">
      <c r="A375" s="58" t="n">
        <v>46274.77465144676</v>
      </c>
      <c r="B375" s="19" t="inlineStr">
        <is>
          <t>3. This Month (Sep 2026)</t>
        </is>
      </c>
      <c r="C375" s="17" t="inlineStr">
        <is>
          <t>Meta Ads (NB PropertyTech Rental Ad 0408)</t>
        </is>
      </c>
      <c r="D375" s="17" t="inlineStr">
        <is>
          <t>Vishnukumar Vyas (7990557102)</t>
        </is>
      </c>
      <c r="E375" s="17" t="inlineStr">
        <is>
          <t>Prexa Vithalapara</t>
        </is>
      </c>
      <c r="F375" s="17" t="inlineStr">
        <is>
          <t>Rejected / Lost</t>
        </is>
      </c>
      <c r="G375" s="17" t="inlineStr">
        <is>
          <t>Not Assigned</t>
        </is>
      </c>
      <c r="H375" s="17" t="inlineStr">
        <is>
          <t>N/A (Not Assigned)</t>
        </is>
      </c>
      <c r="I375" s="17" t="inlineStr">
        <is>
          <t>-</t>
        </is>
      </c>
    </row>
    <row r="376" ht="20" customHeight="1">
      <c r="A376" s="57" t="n">
        <v>46274.77465107639</v>
      </c>
      <c r="B376" s="16" t="inlineStr">
        <is>
          <t>3. This Month (Sep 2026)</t>
        </is>
      </c>
      <c r="C376" s="14" t="inlineStr">
        <is>
          <t>Meta Ads (NB PropertyTech Rental Ad 0408)</t>
        </is>
      </c>
      <c r="D376" s="14" t="inlineStr">
        <is>
          <t>Vikram_odedara (8758234454)</t>
        </is>
      </c>
      <c r="E376" s="14" t="inlineStr">
        <is>
          <t>Prexa Vithalapara</t>
        </is>
      </c>
      <c r="F376" s="14" t="inlineStr">
        <is>
          <t>New</t>
        </is>
      </c>
      <c r="G376" s="14" t="inlineStr">
        <is>
          <t>Not Assigned</t>
        </is>
      </c>
      <c r="H376" s="14" t="inlineStr">
        <is>
          <t>N/A (Not Assigned)</t>
        </is>
      </c>
      <c r="I376" s="14" t="inlineStr">
        <is>
          <t>-</t>
        </is>
      </c>
    </row>
    <row r="377" ht="20" customHeight="1">
      <c r="A377" s="58" t="n">
        <v>46274.77465091435</v>
      </c>
      <c r="B377" s="19" t="inlineStr">
        <is>
          <t>3. This Month (Sep 2026)</t>
        </is>
      </c>
      <c r="C377" s="17" t="inlineStr">
        <is>
          <t>Meta Ads (NB PropertyTech Rental Ad 0408)</t>
        </is>
      </c>
      <c r="D377" s="17" t="inlineStr">
        <is>
          <t>Jignesh Shah (9879353455)</t>
        </is>
      </c>
      <c r="E377" s="17" t="inlineStr">
        <is>
          <t>Zeel Mudaliyar</t>
        </is>
      </c>
      <c r="F377" s="17" t="inlineStr">
        <is>
          <t>New</t>
        </is>
      </c>
      <c r="G377" s="17" t="inlineStr">
        <is>
          <t>Not Assigned</t>
        </is>
      </c>
      <c r="H377" s="17" t="inlineStr">
        <is>
          <t>N/A (Not Assigned)</t>
        </is>
      </c>
      <c r="I377" s="17" t="inlineStr">
        <is>
          <t>-</t>
        </is>
      </c>
    </row>
    <row r="378" ht="20" customHeight="1">
      <c r="A378" s="57" t="n">
        <v>46274.77465076389</v>
      </c>
      <c r="B378" s="16" t="inlineStr">
        <is>
          <t>3. This Month (Sep 2026)</t>
        </is>
      </c>
      <c r="C378" s="14" t="inlineStr">
        <is>
          <t>Meta Ads (NB PropertyTech Rental Ad 0408)</t>
        </is>
      </c>
      <c r="D378" s="14" t="inlineStr">
        <is>
          <t>Ajay Dave (9428362763)</t>
        </is>
      </c>
      <c r="E378" s="14" t="inlineStr">
        <is>
          <t>Zeel Mudaliyar</t>
        </is>
      </c>
      <c r="F378" s="14" t="inlineStr">
        <is>
          <t>New</t>
        </is>
      </c>
      <c r="G378" s="14" t="inlineStr">
        <is>
          <t>Not Assigned</t>
        </is>
      </c>
      <c r="H378" s="14" t="inlineStr">
        <is>
          <t>N/A (Not Assigned)</t>
        </is>
      </c>
      <c r="I378" s="14" t="inlineStr">
        <is>
          <t>-</t>
        </is>
      </c>
    </row>
    <row r="379" ht="20" customHeight="1">
      <c r="A379" s="58" t="n">
        <v>46274.774650625</v>
      </c>
      <c r="B379" s="19" t="inlineStr">
        <is>
          <t>3. This Month (Sep 2026)</t>
        </is>
      </c>
      <c r="C379" s="17" t="inlineStr">
        <is>
          <t>Meta Ads (NB PropertyTech Rental Ad 0408)</t>
        </is>
      </c>
      <c r="D379" s="17" t="inlineStr">
        <is>
          <t>Atul (9372061162)</t>
        </is>
      </c>
      <c r="E379" s="17" t="inlineStr">
        <is>
          <t>Prexa Vithalapara</t>
        </is>
      </c>
      <c r="F379" s="17" t="inlineStr">
        <is>
          <t>New</t>
        </is>
      </c>
      <c r="G379" s="17" t="inlineStr">
        <is>
          <t>Not Assigned</t>
        </is>
      </c>
      <c r="H379" s="17" t="inlineStr">
        <is>
          <t>N/A (Not Assigned)</t>
        </is>
      </c>
      <c r="I379" s="17" t="inlineStr">
        <is>
          <t>-</t>
        </is>
      </c>
    </row>
    <row r="380" ht="20" customHeight="1">
      <c r="A380" s="57" t="n">
        <v>46274.77465053241</v>
      </c>
      <c r="B380" s="16" t="inlineStr">
        <is>
          <t>3. This Month (Sep 2026)</t>
        </is>
      </c>
      <c r="C380" s="14" t="inlineStr">
        <is>
          <t>Meta Ads (NB PropertyTech Rental Ad 0408)</t>
        </is>
      </c>
      <c r="D380" s="14" t="inlineStr">
        <is>
          <t>Faridaben Malek (9974757957)</t>
        </is>
      </c>
      <c r="E380" s="14" t="inlineStr">
        <is>
          <t>Zeel Mudaliyar</t>
        </is>
      </c>
      <c r="F380" s="14" t="inlineStr">
        <is>
          <t>New</t>
        </is>
      </c>
      <c r="G380" s="14" t="inlineStr">
        <is>
          <t>Not Assigned</t>
        </is>
      </c>
      <c r="H380" s="14" t="inlineStr">
        <is>
          <t>N/A (Not Assigned)</t>
        </is>
      </c>
      <c r="I380" s="14" t="inlineStr">
        <is>
          <t>-</t>
        </is>
      </c>
    </row>
    <row r="381" ht="20" customHeight="1">
      <c r="A381" s="58" t="n">
        <v>46274.7746504051</v>
      </c>
      <c r="B381" s="19" t="inlineStr">
        <is>
          <t>3. This Month (Sep 2026)</t>
        </is>
      </c>
      <c r="C381" s="17" t="inlineStr">
        <is>
          <t>Meta Ads (NB PropertyTech Rental Ad 0408)</t>
        </is>
      </c>
      <c r="D381" s="17" t="inlineStr">
        <is>
          <t>Krishna_diwani (9327003829)</t>
        </is>
      </c>
      <c r="E381" s="17" t="inlineStr">
        <is>
          <t>Zeel Mudaliyar</t>
        </is>
      </c>
      <c r="F381" s="17" t="inlineStr">
        <is>
          <t>New</t>
        </is>
      </c>
      <c r="G381" s="17" t="inlineStr">
        <is>
          <t>Not Assigned</t>
        </is>
      </c>
      <c r="H381" s="17" t="inlineStr">
        <is>
          <t>N/A (Not Assigned)</t>
        </is>
      </c>
      <c r="I381" s="17" t="inlineStr">
        <is>
          <t>-</t>
        </is>
      </c>
    </row>
    <row r="382" ht="20" customHeight="1">
      <c r="A382" s="57" t="n">
        <v>46274.77465027778</v>
      </c>
      <c r="B382" s="16" t="inlineStr">
        <is>
          <t>3. This Month (Sep 2026)</t>
        </is>
      </c>
      <c r="C382" s="14" t="inlineStr">
        <is>
          <t>Meta Ads (NB PropertyTech Rental Ad 0408)</t>
        </is>
      </c>
      <c r="D382" s="14" t="inlineStr">
        <is>
          <t>Yug Patel (9033391909)</t>
        </is>
      </c>
      <c r="E382" s="14" t="inlineStr">
        <is>
          <t>Prexa Vithalapara</t>
        </is>
      </c>
      <c r="F382" s="14" t="inlineStr">
        <is>
          <t>New</t>
        </is>
      </c>
      <c r="G382" s="14" t="inlineStr">
        <is>
          <t>Not Assigned</t>
        </is>
      </c>
      <c r="H382" s="14" t="inlineStr">
        <is>
          <t>N/A (Not Assigned)</t>
        </is>
      </c>
      <c r="I382" s="14" t="inlineStr">
        <is>
          <t>-</t>
        </is>
      </c>
    </row>
    <row r="383" ht="20" customHeight="1">
      <c r="A383" s="58" t="n">
        <v>46274.77465016203</v>
      </c>
      <c r="B383" s="19" t="inlineStr">
        <is>
          <t>3. This Month (Sep 2026)</t>
        </is>
      </c>
      <c r="C383" s="17" t="inlineStr">
        <is>
          <t>Meta Ads (NB PropertyTech Rental Ad 0408)</t>
        </is>
      </c>
      <c r="D383" s="17" t="inlineStr">
        <is>
          <t>Pancholi Chetan H (9825399856)</t>
        </is>
      </c>
      <c r="E383" s="17" t="inlineStr">
        <is>
          <t>Zeel Mudaliyar</t>
        </is>
      </c>
      <c r="F383" s="17" t="inlineStr">
        <is>
          <t>New</t>
        </is>
      </c>
      <c r="G383" s="17" t="inlineStr">
        <is>
          <t>Not Assigned</t>
        </is>
      </c>
      <c r="H383" s="17" t="inlineStr">
        <is>
          <t>N/A (Not Assigned)</t>
        </is>
      </c>
      <c r="I383" s="17" t="inlineStr">
        <is>
          <t>-</t>
        </is>
      </c>
    </row>
    <row r="384" ht="20" customHeight="1">
      <c r="A384" s="57" t="n">
        <v>46274.7746500463</v>
      </c>
      <c r="B384" s="16" t="inlineStr">
        <is>
          <t>3. This Month (Sep 2026)</t>
        </is>
      </c>
      <c r="C384" s="14" t="inlineStr">
        <is>
          <t>Meta Ads (NB PropertyTech Rental Ad 0408)</t>
        </is>
      </c>
      <c r="D384" s="14" t="inlineStr">
        <is>
          <t>Gauri Shankar Rajput (9723506613)</t>
        </is>
      </c>
      <c r="E384" s="14" t="inlineStr">
        <is>
          <t>Prexa Vithalapara</t>
        </is>
      </c>
      <c r="F384" s="14" t="inlineStr">
        <is>
          <t>Rejected / Lost</t>
        </is>
      </c>
      <c r="G384" s="14" t="inlineStr">
        <is>
          <t>Not Assigned</t>
        </is>
      </c>
      <c r="H384" s="14" t="inlineStr">
        <is>
          <t>N/A (Not Assigned)</t>
        </is>
      </c>
      <c r="I384" s="14" t="inlineStr">
        <is>
          <t>-</t>
        </is>
      </c>
    </row>
    <row r="385" ht="20" customHeight="1">
      <c r="A385" s="58" t="n">
        <v>46274.77464994213</v>
      </c>
      <c r="B385" s="19" t="inlineStr">
        <is>
          <t>3. This Month (Sep 2026)</t>
        </is>
      </c>
      <c r="C385" s="17" t="inlineStr">
        <is>
          <t>Meta Ads (NB PropertyTech Rental Ad 0408)</t>
        </is>
      </c>
      <c r="D385" s="17" t="inlineStr">
        <is>
          <t>Bhadresh Patel (9824430208)</t>
        </is>
      </c>
      <c r="E385" s="17" t="inlineStr">
        <is>
          <t>Prexa Vithalapara</t>
        </is>
      </c>
      <c r="F385" s="17" t="inlineStr">
        <is>
          <t>New</t>
        </is>
      </c>
      <c r="G385" s="17" t="inlineStr">
        <is>
          <t>Not Assigned</t>
        </is>
      </c>
      <c r="H385" s="17" t="inlineStr">
        <is>
          <t>N/A (Not Assigned)</t>
        </is>
      </c>
      <c r="I385" s="17" t="inlineStr">
        <is>
          <t>-</t>
        </is>
      </c>
    </row>
    <row r="386" ht="20" customHeight="1">
      <c r="A386" s="57" t="n">
        <v>46274.77464690973</v>
      </c>
      <c r="B386" s="16" t="inlineStr">
        <is>
          <t>3. This Month (Sep 2026)</t>
        </is>
      </c>
      <c r="C386" s="14" t="inlineStr">
        <is>
          <t>Meta Ads (NB PropertyTech Rental Ad 0408)</t>
        </is>
      </c>
      <c r="D386" s="14" t="inlineStr">
        <is>
          <t>Sonal Mistry (9925511592)</t>
        </is>
      </c>
      <c r="E386" s="14" t="inlineStr">
        <is>
          <t>Zeel Mudaliyar</t>
        </is>
      </c>
      <c r="F386" s="14" t="inlineStr">
        <is>
          <t>Interested</t>
        </is>
      </c>
      <c r="G386" s="14" t="inlineStr">
        <is>
          <t>Not Assigned</t>
        </is>
      </c>
      <c r="H386" s="14" t="inlineStr">
        <is>
          <t>N/A (Not Assigned)</t>
        </is>
      </c>
      <c r="I386" s="14" t="inlineStr">
        <is>
          <t>-</t>
        </is>
      </c>
    </row>
    <row r="387" ht="20" customHeight="1">
      <c r="A387" s="58" t="n">
        <v>46274.77463469908</v>
      </c>
      <c r="B387" s="19" t="inlineStr">
        <is>
          <t>3. This Month (Sep 2026)</t>
        </is>
      </c>
      <c r="C387" s="17" t="inlineStr">
        <is>
          <t>Meta Ads (NB PropertyTech Survey Ad 3108)</t>
        </is>
      </c>
      <c r="D387" s="17" t="inlineStr">
        <is>
          <t>Ca Apurva Davda (9427687127)</t>
        </is>
      </c>
      <c r="E387" s="17" t="inlineStr">
        <is>
          <t>Prexa Vithalapara</t>
        </is>
      </c>
      <c r="F387" s="17" t="inlineStr">
        <is>
          <t>New</t>
        </is>
      </c>
      <c r="G387" s="17" t="inlineStr">
        <is>
          <t>Not Assigned</t>
        </is>
      </c>
      <c r="H387" s="17" t="inlineStr">
        <is>
          <t>N/A (Not Assigned)</t>
        </is>
      </c>
      <c r="I387" s="17" t="inlineStr">
        <is>
          <t>Followup: Test again</t>
        </is>
      </c>
    </row>
    <row r="388" ht="20" customHeight="1">
      <c r="A388" s="57" t="n">
        <v>46274.61248260416</v>
      </c>
      <c r="B388" s="16" t="inlineStr">
        <is>
          <t>3. This Month (Sep 2026)</t>
        </is>
      </c>
      <c r="C388" s="14" t="inlineStr">
        <is>
          <t>Meta Ads (NB PropertyTech Rental Ad 0408)</t>
        </is>
      </c>
      <c r="D388" s="14" t="inlineStr">
        <is>
          <t>P@dulera. (7984420730)</t>
        </is>
      </c>
      <c r="E388" s="14" t="inlineStr">
        <is>
          <t>Zeel Mudaliyar</t>
        </is>
      </c>
      <c r="F388" s="14" t="inlineStr">
        <is>
          <t>Interested</t>
        </is>
      </c>
      <c r="G388" s="14" t="inlineStr">
        <is>
          <t>Not Assigned</t>
        </is>
      </c>
      <c r="H388" s="14" t="inlineStr">
        <is>
          <t>N/A (Not Assigned)</t>
        </is>
      </c>
      <c r="I388" s="14" t="inlineStr">
        <is>
          <t>-</t>
        </is>
      </c>
    </row>
    <row r="389" ht="20" customHeight="1">
      <c r="A389" s="58" t="n">
        <v>46274.59513686343</v>
      </c>
      <c r="B389" s="19" t="inlineStr">
        <is>
          <t>3. This Month (Sep 2026)</t>
        </is>
      </c>
      <c r="C389" s="17" t="inlineStr">
        <is>
          <t>Meta Ads (NB PropertyTech Rental Ad 0408)</t>
        </is>
      </c>
      <c r="D389" s="17" t="inlineStr">
        <is>
          <t>Nayna Vadher (8866858932)</t>
        </is>
      </c>
      <c r="E389" s="17" t="inlineStr">
        <is>
          <t>Zeel Mudaliyar</t>
        </is>
      </c>
      <c r="F389" s="17" t="inlineStr">
        <is>
          <t>Rejected / Lost</t>
        </is>
      </c>
      <c r="G389" s="17" t="inlineStr">
        <is>
          <t>Not Assigned</t>
        </is>
      </c>
      <c r="H389" s="17" t="inlineStr">
        <is>
          <t>N/A (Not Assigned)</t>
        </is>
      </c>
      <c r="I389" s="17" t="inlineStr">
        <is>
          <t>Followup: Details are pending</t>
        </is>
      </c>
    </row>
    <row r="390" ht="20" customHeight="1">
      <c r="A390" s="57" t="n">
        <v>46274.56338166667</v>
      </c>
      <c r="B390" s="16" t="inlineStr">
        <is>
          <t>3. This Month (Sep 2026)</t>
        </is>
      </c>
      <c r="C390" s="14" t="inlineStr">
        <is>
          <t>Meta Ads (NB PropertyTech Rental Ad 0408)</t>
        </is>
      </c>
      <c r="D390" s="14" t="inlineStr">
        <is>
          <t>Mohit Modi (9409143526)</t>
        </is>
      </c>
      <c r="E390" s="14" t="inlineStr">
        <is>
          <t>Unassigned</t>
        </is>
      </c>
      <c r="F390" s="14" t="inlineStr">
        <is>
          <t>CNR (Could Not Reach)</t>
        </is>
      </c>
      <c r="G390" s="14" t="inlineStr">
        <is>
          <t>Not Assigned</t>
        </is>
      </c>
      <c r="H390" s="14" t="inlineStr">
        <is>
          <t>N/A (Not Assigned)</t>
        </is>
      </c>
      <c r="I390" s="14" t="inlineStr">
        <is>
          <t>-</t>
        </is>
      </c>
    </row>
    <row r="391" ht="20" customHeight="1">
      <c r="A391" s="58" t="n">
        <v>46274.47673763889</v>
      </c>
      <c r="B391" s="19" t="inlineStr">
        <is>
          <t>3. This Month (Sep 2026)</t>
        </is>
      </c>
      <c r="C391" s="17" t="inlineStr">
        <is>
          <t>Meta Ads (NB PropertyTech Rental Ad 0408)</t>
        </is>
      </c>
      <c r="D391" s="17" t="inlineStr">
        <is>
          <t>Daksha Kanzariya (8160960757)</t>
        </is>
      </c>
      <c r="E391" s="17" t="inlineStr">
        <is>
          <t>Zeel Mudaliyar</t>
        </is>
      </c>
      <c r="F391" s="17" t="inlineStr">
        <is>
          <t>Rejected / Lost</t>
        </is>
      </c>
      <c r="G391" s="17" t="inlineStr">
        <is>
          <t>Not Assigned</t>
        </is>
      </c>
      <c r="H391" s="17" t="inlineStr">
        <is>
          <t>N/A (Not Assigned)</t>
        </is>
      </c>
      <c r="I391" s="17" t="inlineStr">
        <is>
          <t>Followup: CNR</t>
        </is>
      </c>
    </row>
    <row r="392" ht="20" customHeight="1">
      <c r="A392" s="57" t="n">
        <v>46274.38691988426</v>
      </c>
      <c r="B392" s="16" t="inlineStr">
        <is>
          <t>3. This Month (Sep 2026)</t>
        </is>
      </c>
      <c r="C392" s="14" t="inlineStr">
        <is>
          <t>Meta Ads (NB PropertyTech Rental Ad 0408)</t>
        </is>
      </c>
      <c r="D392" s="14" t="inlineStr">
        <is>
          <t>Bhadresh Dave (9537000911)</t>
        </is>
      </c>
      <c r="E392" s="14" t="inlineStr">
        <is>
          <t>Zeel Mudaliyar</t>
        </is>
      </c>
      <c r="F392" s="14" t="inlineStr">
        <is>
          <t>Listed</t>
        </is>
      </c>
      <c r="G392" s="14" t="inlineStr">
        <is>
          <t>Not Assigned</t>
        </is>
      </c>
      <c r="H392" s="14" t="inlineStr">
        <is>
          <t>N/A (Not Assigned)</t>
        </is>
      </c>
      <c r="I392" s="14" t="inlineStr">
        <is>
          <t>-</t>
        </is>
      </c>
    </row>
    <row r="393" ht="20" customHeight="1">
      <c r="A393" s="58" t="n">
        <v>46274.02716258102</v>
      </c>
      <c r="B393" s="19" t="inlineStr">
        <is>
          <t>3. This Month (Sep 2026)</t>
        </is>
      </c>
      <c r="C393" s="17" t="inlineStr">
        <is>
          <t>Meta Ads (NB PropertyTech Rental Ad 0408)</t>
        </is>
      </c>
      <c r="D393" s="17" t="inlineStr">
        <is>
          <t>Rajubhai Shah (9427005051)</t>
        </is>
      </c>
      <c r="E393" s="17" t="inlineStr">
        <is>
          <t>Zeel Mudaliyar</t>
        </is>
      </c>
      <c r="F393" s="17" t="inlineStr">
        <is>
          <t>New</t>
        </is>
      </c>
      <c r="G393" s="17" t="inlineStr">
        <is>
          <t>Not Assigned</t>
        </is>
      </c>
      <c r="H393" s="17" t="inlineStr">
        <is>
          <t>N/A (Not Assigned)</t>
        </is>
      </c>
      <c r="I393" s="17" t="inlineStr">
        <is>
          <t>-</t>
        </is>
      </c>
    </row>
    <row r="394" ht="20" customHeight="1">
      <c r="A394" s="57" t="n">
        <v>46274.01910908565</v>
      </c>
      <c r="B394" s="16" t="inlineStr">
        <is>
          <t>3. This Month (Sep 2026)</t>
        </is>
      </c>
      <c r="C394" s="14" t="inlineStr">
        <is>
          <t>Meta Ads (NB PropertyTech Rental Ad 0408)</t>
        </is>
      </c>
      <c r="D394" s="14" t="inlineStr">
        <is>
          <t>Mehul Soni (9904721565)</t>
        </is>
      </c>
      <c r="E394" s="14" t="inlineStr">
        <is>
          <t>Zeel Mudaliyar</t>
        </is>
      </c>
      <c r="F394" s="14" t="inlineStr">
        <is>
          <t>New</t>
        </is>
      </c>
      <c r="G394" s="14" t="inlineStr">
        <is>
          <t>Not Assigned</t>
        </is>
      </c>
      <c r="H394" s="14" t="inlineStr">
        <is>
          <t>N/A (Not Assigned)</t>
        </is>
      </c>
      <c r="I394" s="14" t="inlineStr">
        <is>
          <t>-</t>
        </is>
      </c>
    </row>
    <row r="395" ht="20" customHeight="1">
      <c r="A395" s="58" t="n">
        <v>46274.00457844907</v>
      </c>
      <c r="B395" s="19" t="inlineStr">
        <is>
          <t>3. This Month (Sep 2026)</t>
        </is>
      </c>
      <c r="C395" s="17" t="inlineStr">
        <is>
          <t>Meta Ads (NB PropertyTech Rental Ad 0408)</t>
        </is>
      </c>
      <c r="D395" s="17" t="inlineStr">
        <is>
          <t>Mamta Vora (8780327185)</t>
        </is>
      </c>
      <c r="E395" s="17" t="inlineStr">
        <is>
          <t>Zeel Mudaliyar</t>
        </is>
      </c>
      <c r="F395" s="17" t="inlineStr">
        <is>
          <t>Listed</t>
        </is>
      </c>
      <c r="G395" s="17" t="inlineStr">
        <is>
          <t>Not Assigned</t>
        </is>
      </c>
      <c r="H395" s="17" t="inlineStr">
        <is>
          <t>N/A (Not Assigned)</t>
        </is>
      </c>
      <c r="I395" s="17" t="inlineStr">
        <is>
          <t>Followup: Pictures are pending</t>
        </is>
      </c>
    </row>
    <row r="396" ht="20" customHeight="1">
      <c r="A396" s="57" t="n">
        <v>46273.93477614583</v>
      </c>
      <c r="B396" s="16" t="inlineStr">
        <is>
          <t>3. This Month (Sep 2026)</t>
        </is>
      </c>
      <c r="C396" s="14" t="inlineStr">
        <is>
          <t>Meta Ads (NB PropertyTech Rental Ad 0408)</t>
        </is>
      </c>
      <c r="D396" s="14" t="inlineStr">
        <is>
          <t>𝓟𝓻𝓪𝓭𝓮𝓮𝓹 𝓟𝓲𝓽𝓱𝓪𝓭𝓲𝔂𝓪 (9016337978)</t>
        </is>
      </c>
      <c r="E396" s="14" t="inlineStr">
        <is>
          <t>Zeel Mudaliyar</t>
        </is>
      </c>
      <c r="F396" s="14" t="inlineStr">
        <is>
          <t>Interested</t>
        </is>
      </c>
      <c r="G396" s="14" t="inlineStr">
        <is>
          <t>Not Assigned</t>
        </is>
      </c>
      <c r="H396" s="14" t="inlineStr">
        <is>
          <t>N/A (Not Assigned)</t>
        </is>
      </c>
      <c r="I396" s="14" t="inlineStr">
        <is>
          <t>-</t>
        </is>
      </c>
    </row>
    <row r="397" ht="20" customHeight="1">
      <c r="A397" s="58" t="n">
        <v>46273.91588891204</v>
      </c>
      <c r="B397" s="19" t="inlineStr">
        <is>
          <t>3. This Month (Sep 2026)</t>
        </is>
      </c>
      <c r="C397" s="17" t="inlineStr">
        <is>
          <t>Meta Ads (NB PropertyTech Rental Ad 0408)</t>
        </is>
      </c>
      <c r="D397" s="17" t="inlineStr">
        <is>
          <t>Dhaval Darji (9967329888)</t>
        </is>
      </c>
      <c r="E397" s="17" t="inlineStr">
        <is>
          <t>Prexa Vithalapara</t>
        </is>
      </c>
      <c r="F397" s="17" t="inlineStr">
        <is>
          <t>New</t>
        </is>
      </c>
      <c r="G397" s="17" t="inlineStr">
        <is>
          <t>Not Assigned</t>
        </is>
      </c>
      <c r="H397" s="17" t="inlineStr">
        <is>
          <t>N/A (Not Assigned)</t>
        </is>
      </c>
      <c r="I397" s="17" t="inlineStr">
        <is>
          <t>-</t>
        </is>
      </c>
    </row>
    <row r="398" ht="20" customHeight="1">
      <c r="A398" s="57" t="n">
        <v>46273.86227989583</v>
      </c>
      <c r="B398" s="16" t="inlineStr">
        <is>
          <t>3. This Month (Sep 2026)</t>
        </is>
      </c>
      <c r="C398" s="14" t="inlineStr">
        <is>
          <t>Meta Ads (NB PropertyTech Rental Ad 0408)</t>
        </is>
      </c>
      <c r="D398" s="14" t="inlineStr">
        <is>
          <t>Nilesh Soni (9099986026)</t>
        </is>
      </c>
      <c r="E398" s="14" t="inlineStr">
        <is>
          <t>Zeel Mudaliyar</t>
        </is>
      </c>
      <c r="F398" s="14" t="inlineStr">
        <is>
          <t>Interested</t>
        </is>
      </c>
      <c r="G398" s="14" t="inlineStr">
        <is>
          <t>Not Assigned</t>
        </is>
      </c>
      <c r="H398" s="14" t="inlineStr">
        <is>
          <t>N/A (Not Assigned)</t>
        </is>
      </c>
      <c r="I398" s="14" t="inlineStr">
        <is>
          <t>Property Remark: 2500 maintenance</t>
        </is>
      </c>
    </row>
    <row r="399" ht="20" customHeight="1">
      <c r="A399" s="58" t="n">
        <v>46273.76557846065</v>
      </c>
      <c r="B399" s="19" t="inlineStr">
        <is>
          <t>3. This Month (Sep 2026)</t>
        </is>
      </c>
      <c r="C399" s="17" t="inlineStr">
        <is>
          <t>Meta Ads (NB PropertyTech Rental Ad 0408)</t>
        </is>
      </c>
      <c r="D399" s="17" t="inlineStr">
        <is>
          <t>Bipin Samani (9824227428)</t>
        </is>
      </c>
      <c r="E399" s="17" t="inlineStr">
        <is>
          <t>Zeel Mudaliyar</t>
        </is>
      </c>
      <c r="F399" s="17" t="inlineStr">
        <is>
          <t>New</t>
        </is>
      </c>
      <c r="G399" s="17" t="inlineStr">
        <is>
          <t>Not Assigned</t>
        </is>
      </c>
      <c r="H399" s="17" t="inlineStr">
        <is>
          <t>N/A (Not Assigned)</t>
        </is>
      </c>
      <c r="I399" s="17" t="inlineStr">
        <is>
          <t>-</t>
        </is>
      </c>
    </row>
    <row r="400" ht="20" customHeight="1">
      <c r="A400" s="57" t="n">
        <v>46273.69394945602</v>
      </c>
      <c r="B400" s="16" t="inlineStr">
        <is>
          <t>3. This Month (Sep 2026)</t>
        </is>
      </c>
      <c r="C400" s="14" t="inlineStr">
        <is>
          <t>Meta Ads (NB PropertyTech Rental Ad 0408)</t>
        </is>
      </c>
      <c r="D400" s="14" t="inlineStr">
        <is>
          <t>Margish Joshi (9824131889)</t>
        </is>
      </c>
      <c r="E400" s="14" t="inlineStr">
        <is>
          <t>Zeel Mudaliyar</t>
        </is>
      </c>
      <c r="F400" s="14" t="inlineStr">
        <is>
          <t>Interested</t>
        </is>
      </c>
      <c r="G400" s="14" t="inlineStr">
        <is>
          <t>Not Assigned</t>
        </is>
      </c>
      <c r="H400" s="14" t="inlineStr">
        <is>
          <t>N/A (Not Assigned)</t>
        </is>
      </c>
      <c r="I400" s="14" t="inlineStr">
        <is>
          <t>-</t>
        </is>
      </c>
    </row>
    <row r="401" ht="20" customHeight="1">
      <c r="A401" s="58" t="n">
        <v>46273.6348427662</v>
      </c>
      <c r="B401" s="19" t="inlineStr">
        <is>
          <t>3. This Month (Sep 2026)</t>
        </is>
      </c>
      <c r="C401" s="17" t="inlineStr">
        <is>
          <t>Meta Ads (NB PropertyTech Rental Ad 0408)</t>
        </is>
      </c>
      <c r="D401" s="17" t="inlineStr">
        <is>
          <t>Pravin Vaghela (9924182477)</t>
        </is>
      </c>
      <c r="E401" s="17" t="inlineStr">
        <is>
          <t>Zeel Mudaliyar</t>
        </is>
      </c>
      <c r="F401" s="17" t="inlineStr">
        <is>
          <t>New</t>
        </is>
      </c>
      <c r="G401" s="17" t="inlineStr">
        <is>
          <t>Not Assigned</t>
        </is>
      </c>
      <c r="H401" s="17" t="inlineStr">
        <is>
          <t>N/A (Not Assigned)</t>
        </is>
      </c>
      <c r="I401" s="17" t="inlineStr">
        <is>
          <t>-</t>
        </is>
      </c>
    </row>
    <row r="402" ht="20" customHeight="1">
      <c r="A402" s="57" t="n">
        <v>46273.46781079861</v>
      </c>
      <c r="B402" s="16" t="inlineStr">
        <is>
          <t>3. This Month (Sep 2026)</t>
        </is>
      </c>
      <c r="C402" s="14" t="inlineStr">
        <is>
          <t>Meta Ads</t>
        </is>
      </c>
      <c r="D402" s="14" t="inlineStr">
        <is>
          <t>Meta Lead (9980000000)</t>
        </is>
      </c>
      <c r="E402" s="14" t="inlineStr">
        <is>
          <t>Zeel Mudaliyar</t>
        </is>
      </c>
      <c r="F402" s="14" t="inlineStr">
        <is>
          <t>New</t>
        </is>
      </c>
      <c r="G402" s="14" t="inlineStr">
        <is>
          <t>Not Assigned</t>
        </is>
      </c>
      <c r="H402" s="14" t="inlineStr">
        <is>
          <t>N/A (Not Assigned)</t>
        </is>
      </c>
      <c r="I402" s="14" t="inlineStr">
        <is>
          <t>-</t>
        </is>
      </c>
    </row>
    <row r="403" ht="20" customHeight="1">
      <c r="A403" s="58" t="n">
        <v>46273.46780268518</v>
      </c>
      <c r="B403" s="19" t="inlineStr">
        <is>
          <t>3. This Month (Sep 2026)</t>
        </is>
      </c>
      <c r="C403" s="17" t="inlineStr">
        <is>
          <t>Meta Ads (NB PropertyTech Rental Ad 0408)</t>
        </is>
      </c>
      <c r="D403" s="17" t="inlineStr">
        <is>
          <t>Mayur Nakarani (7069456181)</t>
        </is>
      </c>
      <c r="E403" s="17" t="inlineStr">
        <is>
          <t>Zeel Mudaliyar</t>
        </is>
      </c>
      <c r="F403" s="17" t="inlineStr">
        <is>
          <t>New</t>
        </is>
      </c>
      <c r="G403" s="17" t="inlineStr">
        <is>
          <t>Not Assigned</t>
        </is>
      </c>
      <c r="H403" s="17" t="inlineStr">
        <is>
          <t>N/A (Not Assigned)</t>
        </is>
      </c>
      <c r="I403" s="17" t="inlineStr">
        <is>
          <t>not inquired</t>
        </is>
      </c>
    </row>
    <row r="404" ht="20" customHeight="1">
      <c r="A404" s="57" t="n">
        <v>46291.58962253472</v>
      </c>
      <c r="B404" s="29" t="inlineStr">
        <is>
          <t>2. This Week (Last 7 Days)</t>
        </is>
      </c>
      <c r="C404" s="14" t="inlineStr">
        <is>
          <t>Direct Property / Walk-in</t>
        </is>
      </c>
      <c r="D404" s="14" t="inlineStr">
        <is>
          <t>Aakash 2 - Karan bhai (9510877481</t>
        </is>
      </c>
      <c r="E404" s="14" t="inlineStr">
        <is>
          <t>Direct CRM Listing</t>
        </is>
      </c>
      <c r="F404" s="14" t="inlineStr">
        <is>
          <t>Listed on PropKart (Rented Out)</t>
        </is>
      </c>
      <c r="G404" s="14" t="inlineStr">
        <is>
          <t>Rajan Purani</t>
        </is>
      </c>
      <c r="H404" s="14" t="inlineStr">
        <is>
          <t>Onboarded (Rented Out)</t>
        </is>
      </c>
      <c r="I404" s="14" t="inlineStr">
        <is>
          <t>-</t>
        </is>
      </c>
    </row>
    <row r="405" ht="20" customHeight="1">
      <c r="A405" s="58" t="n">
        <v>46290.70731293981</v>
      </c>
      <c r="B405" s="28" t="inlineStr">
        <is>
          <t>2. This Week (Last 7 Days)</t>
        </is>
      </c>
      <c r="C405" s="17" t="inlineStr">
        <is>
          <t>Direct Property / Walk-in</t>
        </is>
      </c>
      <c r="D405" s="17" t="inlineStr">
        <is>
          <t>Kameshwar elite 140 - Jignesh mandlecha (7990733327</t>
        </is>
      </c>
      <c r="E405" s="17" t="inlineStr">
        <is>
          <t>Direct CRM Listing</t>
        </is>
      </c>
      <c r="F405" s="17" t="inlineStr">
        <is>
          <t>Listed on PropKart (Available)</t>
        </is>
      </c>
      <c r="G405" s="17" t="inlineStr">
        <is>
          <t>Propkart Admin</t>
        </is>
      </c>
      <c r="H405" s="17" t="inlineStr">
        <is>
          <t>Onboarded (Available)</t>
        </is>
      </c>
      <c r="I405" s="17" t="inlineStr">
        <is>
          <t>curtain rod, modular kitchen, fan and lights, bird nett, exhaust fan in Bathroom and kichen, adani Gas line</t>
        </is>
      </c>
    </row>
    <row r="406" ht="20" customHeight="1">
      <c r="A406" s="57" t="n">
        <v>46290.6363352662</v>
      </c>
      <c r="B406" s="29" t="inlineStr">
        <is>
          <t>2. This Week (Last 7 Days)</t>
        </is>
      </c>
      <c r="C406" s="14" t="inlineStr">
        <is>
          <t>Direct Property / Walk-in</t>
        </is>
      </c>
      <c r="D406" s="14" t="inlineStr">
        <is>
          <t>Ratnadeep Complex - Pathik Brahmkshatriya (9727603446</t>
        </is>
      </c>
      <c r="E406" s="14" t="inlineStr">
        <is>
          <t>Direct CRM Listing</t>
        </is>
      </c>
      <c r="F406" s="14" t="inlineStr">
        <is>
          <t>Listed on PropKart (Available)</t>
        </is>
      </c>
      <c r="G406" s="14" t="inlineStr">
        <is>
          <t>Propkart Admin</t>
        </is>
      </c>
      <c r="H406" s="14" t="inlineStr">
        <is>
          <t>Onboarded (Available)</t>
        </is>
      </c>
      <c r="I406" s="14" t="inlineStr">
        <is>
          <t>Two Split ACs, Sofa (3+2), Dining Table with 4 Chairs, CNG Gas connection, Refrigerator, Furnished Kitchen with store room, Center table, Dressing Table, Wardrobes, Double bed with Mattresses, Temple Altar</t>
        </is>
      </c>
    </row>
    <row r="407" ht="20" customHeight="1">
      <c r="A407" s="58" t="n">
        <v>46290.54673900463</v>
      </c>
      <c r="B407" s="28" t="inlineStr">
        <is>
          <t>2. This Week (Last 7 Days)</t>
        </is>
      </c>
      <c r="C407" s="17" t="inlineStr">
        <is>
          <t>Direct Property / Walk-in</t>
        </is>
      </c>
      <c r="D407" s="17" t="inlineStr">
        <is>
          <t>Suyash Status , Near Capital 1 Science city - Viral bhai (9016134878</t>
        </is>
      </c>
      <c r="E407" s="17" t="inlineStr">
        <is>
          <t>Direct CRM Listing</t>
        </is>
      </c>
      <c r="F407" s="17" t="inlineStr">
        <is>
          <t>Listed on PropKart (Available)</t>
        </is>
      </c>
      <c r="G407" s="17" t="inlineStr">
        <is>
          <t>Propkart Admin</t>
        </is>
      </c>
      <c r="H407" s="17" t="inlineStr">
        <is>
          <t>Onboarded (Available)</t>
        </is>
      </c>
      <c r="I407" s="17" t="inlineStr">
        <is>
          <t>Viral bhai ae aa property mokli che 
other details mate Viral bhai ne contact kro</t>
        </is>
      </c>
    </row>
    <row r="408" ht="20" customHeight="1">
      <c r="A408" s="57" t="n">
        <v>46289.92418684028</v>
      </c>
      <c r="B408" s="29" t="inlineStr">
        <is>
          <t>2. This Week (Last 7 Days)</t>
        </is>
      </c>
      <c r="C408" s="14" t="inlineStr">
        <is>
          <t>Direct Property / Walk-in</t>
        </is>
      </c>
      <c r="D408" s="14" t="inlineStr">
        <is>
          <t>shivanta regel zundal - karan bhai (9227087898</t>
        </is>
      </c>
      <c r="E408" s="14" t="inlineStr">
        <is>
          <t>Direct CRM Listing</t>
        </is>
      </c>
      <c r="F408" s="14" t="inlineStr">
        <is>
          <t>Listed on PropKart (Available)</t>
        </is>
      </c>
      <c r="G408" s="14" t="inlineStr">
        <is>
          <t>Rakesh Jadav</t>
        </is>
      </c>
      <c r="H408" s="14" t="inlineStr">
        <is>
          <t>Onboarded (Available)</t>
        </is>
      </c>
      <c r="I408" s="14" t="inlineStr">
        <is>
          <t>invester flate che sara rate ma</t>
        </is>
      </c>
    </row>
    <row r="409" ht="20" customHeight="1">
      <c r="A409" s="58" t="n">
        <v>46289.78695744213</v>
      </c>
      <c r="B409" s="28" t="inlineStr">
        <is>
          <t>2. This Week (Last 7 Days)</t>
        </is>
      </c>
      <c r="C409" s="17" t="inlineStr">
        <is>
          <t>Direct Property / Walk-in</t>
        </is>
      </c>
      <c r="D409" s="17" t="inlineStr">
        <is>
          <t>super city bhadaj - indu ben (9427132974</t>
        </is>
      </c>
      <c r="E409" s="17" t="inlineStr">
        <is>
          <t>Direct CRM Listing</t>
        </is>
      </c>
      <c r="F409" s="17" t="inlineStr">
        <is>
          <t>Listed on PropKart (Rented Out)</t>
        </is>
      </c>
      <c r="G409" s="17" t="inlineStr">
        <is>
          <t>Rakesh Jadav</t>
        </is>
      </c>
      <c r="H409" s="17" t="inlineStr">
        <is>
          <t>Onboarded (Rented Out)</t>
        </is>
      </c>
      <c r="I409" s="17" t="inlineStr">
        <is>
          <t>-</t>
        </is>
      </c>
    </row>
    <row r="410" ht="20" customHeight="1">
      <c r="A410" s="57" t="n">
        <v>46288.54560560185</v>
      </c>
      <c r="B410" s="29" t="inlineStr">
        <is>
          <t>2. This Week (Last 7 Days)</t>
        </is>
      </c>
      <c r="C410" s="14" t="inlineStr">
        <is>
          <t>Direct Property / Walk-in</t>
        </is>
      </c>
      <c r="D410" s="14" t="inlineStr">
        <is>
          <t>GOYAL PALLADIUM - Nishita Shah (9427601721</t>
        </is>
      </c>
      <c r="E410" s="14" t="inlineStr">
        <is>
          <t>Direct CRM Listing</t>
        </is>
      </c>
      <c r="F410" s="14" t="inlineStr">
        <is>
          <t>Listed on PropKart (Available)</t>
        </is>
      </c>
      <c r="G410" s="14" t="inlineStr">
        <is>
          <t>Daksh Jasoliya</t>
        </is>
      </c>
      <c r="H410" s="14" t="inlineStr">
        <is>
          <t>Onboarded (Available)</t>
        </is>
      </c>
      <c r="I410" s="14" t="inlineStr">
        <is>
          <t>2 AC, Partion
Maintenance Charges separate</t>
        </is>
      </c>
    </row>
    <row r="411" ht="20" customHeight="1">
      <c r="A411" s="58" t="n">
        <v>46287.7227947338</v>
      </c>
      <c r="B411" s="28" t="inlineStr">
        <is>
          <t>2. This Week (Last 7 Days)</t>
        </is>
      </c>
      <c r="C411" s="17" t="inlineStr">
        <is>
          <t>Direct Property / Walk-in</t>
        </is>
      </c>
      <c r="D411" s="17" t="inlineStr">
        <is>
          <t>Shivam Appartment - Dhaval Patel (9558630687</t>
        </is>
      </c>
      <c r="E411" s="17" t="inlineStr">
        <is>
          <t>Direct CRM Listing</t>
        </is>
      </c>
      <c r="F411" s="17" t="inlineStr">
        <is>
          <t>Listed on PropKart (Rented Out)</t>
        </is>
      </c>
      <c r="G411" s="17" t="inlineStr">
        <is>
          <t>Daksh Jasoliya</t>
        </is>
      </c>
      <c r="H411" s="17" t="inlineStr">
        <is>
          <t>Onboarded (Rented Out)</t>
        </is>
      </c>
      <c r="I411" s="17" t="inlineStr">
        <is>
          <t>Sofa, Double Bed, Dining table + warddrobe + 2 extra bed + modular kitchen, all fan + light + curtain + 2 AC point + 2 no water tank for water storage
Maintenance 2500 annually</t>
        </is>
      </c>
    </row>
    <row r="412" ht="20" customHeight="1">
      <c r="A412" s="57" t="n">
        <v>46287.49392215277</v>
      </c>
      <c r="B412" s="29" t="inlineStr">
        <is>
          <t>2. This Week (Last 7 Days)</t>
        </is>
      </c>
      <c r="C412" s="14" t="inlineStr">
        <is>
          <t>Direct Property / Walk-in</t>
        </is>
      </c>
      <c r="D412" s="14" t="inlineStr">
        <is>
          <t>Pramukh park - Rajveet Singh (8264292166</t>
        </is>
      </c>
      <c r="E412" s="14" t="inlineStr">
        <is>
          <t>Direct CRM Listing</t>
        </is>
      </c>
      <c r="F412" s="14" t="inlineStr">
        <is>
          <t>Listed on PropKart (Available)</t>
        </is>
      </c>
      <c r="G412" s="14" t="inlineStr">
        <is>
          <t>Daksh Jasoliya</t>
        </is>
      </c>
      <c r="H412" s="14" t="inlineStr">
        <is>
          <t>Onboarded (Available)</t>
        </is>
      </c>
      <c r="I412" s="14" t="inlineStr">
        <is>
          <t>No Brokerage</t>
        </is>
      </c>
    </row>
    <row r="413" ht="20" customHeight="1">
      <c r="A413" s="58" t="n">
        <v>46286.52489298611</v>
      </c>
      <c r="B413" s="19" t="inlineStr">
        <is>
          <t>3. This Month (Sep 2026)</t>
        </is>
      </c>
      <c r="C413" s="17" t="inlineStr">
        <is>
          <t>Direct Property / Walk-in</t>
        </is>
      </c>
      <c r="D413" s="17" t="inlineStr">
        <is>
          <t>osjdvn - aosdjfn (2222222222</t>
        </is>
      </c>
      <c r="E413" s="17" t="inlineStr">
        <is>
          <t>Direct CRM Listing</t>
        </is>
      </c>
      <c r="F413" s="17" t="inlineStr">
        <is>
          <t>Listed on PropKart (Available)</t>
        </is>
      </c>
      <c r="G413" s="17" t="inlineStr">
        <is>
          <t>Propkart Admin</t>
        </is>
      </c>
      <c r="H413" s="17" t="inlineStr">
        <is>
          <t>Onboarded (Available)</t>
        </is>
      </c>
      <c r="I413" s="17" t="inlineStr">
        <is>
          <t>wepgvkmn</t>
        </is>
      </c>
    </row>
    <row r="414" ht="20" customHeight="1">
      <c r="A414" s="57" t="n">
        <v>46286.48266606482</v>
      </c>
      <c r="B414" s="16" t="inlineStr">
        <is>
          <t>3. This Month (Sep 2026)</t>
        </is>
      </c>
      <c r="C414" s="14" t="inlineStr">
        <is>
          <t>Direct Property / Walk-in</t>
        </is>
      </c>
      <c r="D414" s="14" t="inlineStr">
        <is>
          <t>Shashtrinagar - Jaimin Rathod (9016134877</t>
        </is>
      </c>
      <c r="E414" s="14" t="inlineStr">
        <is>
          <t>Direct CRM Listing</t>
        </is>
      </c>
      <c r="F414" s="14" t="inlineStr">
        <is>
          <t>Listed on PropKart (Rented Out)</t>
        </is>
      </c>
      <c r="G414" s="14" t="inlineStr">
        <is>
          <t>Daksh Jasoliya</t>
        </is>
      </c>
      <c r="H414" s="14" t="inlineStr">
        <is>
          <t>Onboarded (Rented Out)</t>
        </is>
      </c>
      <c r="I414" s="14" t="inlineStr">
        <is>
          <t>-</t>
        </is>
      </c>
    </row>
    <row r="415" ht="20" customHeight="1">
      <c r="A415" s="58" t="n">
        <v>46284.73942607639</v>
      </c>
      <c r="B415" s="19" t="inlineStr">
        <is>
          <t>3. This Month (Sep 2026)</t>
        </is>
      </c>
      <c r="C415" s="17" t="inlineStr">
        <is>
          <t>Direct Property / Walk-in</t>
        </is>
      </c>
      <c r="D415" s="17" t="inlineStr">
        <is>
          <t>testing property - kjdkcjas (1326568979</t>
        </is>
      </c>
      <c r="E415" s="17" t="inlineStr">
        <is>
          <t>Direct CRM Listing</t>
        </is>
      </c>
      <c r="F415" s="17" t="inlineStr">
        <is>
          <t>Listed on PropKart (Available)</t>
        </is>
      </c>
      <c r="G415" s="17" t="inlineStr">
        <is>
          <t>Propkart Admin</t>
        </is>
      </c>
      <c r="H415" s="17" t="inlineStr">
        <is>
          <t>Onboarded (Available)</t>
        </is>
      </c>
      <c r="I415" s="17">
        <f>---</f>
        <v/>
      </c>
    </row>
    <row r="416" ht="20" customHeight="1">
      <c r="A416" s="57" t="n">
        <v>46284.69495606481</v>
      </c>
      <c r="B416" s="16" t="inlineStr">
        <is>
          <t>3. This Month (Sep 2026)</t>
        </is>
      </c>
      <c r="C416" s="14" t="inlineStr">
        <is>
          <t>Direct Property / Walk-in</t>
        </is>
      </c>
      <c r="D416" s="14" t="inlineStr">
        <is>
          <t>Shree Krishna Center, near Bank Of Baroda - Sunil Chaterjee (6353676023</t>
        </is>
      </c>
      <c r="E416" s="14" t="inlineStr">
        <is>
          <t>Direct CRM Listing</t>
        </is>
      </c>
      <c r="F416" s="14" t="inlineStr">
        <is>
          <t>Listed on PropKart (Available)</t>
        </is>
      </c>
      <c r="G416" s="14" t="inlineStr">
        <is>
          <t>Zeel Mudaliyar</t>
        </is>
      </c>
      <c r="H416" s="14" t="inlineStr">
        <is>
          <t>Onboarded (Available)</t>
        </is>
      </c>
      <c r="I416" s="14" t="inlineStr">
        <is>
          <t>-</t>
        </is>
      </c>
    </row>
    <row r="417" ht="20" customHeight="1">
      <c r="A417" s="58" t="n">
        <v>46284.67747395833</v>
      </c>
      <c r="B417" s="19" t="inlineStr">
        <is>
          <t>3. This Month (Sep 2026)</t>
        </is>
      </c>
      <c r="C417" s="17" t="inlineStr">
        <is>
          <t>Direct Property / Walk-in</t>
        </is>
      </c>
      <c r="D417" s="17" t="inlineStr">
        <is>
          <t>Aakash Residency - Bhadresh Solanki (9825005069</t>
        </is>
      </c>
      <c r="E417" s="17" t="inlineStr">
        <is>
          <t>Direct CRM Listing</t>
        </is>
      </c>
      <c r="F417" s="17" t="inlineStr">
        <is>
          <t>Listed on PropKart (Available)</t>
        </is>
      </c>
      <c r="G417" s="17" t="inlineStr">
        <is>
          <t>Daksh Jasoliya</t>
        </is>
      </c>
      <c r="H417" s="17" t="inlineStr">
        <is>
          <t>Onboarded (Available)</t>
        </is>
      </c>
      <c r="I417" s="17" t="inlineStr">
        <is>
          <t>-</t>
        </is>
      </c>
    </row>
    <row r="418" ht="20" customHeight="1">
      <c r="A418" s="57" t="n">
        <v>46284.66752636574</v>
      </c>
      <c r="B418" s="16" t="inlineStr">
        <is>
          <t>3. This Month (Sep 2026)</t>
        </is>
      </c>
      <c r="C418" s="14" t="inlineStr">
        <is>
          <t>Direct Property / Walk-in</t>
        </is>
      </c>
      <c r="D418" s="14" t="inlineStr">
        <is>
          <t>Shyamvilla Bungalows - Pratik bhai (9228121713</t>
        </is>
      </c>
      <c r="E418" s="14" t="inlineStr">
        <is>
          <t>Direct CRM Listing</t>
        </is>
      </c>
      <c r="F418" s="14" t="inlineStr">
        <is>
          <t>Listed on PropKart (Available)</t>
        </is>
      </c>
      <c r="G418" s="14" t="inlineStr">
        <is>
          <t>Daksh Jasoliya</t>
        </is>
      </c>
      <c r="H418" s="14" t="inlineStr">
        <is>
          <t>Onboarded (Available)</t>
        </is>
      </c>
      <c r="I418" s="14" t="inlineStr">
        <is>
          <t>-</t>
        </is>
      </c>
    </row>
    <row r="419" ht="20" customHeight="1">
      <c r="A419" s="58" t="n">
        <v>46284.4481094213</v>
      </c>
      <c r="B419" s="19" t="inlineStr">
        <is>
          <t>3. This Month (Sep 2026)</t>
        </is>
      </c>
      <c r="C419" s="17" t="inlineStr">
        <is>
          <t>Direct Property / Walk-in</t>
        </is>
      </c>
      <c r="D419" s="17" t="inlineStr">
        <is>
          <t>Shrifal Apartments Gota - Kishor bhai (9824940006</t>
        </is>
      </c>
      <c r="E419" s="17" t="inlineStr">
        <is>
          <t>Direct CRM Listing</t>
        </is>
      </c>
      <c r="F419" s="17" t="inlineStr">
        <is>
          <t>Listed on PropKart (Rented Out)</t>
        </is>
      </c>
      <c r="G419" s="17" t="inlineStr">
        <is>
          <t>Somel Rathod</t>
        </is>
      </c>
      <c r="H419" s="17" t="inlineStr">
        <is>
          <t>Onboarded (Rented Out)</t>
        </is>
      </c>
      <c r="I419" s="17" t="inlineStr">
        <is>
          <t>-</t>
        </is>
      </c>
    </row>
    <row r="420" ht="20" customHeight="1">
      <c r="A420" s="57" t="n">
        <v>46283.66760054398</v>
      </c>
      <c r="B420" s="16" t="inlineStr">
        <is>
          <t>3. This Month (Sep 2026)</t>
        </is>
      </c>
      <c r="C420" s="14" t="inlineStr">
        <is>
          <t>Direct Property / Walk-in</t>
        </is>
      </c>
      <c r="D420" s="14" t="inlineStr">
        <is>
          <t>Aroma Residency - Williams bhai (7096040390</t>
        </is>
      </c>
      <c r="E420" s="14" t="inlineStr">
        <is>
          <t>Direct CRM Listing</t>
        </is>
      </c>
      <c r="F420" s="14" t="inlineStr">
        <is>
          <t>Listed on PropKart (Available)</t>
        </is>
      </c>
      <c r="G420" s="14" t="inlineStr">
        <is>
          <t>Rajan Purani</t>
        </is>
      </c>
      <c r="H420" s="14" t="inlineStr">
        <is>
          <t>Onboarded (Available)</t>
        </is>
      </c>
      <c r="I420" s="14" t="inlineStr">
        <is>
          <t>-</t>
        </is>
      </c>
    </row>
    <row r="421" ht="20" customHeight="1">
      <c r="A421" s="58" t="n">
        <v>46282.72702335649</v>
      </c>
      <c r="B421" s="19" t="inlineStr">
        <is>
          <t>3. This Month (Sep 2026)</t>
        </is>
      </c>
      <c r="C421" s="17" t="inlineStr">
        <is>
          <t>Direct Property / Walk-in</t>
        </is>
      </c>
      <c r="D421" s="17" t="inlineStr">
        <is>
          <t>Goyal Mayfair - Vidhan bahi (9898779777</t>
        </is>
      </c>
      <c r="E421" s="17" t="inlineStr">
        <is>
          <t>Direct CRM Listing</t>
        </is>
      </c>
      <c r="F421" s="17" t="inlineStr">
        <is>
          <t>Listed on PropKart (Available)</t>
        </is>
      </c>
      <c r="G421" s="17" t="inlineStr">
        <is>
          <t>Rajan Purani</t>
        </is>
      </c>
      <c r="H421" s="17" t="inlineStr">
        <is>
          <t>Onboarded (Available)</t>
        </is>
      </c>
      <c r="I421" s="17" t="inlineStr">
        <is>
          <t>-</t>
        </is>
      </c>
    </row>
    <row r="422" ht="20" customHeight="1">
      <c r="A422" s="57" t="n">
        <v>46279.53592913195</v>
      </c>
      <c r="B422" s="16" t="inlineStr">
        <is>
          <t>3. This Month (Sep 2026)</t>
        </is>
      </c>
      <c r="C422" s="14" t="inlineStr">
        <is>
          <t>Direct Property / Walk-in</t>
        </is>
      </c>
      <c r="D422" s="14" t="inlineStr">
        <is>
          <t>saral privesh - Jagdish meen (9724176176</t>
        </is>
      </c>
      <c r="E422" s="14" t="inlineStr">
        <is>
          <t>Direct CRM Listing</t>
        </is>
      </c>
      <c r="F422" s="14" t="inlineStr">
        <is>
          <t>Listed on PropKart (Available)</t>
        </is>
      </c>
      <c r="G422" s="14" t="inlineStr">
        <is>
          <t>Rakesh Jadav</t>
        </is>
      </c>
      <c r="H422" s="14" t="inlineStr">
        <is>
          <t>Onboarded (Available)</t>
        </is>
      </c>
      <c r="I422" s="14" t="inlineStr">
        <is>
          <t>-</t>
        </is>
      </c>
    </row>
    <row r="423" ht="20" customHeight="1">
      <c r="A423" s="58" t="n">
        <v>46278.97036716435</v>
      </c>
      <c r="B423" s="19" t="inlineStr">
        <is>
          <t>3. This Month (Sep 2026)</t>
        </is>
      </c>
      <c r="C423" s="17" t="inlineStr">
        <is>
          <t>Direct Property / Walk-in</t>
        </is>
      </c>
      <c r="D423" s="17" t="inlineStr">
        <is>
          <t>Singapore - segsgdfg (1946758683</t>
        </is>
      </c>
      <c r="E423" s="17" t="inlineStr">
        <is>
          <t>Direct CRM Listing</t>
        </is>
      </c>
      <c r="F423" s="17" t="inlineStr">
        <is>
          <t>Listed on PropKart (Available)</t>
        </is>
      </c>
      <c r="G423" s="17" t="inlineStr">
        <is>
          <t>Propkart Admin</t>
        </is>
      </c>
      <c r="H423" s="17" t="inlineStr">
        <is>
          <t>Onboarded (Available)</t>
        </is>
      </c>
      <c r="I423" s="17" t="inlineStr">
        <is>
          <t>cscscac</t>
        </is>
      </c>
    </row>
    <row r="424" ht="20" customHeight="1">
      <c r="A424" s="57" t="n">
        <v>46275.7902925463</v>
      </c>
      <c r="B424" s="16" t="inlineStr">
        <is>
          <t>3. This Month (Sep 2026)</t>
        </is>
      </c>
      <c r="C424" s="14" t="inlineStr">
        <is>
          <t>Direct Property / Walk-in</t>
        </is>
      </c>
      <c r="D424" s="14" t="inlineStr">
        <is>
          <t>akash reccidency - SMITA MAM (9978937501</t>
        </is>
      </c>
      <c r="E424" s="14" t="inlineStr">
        <is>
          <t>Direct CRM Listing</t>
        </is>
      </c>
      <c r="F424" s="14" t="inlineStr">
        <is>
          <t>Listed on PropKart (Available)</t>
        </is>
      </c>
      <c r="G424" s="14" t="inlineStr">
        <is>
          <t>Rakesh Jadav</t>
        </is>
      </c>
      <c r="H424" s="14" t="inlineStr">
        <is>
          <t>Onboarded (Available)</t>
        </is>
      </c>
      <c r="I424" s="14" t="inlineStr">
        <is>
          <t>-</t>
        </is>
      </c>
    </row>
    <row r="425" ht="20" customHeight="1">
      <c r="A425" s="58" t="n">
        <v>46275.61529013889</v>
      </c>
      <c r="B425" s="19" t="inlineStr">
        <is>
          <t>3. This Month (Sep 2026)</t>
        </is>
      </c>
      <c r="C425" s="17" t="inlineStr">
        <is>
          <t>Direct Property / Walk-in</t>
        </is>
      </c>
      <c r="D425" s="17" t="inlineStr">
        <is>
          <t>Harmoni harikesh - Akhil Prajapati (8765432190</t>
        </is>
      </c>
      <c r="E425" s="17" t="inlineStr">
        <is>
          <t>Direct CRM Listing</t>
        </is>
      </c>
      <c r="F425" s="17" t="inlineStr">
        <is>
          <t>Listed on PropKart (Available)</t>
        </is>
      </c>
      <c r="G425" s="17" t="inlineStr">
        <is>
          <t>Propkart Admin</t>
        </is>
      </c>
      <c r="H425" s="17" t="inlineStr">
        <is>
          <t>Onboarded (Available)</t>
        </is>
      </c>
      <c r="I425" s="17" t="inlineStr">
        <is>
          <t>....</t>
        </is>
      </c>
    </row>
    <row r="426" ht="20" customHeight="1">
      <c r="A426" s="57" t="n">
        <v>46274.78870325231</v>
      </c>
      <c r="B426" s="16" t="inlineStr">
        <is>
          <t>3. This Month (Sep 2026)</t>
        </is>
      </c>
      <c r="C426" s="14" t="inlineStr">
        <is>
          <t>Direct Property / Walk-in</t>
        </is>
      </c>
      <c r="D426" s="14" t="inlineStr">
        <is>
          <t>Devsshi fatania - Devshi bhai (9265488925</t>
        </is>
      </c>
      <c r="E426" s="14" t="inlineStr">
        <is>
          <t>Direct CRM Listing</t>
        </is>
      </c>
      <c r="F426" s="14" t="inlineStr">
        <is>
          <t>Listed on PropKart (Available)</t>
        </is>
      </c>
      <c r="G426" s="14" t="inlineStr">
        <is>
          <t>Rakesh Jadav</t>
        </is>
      </c>
      <c r="H426" s="14" t="inlineStr">
        <is>
          <t>Onboarded (Available)</t>
        </is>
      </c>
      <c r="I426" s="14" t="inlineStr">
        <is>
          <t>-</t>
        </is>
      </c>
    </row>
    <row r="427" ht="20" customHeight="1">
      <c r="A427" s="58" t="n">
        <v>46274.5374459375</v>
      </c>
      <c r="B427" s="19" t="inlineStr">
        <is>
          <t>3. This Month (Sep 2026)</t>
        </is>
      </c>
      <c r="C427" s="17" t="inlineStr">
        <is>
          <t>Direct Property / Walk-in</t>
        </is>
      </c>
      <c r="D427" s="17" t="inlineStr">
        <is>
          <t>nirgune rise - mahesh jagani</t>
        </is>
      </c>
      <c r="E427" s="17" t="inlineStr">
        <is>
          <t>Direct CRM Listing</t>
        </is>
      </c>
      <c r="F427" s="17" t="inlineStr">
        <is>
          <t>Listed on PropKart (Available)</t>
        </is>
      </c>
      <c r="G427" s="17" t="inlineStr">
        <is>
          <t>Rakesh Jadav</t>
        </is>
      </c>
      <c r="H427" s="17" t="inlineStr">
        <is>
          <t>Onboarded (Available)</t>
        </is>
      </c>
      <c r="I427" s="17" t="inlineStr">
        <is>
          <t>-</t>
        </is>
      </c>
    </row>
    <row r="428" ht="20" customHeight="1">
      <c r="A428" s="57" t="n">
        <v>46273.59101836805</v>
      </c>
      <c r="B428" s="16" t="inlineStr">
        <is>
          <t>3. This Month (Sep 2026)</t>
        </is>
      </c>
      <c r="C428" s="14" t="inlineStr">
        <is>
          <t>Direct Property / Walk-in</t>
        </is>
      </c>
      <c r="D428" s="14" t="inlineStr">
        <is>
          <t>testing properties only test purpose - Major Iqbal (1986532740</t>
        </is>
      </c>
      <c r="E428" s="14" t="inlineStr">
        <is>
          <t>Direct CRM Listing</t>
        </is>
      </c>
      <c r="F428" s="14" t="inlineStr">
        <is>
          <t>Listed on PropKart (Available)</t>
        </is>
      </c>
      <c r="G428" s="14" t="inlineStr">
        <is>
          <t>Propkart Admin</t>
        </is>
      </c>
      <c r="H428" s="14" t="inlineStr">
        <is>
          <t>Onboarded (Available)</t>
        </is>
      </c>
      <c r="I428" s="14" t="inlineStr">
        <is>
          <t>ewgbdsbckdsbckdbskjbcds
DCONDWKJCNWDKL
MCKJNDSKJCNSDKDSCDSCDS SVDSV CDCC GBGFRB BBV fbdfv</t>
        </is>
      </c>
    </row>
    <row r="429" ht="20" customHeight="1">
      <c r="A429" s="58" t="n">
        <v>46269.67432423611</v>
      </c>
      <c r="B429" s="19" t="inlineStr">
        <is>
          <t>3. This Month (Sep 2026)</t>
        </is>
      </c>
      <c r="C429" s="17" t="inlineStr">
        <is>
          <t>Direct Property / Walk-in</t>
        </is>
      </c>
      <c r="D429" s="17" t="inlineStr">
        <is>
          <t>festival o2 - RAJAN (6357993704</t>
        </is>
      </c>
      <c r="E429" s="17" t="inlineStr">
        <is>
          <t>Direct CRM Listing</t>
        </is>
      </c>
      <c r="F429" s="17" t="inlineStr">
        <is>
          <t>Listed on PropKart (Rented Out)</t>
        </is>
      </c>
      <c r="G429" s="17" t="inlineStr">
        <is>
          <t>Rajan Purani</t>
        </is>
      </c>
      <c r="H429" s="17" t="inlineStr">
        <is>
          <t>Onboarded (Rented Out)</t>
        </is>
      </c>
      <c r="I429" s="17" t="inlineStr">
        <is>
          <t>-</t>
        </is>
      </c>
    </row>
    <row r="430" ht="20" customHeight="1">
      <c r="A430" s="57" t="n">
        <v>46268.54407770833</v>
      </c>
      <c r="B430" s="16" t="inlineStr">
        <is>
          <t>3. This Month (Sep 2026)</t>
        </is>
      </c>
      <c r="C430" s="14" t="inlineStr">
        <is>
          <t>Direct Property / Walk-in</t>
        </is>
      </c>
      <c r="D430" s="14" t="inlineStr">
        <is>
          <t>Vandematram Prime - Piyush bhai patel (9998249086</t>
        </is>
      </c>
      <c r="E430" s="14" t="inlineStr">
        <is>
          <t>Direct CRM Listing</t>
        </is>
      </c>
      <c r="F430" s="14" t="inlineStr">
        <is>
          <t>Listed on PropKart (Available)</t>
        </is>
      </c>
      <c r="G430" s="14" t="inlineStr">
        <is>
          <t>Somel Rathod</t>
        </is>
      </c>
      <c r="H430" s="14" t="inlineStr">
        <is>
          <t>Onboarded (Available)</t>
        </is>
      </c>
      <c r="I430" s="14" t="inlineStr">
        <is>
          <t>-</t>
        </is>
      </c>
    </row>
    <row r="431" ht="20" customHeight="1">
      <c r="A431" s="58" t="n">
        <v>46268.53406232639</v>
      </c>
      <c r="B431" s="19" t="inlineStr">
        <is>
          <t>3. This Month (Sep 2026)</t>
        </is>
      </c>
      <c r="C431" s="17" t="inlineStr">
        <is>
          <t>Direct Property / Walk-in</t>
        </is>
      </c>
      <c r="D431" s="17" t="inlineStr">
        <is>
          <t>Sparsh Residency - Neha Patel (8200935288</t>
        </is>
      </c>
      <c r="E431" s="17" t="inlineStr">
        <is>
          <t>Direct CRM Listing</t>
        </is>
      </c>
      <c r="F431" s="17" t="inlineStr">
        <is>
          <t>Listed on PropKart (Rented Out)</t>
        </is>
      </c>
      <c r="G431" s="17" t="inlineStr">
        <is>
          <t>Somel Rathod</t>
        </is>
      </c>
      <c r="H431" s="17" t="inlineStr">
        <is>
          <t>Onboarded (Rented Out)</t>
        </is>
      </c>
      <c r="I431" s="17" t="inlineStr">
        <is>
          <t>-</t>
        </is>
      </c>
    </row>
    <row r="432" ht="20" customHeight="1">
      <c r="A432" s="57" t="n">
        <v>46267.73073603009</v>
      </c>
      <c r="B432" s="16" t="inlineStr">
        <is>
          <t>3. This Month (Sep 2026)</t>
        </is>
      </c>
      <c r="C432" s="14" t="inlineStr">
        <is>
          <t>Direct Property / Walk-in</t>
        </is>
      </c>
      <c r="D432" s="14" t="inlineStr">
        <is>
          <t>501 The Green Parmeshwar - Abhishek panchal (9998875556</t>
        </is>
      </c>
      <c r="E432" s="14" t="inlineStr">
        <is>
          <t>Direct CRM Listing</t>
        </is>
      </c>
      <c r="F432" s="14" t="inlineStr">
        <is>
          <t>Listed on PropKart (To Be Available)</t>
        </is>
      </c>
      <c r="G432" s="14" t="inlineStr">
        <is>
          <t>Somel Rathod</t>
        </is>
      </c>
      <c r="H432" s="14" t="inlineStr">
        <is>
          <t>Onboarded (To Be Available)</t>
        </is>
      </c>
      <c r="I432" s="14" t="inlineStr">
        <is>
          <t>-</t>
        </is>
      </c>
    </row>
    <row r="433" ht="20" customHeight="1">
      <c r="A433" s="58" t="n">
        <v>46263.44949482639</v>
      </c>
      <c r="B433" s="19" t="inlineStr">
        <is>
          <t>4. This Year (2026)</t>
        </is>
      </c>
      <c r="C433" s="17" t="inlineStr">
        <is>
          <t>Direct Property / Walk-in</t>
        </is>
      </c>
      <c r="D433" s="17" t="inlineStr">
        <is>
          <t>Sun Real Homes, New Ranip - Narendra bhai (9898345029</t>
        </is>
      </c>
      <c r="E433" s="17" t="inlineStr">
        <is>
          <t>Direct CRM Listing</t>
        </is>
      </c>
      <c r="F433" s="17" t="inlineStr">
        <is>
          <t>Listed on PropKart (Rented Out)</t>
        </is>
      </c>
      <c r="G433" s="17" t="inlineStr">
        <is>
          <t>Somel Rathod</t>
        </is>
      </c>
      <c r="H433" s="17" t="inlineStr">
        <is>
          <t>Onboarded (Rented Out)</t>
        </is>
      </c>
      <c r="I433" s="17" t="inlineStr">
        <is>
          <t>-</t>
        </is>
      </c>
    </row>
    <row r="434" ht="20" customHeight="1">
      <c r="A434" s="57" t="n">
        <v>46261.49481736111</v>
      </c>
      <c r="B434" s="16" t="inlineStr">
        <is>
          <t>4. This Year (2026)</t>
        </is>
      </c>
      <c r="C434" s="14" t="inlineStr">
        <is>
          <t>Direct Property / Walk-in</t>
        </is>
      </c>
      <c r="D434" s="14" t="inlineStr">
        <is>
          <t>Shaligram lakeview - bhirma (9819729232</t>
        </is>
      </c>
      <c r="E434" s="14" t="inlineStr">
        <is>
          <t>Direct CRM Listing</t>
        </is>
      </c>
      <c r="F434" s="14" t="inlineStr">
        <is>
          <t>Listed on PropKart (Available)</t>
        </is>
      </c>
      <c r="G434" s="14" t="inlineStr">
        <is>
          <t>Somel Rathod</t>
        </is>
      </c>
      <c r="H434" s="14" t="inlineStr">
        <is>
          <t>Onboarded (Available)</t>
        </is>
      </c>
      <c r="I434" s="14" t="inlineStr">
        <is>
          <t>-</t>
        </is>
      </c>
    </row>
    <row r="435" ht="20" customHeight="1">
      <c r="A435" s="58" t="n">
        <v>46261.44980581018</v>
      </c>
      <c r="B435" s="19" t="inlineStr">
        <is>
          <t>4. This Year (2026)</t>
        </is>
      </c>
      <c r="C435" s="17" t="inlineStr">
        <is>
          <t>Direct Property / Walk-in</t>
        </is>
      </c>
      <c r="D435" s="17" t="inlineStr">
        <is>
          <t>Keshar Samruddham - sneha (9998865670</t>
        </is>
      </c>
      <c r="E435" s="17" t="inlineStr">
        <is>
          <t>Direct CRM Listing</t>
        </is>
      </c>
      <c r="F435" s="17" t="inlineStr">
        <is>
          <t>Listed on PropKart (Available)</t>
        </is>
      </c>
      <c r="G435" s="17" t="inlineStr">
        <is>
          <t>Somel Rathod</t>
        </is>
      </c>
      <c r="H435" s="17" t="inlineStr">
        <is>
          <t>Onboarded (Available)</t>
        </is>
      </c>
      <c r="I435" s="17" t="inlineStr">
        <is>
          <t>-</t>
        </is>
      </c>
    </row>
    <row r="436" ht="20" customHeight="1">
      <c r="A436" s="57" t="n">
        <v>46260.69486912037</v>
      </c>
      <c r="B436" s="16" t="inlineStr">
        <is>
          <t>4. This Year (2026)</t>
        </is>
      </c>
      <c r="C436" s="14" t="inlineStr">
        <is>
          <t>Direct Property / Walk-in</t>
        </is>
      </c>
      <c r="D436" s="14" t="inlineStr">
        <is>
          <t>Dev Parijat - Nitin Patel (9727080045</t>
        </is>
      </c>
      <c r="E436" s="14" t="inlineStr">
        <is>
          <t>Direct CRM Listing</t>
        </is>
      </c>
      <c r="F436" s="14" t="inlineStr">
        <is>
          <t>Listed on PropKart (Available)</t>
        </is>
      </c>
      <c r="G436" s="14" t="inlineStr">
        <is>
          <t>Rajan Purani</t>
        </is>
      </c>
      <c r="H436" s="14" t="inlineStr">
        <is>
          <t>Onboarded (Available)</t>
        </is>
      </c>
      <c r="I436" s="14" t="inlineStr">
        <is>
          <t>-</t>
        </is>
      </c>
    </row>
    <row r="437" ht="20" customHeight="1">
      <c r="A437" s="58" t="n">
        <v>46260.65592452546</v>
      </c>
      <c r="B437" s="19" t="inlineStr">
        <is>
          <t>4. This Year (2026)</t>
        </is>
      </c>
      <c r="C437" s="17" t="inlineStr">
        <is>
          <t>Direct Property / Walk-in</t>
        </is>
      </c>
      <c r="D437" s="17" t="inlineStr">
        <is>
          <t>Silver Nest - Ramesh Bhai (9978538788</t>
        </is>
      </c>
      <c r="E437" s="17" t="inlineStr">
        <is>
          <t>Direct CRM Listing</t>
        </is>
      </c>
      <c r="F437" s="17" t="inlineStr">
        <is>
          <t>Listed on PropKart (Available)</t>
        </is>
      </c>
      <c r="G437" s="17" t="inlineStr">
        <is>
          <t>Rajan Purani</t>
        </is>
      </c>
      <c r="H437" s="17" t="inlineStr">
        <is>
          <t>Onboarded (Available)</t>
        </is>
      </c>
      <c r="I437" s="17" t="inlineStr">
        <is>
          <t>-</t>
        </is>
      </c>
    </row>
    <row r="438" ht="20" customHeight="1">
      <c r="A438" s="57" t="n">
        <v>46260.43655829861</v>
      </c>
      <c r="B438" s="16" t="inlineStr">
        <is>
          <t>4. This Year (2026)</t>
        </is>
      </c>
      <c r="C438" s="14" t="inlineStr">
        <is>
          <t>Direct Property / Walk-in</t>
        </is>
      </c>
      <c r="D438" s="14" t="inlineStr">
        <is>
          <t>Ganesh Heights - Karan (9558525933</t>
        </is>
      </c>
      <c r="E438" s="14" t="inlineStr">
        <is>
          <t>Direct CRM Listing</t>
        </is>
      </c>
      <c r="F438" s="14" t="inlineStr">
        <is>
          <t>Listed on PropKart (Available)</t>
        </is>
      </c>
      <c r="G438" s="14" t="inlineStr">
        <is>
          <t>Somel Rathod</t>
        </is>
      </c>
      <c r="H438" s="14" t="inlineStr">
        <is>
          <t>Onboarded (Available)</t>
        </is>
      </c>
      <c r="I438" s="14" t="inlineStr">
        <is>
          <t>-</t>
        </is>
      </c>
    </row>
    <row r="439" ht="20" customHeight="1">
      <c r="A439" s="58" t="n">
        <v>46256.467718125</v>
      </c>
      <c r="B439" s="19" t="inlineStr">
        <is>
          <t>4. This Year (2026)</t>
        </is>
      </c>
      <c r="C439" s="17" t="inlineStr">
        <is>
          <t>Direct Property / Walk-in</t>
        </is>
      </c>
      <c r="D439" s="17" t="inlineStr">
        <is>
          <t>Kishor Park - Arpit Shah (8866462307</t>
        </is>
      </c>
      <c r="E439" s="17" t="inlineStr">
        <is>
          <t>Direct CRM Listing</t>
        </is>
      </c>
      <c r="F439" s="17" t="inlineStr">
        <is>
          <t>Listed on PropKart (Available)</t>
        </is>
      </c>
      <c r="G439" s="17" t="inlineStr">
        <is>
          <t>Somel Rathod</t>
        </is>
      </c>
      <c r="H439" s="17" t="inlineStr">
        <is>
          <t>Onboarded (Available)</t>
        </is>
      </c>
      <c r="I439" s="17" t="inlineStr">
        <is>
          <t>-</t>
        </is>
      </c>
    </row>
    <row r="440" ht="20" customHeight="1">
      <c r="A440" s="57" t="n">
        <v>46256.46739171296</v>
      </c>
      <c r="B440" s="16" t="inlineStr">
        <is>
          <t>4. This Year (2026)</t>
        </is>
      </c>
      <c r="C440" s="14" t="inlineStr">
        <is>
          <t>Direct Property / Walk-in</t>
        </is>
      </c>
      <c r="D440" s="14" t="inlineStr">
        <is>
          <t>Black Buck Century - Sanjeev Sir (6357993707</t>
        </is>
      </c>
      <c r="E440" s="14" t="inlineStr">
        <is>
          <t>Direct CRM Listing</t>
        </is>
      </c>
      <c r="F440" s="14" t="inlineStr">
        <is>
          <t>Listed on PropKart (Available)</t>
        </is>
      </c>
      <c r="G440" s="14" t="inlineStr">
        <is>
          <t>Rajan Purani</t>
        </is>
      </c>
      <c r="H440" s="14" t="inlineStr">
        <is>
          <t>Onboarded (Available)</t>
        </is>
      </c>
      <c r="I440" s="14" t="inlineStr">
        <is>
          <t>-</t>
        </is>
      </c>
    </row>
    <row r="441" ht="20" customHeight="1">
      <c r="A441" s="58" t="n">
        <v>46254.55474311343</v>
      </c>
      <c r="B441" s="19" t="inlineStr">
        <is>
          <t>4. This Year (2026)</t>
        </is>
      </c>
      <c r="C441" s="17" t="inlineStr">
        <is>
          <t>Direct Property / Walk-in</t>
        </is>
      </c>
      <c r="D441" s="17" t="inlineStr">
        <is>
          <t>SUHAAL SERENITY- Zundal - Paritosh bhai (9725931331</t>
        </is>
      </c>
      <c r="E441" s="17" t="inlineStr">
        <is>
          <t>Direct CRM Listing</t>
        </is>
      </c>
      <c r="F441" s="17" t="inlineStr">
        <is>
          <t>Listed on PropKart (Available)</t>
        </is>
      </c>
      <c r="G441" s="17" t="inlineStr">
        <is>
          <t>Somel Rathod</t>
        </is>
      </c>
      <c r="H441" s="17" t="inlineStr">
        <is>
          <t>Onboarded (Available)</t>
        </is>
      </c>
      <c r="I441" s="17" t="inlineStr">
        <is>
          <t>-</t>
        </is>
      </c>
    </row>
    <row r="442" ht="20" customHeight="1">
      <c r="A442" s="57" t="n">
        <v>46254.51496394676</v>
      </c>
      <c r="B442" s="16" t="inlineStr">
        <is>
          <t>4. This Year (2026)</t>
        </is>
      </c>
      <c r="C442" s="14" t="inlineStr">
        <is>
          <t>Direct Property / Walk-in</t>
        </is>
      </c>
      <c r="D442" s="14" t="inlineStr">
        <is>
          <t>B/16 Dev city - Sejal Ben (6357105011</t>
        </is>
      </c>
      <c r="E442" s="14" t="inlineStr">
        <is>
          <t>Direct CRM Listing</t>
        </is>
      </c>
      <c r="F442" s="14" t="inlineStr">
        <is>
          <t>Listed on PropKart (Available)</t>
        </is>
      </c>
      <c r="G442" s="14" t="inlineStr">
        <is>
          <t>Somel Rathod</t>
        </is>
      </c>
      <c r="H442" s="14" t="inlineStr">
        <is>
          <t>Onboarded (Available)</t>
        </is>
      </c>
      <c r="I442" s="14" t="inlineStr">
        <is>
          <t>-</t>
        </is>
      </c>
    </row>
    <row r="443" ht="20" customHeight="1">
      <c r="A443" s="58" t="n">
        <v>46254.43435990741</v>
      </c>
      <c r="B443" s="19" t="inlineStr">
        <is>
          <t>4. This Year (2026)</t>
        </is>
      </c>
      <c r="C443" s="17" t="inlineStr">
        <is>
          <t>Direct Property / Walk-in</t>
        </is>
      </c>
      <c r="D443" s="17" t="inlineStr">
        <is>
          <t>pacifica north enclave - maulik dave (9054689316</t>
        </is>
      </c>
      <c r="E443" s="17" t="inlineStr">
        <is>
          <t>Direct CRM Listing</t>
        </is>
      </c>
      <c r="F443" s="17" t="inlineStr">
        <is>
          <t>Listed on PropKart (Available)</t>
        </is>
      </c>
      <c r="G443" s="17" t="inlineStr">
        <is>
          <t>Rakesh Jadav</t>
        </is>
      </c>
      <c r="H443" s="17" t="inlineStr">
        <is>
          <t>Onboarded (Available)</t>
        </is>
      </c>
      <c r="I443" s="17" t="inlineStr">
        <is>
          <t>-</t>
        </is>
      </c>
    </row>
    <row r="444" ht="20" customHeight="1">
      <c r="A444" s="57" t="n">
        <v>46253.50159846065</v>
      </c>
      <c r="B444" s="16" t="inlineStr">
        <is>
          <t>4. This Year (2026)</t>
        </is>
      </c>
      <c r="C444" s="14" t="inlineStr">
        <is>
          <t>Direct Property / Walk-in</t>
        </is>
      </c>
      <c r="D444" s="14" t="inlineStr">
        <is>
          <t>Palm glory 4 - Aryan (8866329054</t>
        </is>
      </c>
      <c r="E444" s="14" t="inlineStr">
        <is>
          <t>Direct CRM Listing</t>
        </is>
      </c>
      <c r="F444" s="14" t="inlineStr">
        <is>
          <t>Listed on PropKart (Rented Out)</t>
        </is>
      </c>
      <c r="G444" s="14" t="inlineStr">
        <is>
          <t>Rakesh Jadav</t>
        </is>
      </c>
      <c r="H444" s="14" t="inlineStr">
        <is>
          <t>Onboarded (Rented Out)</t>
        </is>
      </c>
      <c r="I444" s="14" t="inlineStr">
        <is>
          <t>-</t>
        </is>
      </c>
    </row>
    <row r="445" ht="20" customHeight="1">
      <c r="A445" s="58" t="n">
        <v>46251.51836724537</v>
      </c>
      <c r="B445" s="19" t="inlineStr">
        <is>
          <t>4. This Year (2026)</t>
        </is>
      </c>
      <c r="C445" s="17" t="inlineStr">
        <is>
          <t>Direct Property / Walk-in</t>
        </is>
      </c>
      <c r="D445" s="17" t="inlineStr">
        <is>
          <t>pearl heights - hitendra bhai (9924006250</t>
        </is>
      </c>
      <c r="E445" s="17" t="inlineStr">
        <is>
          <t>Direct CRM Listing</t>
        </is>
      </c>
      <c r="F445" s="17" t="inlineStr">
        <is>
          <t>Listed on PropKart (Available)</t>
        </is>
      </c>
      <c r="G445" s="17" t="inlineStr">
        <is>
          <t>Somel Rathod</t>
        </is>
      </c>
      <c r="H445" s="17" t="inlineStr">
        <is>
          <t>Onboarded (Available)</t>
        </is>
      </c>
      <c r="I445" s="17" t="inlineStr">
        <is>
          <t>-</t>
        </is>
      </c>
    </row>
    <row r="446" ht="20" customHeight="1">
      <c r="A446" s="57" t="n">
        <v>46251.5110858912</v>
      </c>
      <c r="B446" s="16" t="inlineStr">
        <is>
          <t>4. This Year (2026)</t>
        </is>
      </c>
      <c r="C446" s="14" t="inlineStr">
        <is>
          <t>Direct Property / Walk-in</t>
        </is>
      </c>
      <c r="D446" s="14" t="inlineStr">
        <is>
          <t>kuber residency - Amit (9428411335</t>
        </is>
      </c>
      <c r="E446" s="14" t="inlineStr">
        <is>
          <t>Direct CRM Listing</t>
        </is>
      </c>
      <c r="F446" s="14" t="inlineStr">
        <is>
          <t>Listed on PropKart (Available)</t>
        </is>
      </c>
      <c r="G446" s="14" t="inlineStr">
        <is>
          <t>Somel Rathod</t>
        </is>
      </c>
      <c r="H446" s="14" t="inlineStr">
        <is>
          <t>Onboarded (Available)</t>
        </is>
      </c>
      <c r="I446" s="14" t="inlineStr">
        <is>
          <t>-</t>
        </is>
      </c>
    </row>
    <row r="447" ht="20" customHeight="1">
      <c r="A447" s="58" t="n">
        <v>46251.44368453704</v>
      </c>
      <c r="B447" s="19" t="inlineStr">
        <is>
          <t>4. This Year (2026)</t>
        </is>
      </c>
      <c r="C447" s="17" t="inlineStr">
        <is>
          <t>Direct Property / Walk-in</t>
        </is>
      </c>
      <c r="D447" s="17" t="inlineStr">
        <is>
          <t>Shyam Villa Bungalow - lalu desai (7621981297</t>
        </is>
      </c>
      <c r="E447" s="17" t="inlineStr">
        <is>
          <t>Direct CRM Listing</t>
        </is>
      </c>
      <c r="F447" s="17" t="inlineStr">
        <is>
          <t>Listed on PropKart (Rented Out)</t>
        </is>
      </c>
      <c r="G447" s="17" t="inlineStr">
        <is>
          <t>Rajan Purani</t>
        </is>
      </c>
      <c r="H447" s="17" t="inlineStr">
        <is>
          <t>Onboarded (Rented Out)</t>
        </is>
      </c>
      <c r="I447" s="17" t="inlineStr">
        <is>
          <t>-</t>
        </is>
      </c>
    </row>
    <row r="448" ht="20" customHeight="1">
      <c r="A448" s="57" t="n">
        <v>46251.4347115162</v>
      </c>
      <c r="B448" s="16" t="inlineStr">
        <is>
          <t>4. This Year (2026)</t>
        </is>
      </c>
      <c r="C448" s="14" t="inlineStr">
        <is>
          <t>Direct Property / Walk-in</t>
        </is>
      </c>
      <c r="D448" s="14" t="inlineStr">
        <is>
          <t>Falak Citadel - Maulik pandya (7623017858</t>
        </is>
      </c>
      <c r="E448" s="14" t="inlineStr">
        <is>
          <t>Direct CRM Listing</t>
        </is>
      </c>
      <c r="F448" s="14" t="inlineStr">
        <is>
          <t>Listed on PropKart (Available)</t>
        </is>
      </c>
      <c r="G448" s="14" t="inlineStr">
        <is>
          <t>Rajan Purani</t>
        </is>
      </c>
      <c r="H448" s="14" t="inlineStr">
        <is>
          <t>Onboarded (Available)</t>
        </is>
      </c>
      <c r="I448" s="14" t="inlineStr">
        <is>
          <t>-</t>
        </is>
      </c>
    </row>
    <row r="449" ht="20" customHeight="1">
      <c r="A449" s="58" t="n">
        <v>46249.03544112269</v>
      </c>
      <c r="B449" s="19" t="inlineStr">
        <is>
          <t>4. This Year (2026)</t>
        </is>
      </c>
      <c r="C449" s="17" t="inlineStr">
        <is>
          <t>Direct Property / Walk-in</t>
        </is>
      </c>
      <c r="D449" s="17" t="inlineStr">
        <is>
          <t>Testing Property - Akhil Prajapati (1653298740</t>
        </is>
      </c>
      <c r="E449" s="17" t="inlineStr">
        <is>
          <t>Direct CRM Listing</t>
        </is>
      </c>
      <c r="F449" s="17" t="inlineStr">
        <is>
          <t>Listed on PropKart (Available)</t>
        </is>
      </c>
      <c r="G449" s="17" t="inlineStr">
        <is>
          <t>Propkart Admin</t>
        </is>
      </c>
      <c r="H449" s="17" t="inlineStr">
        <is>
          <t>Onboarded (Available)</t>
        </is>
      </c>
      <c r="I449" s="17" t="inlineStr">
        <is>
          <t>-</t>
        </is>
      </c>
    </row>
    <row r="450" ht="20" customHeight="1">
      <c r="A450" s="57" t="n">
        <v>46248.50718155093</v>
      </c>
      <c r="B450" s="16" t="inlineStr">
        <is>
          <t>4. This Year (2026)</t>
        </is>
      </c>
      <c r="C450" s="14" t="inlineStr">
        <is>
          <t>Direct Property / Walk-in</t>
        </is>
      </c>
      <c r="D450" s="14" t="inlineStr">
        <is>
          <t>Nirman Homes - Kalpesh bhai (9879607282</t>
        </is>
      </c>
      <c r="E450" s="14" t="inlineStr">
        <is>
          <t>Direct CRM Listing</t>
        </is>
      </c>
      <c r="F450" s="14" t="inlineStr">
        <is>
          <t>Listed on PropKart (Available)</t>
        </is>
      </c>
      <c r="G450" s="14" t="inlineStr">
        <is>
          <t>Rajan Purani</t>
        </is>
      </c>
      <c r="H450" s="14" t="inlineStr">
        <is>
          <t>Onboarded (Available)</t>
        </is>
      </c>
      <c r="I450" s="14" t="inlineStr">
        <is>
          <t>-</t>
        </is>
      </c>
    </row>
    <row r="451" ht="20" customHeight="1">
      <c r="A451" s="58" t="n">
        <v>46247.79104763889</v>
      </c>
      <c r="B451" s="19" t="inlineStr">
        <is>
          <t>4. This Year (2026)</t>
        </is>
      </c>
      <c r="C451" s="17" t="inlineStr">
        <is>
          <t>Direct Property / Walk-in</t>
        </is>
      </c>
      <c r="D451" s="17" t="inlineStr">
        <is>
          <t>silver rediance 2 - ajay bhai (8780678133</t>
        </is>
      </c>
      <c r="E451" s="17" t="inlineStr">
        <is>
          <t>Direct CRM Listing</t>
        </is>
      </c>
      <c r="F451" s="17" t="inlineStr">
        <is>
          <t>Listed on PropKart (Available)</t>
        </is>
      </c>
      <c r="G451" s="17" t="inlineStr">
        <is>
          <t>Rakesh Jadav</t>
        </is>
      </c>
      <c r="H451" s="17" t="inlineStr">
        <is>
          <t>Onboarded (Available)</t>
        </is>
      </c>
      <c r="I451" s="17" t="inlineStr">
        <is>
          <t>-</t>
        </is>
      </c>
    </row>
    <row r="452" ht="20" customHeight="1">
      <c r="A452" s="57" t="n">
        <v>46247.54953703703</v>
      </c>
      <c r="B452" s="16" t="inlineStr">
        <is>
          <t>4. This Year (2026)</t>
        </is>
      </c>
      <c r="C452" s="14" t="inlineStr">
        <is>
          <t>Direct Property / Walk-in</t>
        </is>
      </c>
      <c r="D452" s="14" t="inlineStr">
        <is>
          <t>Jivraj Park Society - Gunjan Soni (8160455535</t>
        </is>
      </c>
      <c r="E452" s="14" t="inlineStr">
        <is>
          <t>Direct CRM Listing</t>
        </is>
      </c>
      <c r="F452" s="14" t="inlineStr">
        <is>
          <t>Listed on PropKart (Rented Out)</t>
        </is>
      </c>
      <c r="G452" s="14" t="inlineStr">
        <is>
          <t>Rajan Purani</t>
        </is>
      </c>
      <c r="H452" s="14" t="inlineStr">
        <is>
          <t>Onboarded (Rented Out)</t>
        </is>
      </c>
      <c r="I452" s="14" t="inlineStr">
        <is>
          <t>-</t>
        </is>
      </c>
    </row>
    <row r="453" ht="20" customHeight="1">
      <c r="A453" s="58" t="n">
        <v>46242.54644393519</v>
      </c>
      <c r="B453" s="19" t="inlineStr">
        <is>
          <t>4. This Year (2026)</t>
        </is>
      </c>
      <c r="C453" s="17" t="inlineStr">
        <is>
          <t>Direct Property / Walk-in</t>
        </is>
      </c>
      <c r="D453" s="17" t="inlineStr">
        <is>
          <t>Malabar County 3 - Bhumika (9824011249</t>
        </is>
      </c>
      <c r="E453" s="17" t="inlineStr">
        <is>
          <t>Direct CRM Listing</t>
        </is>
      </c>
      <c r="F453" s="17" t="inlineStr">
        <is>
          <t>Listed on PropKart (Available)</t>
        </is>
      </c>
      <c r="G453" s="17" t="inlineStr">
        <is>
          <t>Rajan Purani</t>
        </is>
      </c>
      <c r="H453" s="17" t="inlineStr">
        <is>
          <t>Onboarded (Available)</t>
        </is>
      </c>
      <c r="I453" s="17" t="inlineStr">
        <is>
          <t>-</t>
        </is>
      </c>
    </row>
    <row r="454" ht="20" customHeight="1">
      <c r="A454" s="57" t="n">
        <v>46235.69849410879</v>
      </c>
      <c r="B454" s="16" t="inlineStr">
        <is>
          <t>4. This Year (2026)</t>
        </is>
      </c>
      <c r="C454" s="14" t="inlineStr">
        <is>
          <t>Direct Property / Walk-in</t>
        </is>
      </c>
      <c r="D454" s="14" t="inlineStr">
        <is>
          <t>Gala Haven - Manish sharma (7698977944</t>
        </is>
      </c>
      <c r="E454" s="14" t="inlineStr">
        <is>
          <t>Direct CRM Listing</t>
        </is>
      </c>
      <c r="F454" s="14" t="inlineStr">
        <is>
          <t>Listed on PropKart (Available)</t>
        </is>
      </c>
      <c r="G454" s="14" t="inlineStr">
        <is>
          <t>Somel Rathod</t>
        </is>
      </c>
      <c r="H454" s="14" t="inlineStr">
        <is>
          <t>Onboarded (Available)</t>
        </is>
      </c>
      <c r="I454" s="14" t="inlineStr">
        <is>
          <t>-</t>
        </is>
      </c>
    </row>
    <row r="455" ht="20" customHeight="1">
      <c r="A455" s="58" t="n">
        <v>46235.6762822338</v>
      </c>
      <c r="B455" s="19" t="inlineStr">
        <is>
          <t>4. This Year (2026)</t>
        </is>
      </c>
      <c r="C455" s="17" t="inlineStr">
        <is>
          <t>Direct Property / Walk-in</t>
        </is>
      </c>
      <c r="D455" s="17" t="inlineStr">
        <is>
          <t>Navkar Heights - Shital prasad (9558460169</t>
        </is>
      </c>
      <c r="E455" s="17" t="inlineStr">
        <is>
          <t>Direct CRM Listing</t>
        </is>
      </c>
      <c r="F455" s="17" t="inlineStr">
        <is>
          <t>Listed on PropKart (Sold Out)</t>
        </is>
      </c>
      <c r="G455" s="17" t="inlineStr">
        <is>
          <t>Somel Rathod</t>
        </is>
      </c>
      <c r="H455" s="17" t="inlineStr">
        <is>
          <t>Onboarded (Sold Out)</t>
        </is>
      </c>
      <c r="I455" s="17" t="inlineStr">
        <is>
          <t>-</t>
        </is>
      </c>
    </row>
    <row r="456" ht="20" customHeight="1">
      <c r="A456" s="57" t="n">
        <v>46235.53334850694</v>
      </c>
      <c r="B456" s="16" t="inlineStr">
        <is>
          <t>4. This Year (2026)</t>
        </is>
      </c>
      <c r="C456" s="14" t="inlineStr">
        <is>
          <t>Direct Property / Walk-in</t>
        </is>
      </c>
      <c r="D456" s="14" t="inlineStr">
        <is>
          <t>marigold - Dhaval bhai (9825713623</t>
        </is>
      </c>
      <c r="E456" s="14" t="inlineStr">
        <is>
          <t>Direct CRM Listing</t>
        </is>
      </c>
      <c r="F456" s="14" t="inlineStr">
        <is>
          <t>Listed on PropKart (Available)</t>
        </is>
      </c>
      <c r="G456" s="14" t="inlineStr">
        <is>
          <t>Rakesh Jadav</t>
        </is>
      </c>
      <c r="H456" s="14" t="inlineStr">
        <is>
          <t>Onboarded (Available)</t>
        </is>
      </c>
      <c r="I456" s="14" t="inlineStr">
        <is>
          <t>-</t>
        </is>
      </c>
    </row>
    <row r="457" ht="20" customHeight="1">
      <c r="A457" s="58" t="n">
        <v>46235.52577434028</v>
      </c>
      <c r="B457" s="19" t="inlineStr">
        <is>
          <t>4. This Year (2026)</t>
        </is>
      </c>
      <c r="C457" s="17" t="inlineStr">
        <is>
          <t>Direct Property / Walk-in</t>
        </is>
      </c>
      <c r="D457" s="17" t="inlineStr">
        <is>
          <t>Empire skyline - mittal mam (8238878936</t>
        </is>
      </c>
      <c r="E457" s="17" t="inlineStr">
        <is>
          <t>Direct CRM Listing</t>
        </is>
      </c>
      <c r="F457" s="17" t="inlineStr">
        <is>
          <t>Listed on PropKart (Available)</t>
        </is>
      </c>
      <c r="G457" s="17" t="inlineStr">
        <is>
          <t>Rakesh Jadav</t>
        </is>
      </c>
      <c r="H457" s="17" t="inlineStr">
        <is>
          <t>Onboarded (Available)</t>
        </is>
      </c>
      <c r="I457" s="17" t="inlineStr">
        <is>
          <t>-</t>
        </is>
      </c>
    </row>
    <row r="458" ht="20" customHeight="1">
      <c r="A458" s="57" t="n">
        <v>46234.74639162037</v>
      </c>
      <c r="B458" s="16" t="inlineStr">
        <is>
          <t>4. This Year (2026)</t>
        </is>
      </c>
      <c r="C458" s="14" t="inlineStr">
        <is>
          <t>Direct Property / Walk-in</t>
        </is>
      </c>
      <c r="D458" s="14" t="inlineStr">
        <is>
          <t>celestial living scince city - Rushi bhai (7567252666</t>
        </is>
      </c>
      <c r="E458" s="14" t="inlineStr">
        <is>
          <t>Direct CRM Listing</t>
        </is>
      </c>
      <c r="F458" s="14" t="inlineStr">
        <is>
          <t>Listed on PropKart (Sold Out)</t>
        </is>
      </c>
      <c r="G458" s="14" t="inlineStr">
        <is>
          <t>Rakesh Jadav</t>
        </is>
      </c>
      <c r="H458" s="14" t="inlineStr">
        <is>
          <t>Onboarded (Sold Out)</t>
        </is>
      </c>
      <c r="I458" s="14" t="inlineStr">
        <is>
          <t>-</t>
        </is>
      </c>
    </row>
    <row r="459" ht="20" customHeight="1">
      <c r="A459" s="58" t="n">
        <v>46234.49386981482</v>
      </c>
      <c r="B459" s="19" t="inlineStr">
        <is>
          <t>4. This Year (2026)</t>
        </is>
      </c>
      <c r="C459" s="17" t="inlineStr">
        <is>
          <t>Direct Property / Walk-in</t>
        </is>
      </c>
      <c r="D459" s="17" t="inlineStr">
        <is>
          <t>Elinor 108 - Nikunj Bhai (9904110434</t>
        </is>
      </c>
      <c r="E459" s="17" t="inlineStr">
        <is>
          <t>Direct CRM Listing</t>
        </is>
      </c>
      <c r="F459" s="17" t="inlineStr">
        <is>
          <t>Listed on PropKart (Available)</t>
        </is>
      </c>
      <c r="G459" s="17" t="inlineStr">
        <is>
          <t>Rajan Purani</t>
        </is>
      </c>
      <c r="H459" s="17" t="inlineStr">
        <is>
          <t>Onboarded (Available)</t>
        </is>
      </c>
      <c r="I459" s="17" t="inlineStr">
        <is>
          <t>-</t>
        </is>
      </c>
    </row>
    <row r="460" ht="20" customHeight="1">
      <c r="A460" s="57" t="n">
        <v>46233.79106959491</v>
      </c>
      <c r="B460" s="16" t="inlineStr">
        <is>
          <t>4. This Year (2026)</t>
        </is>
      </c>
      <c r="C460" s="14" t="inlineStr">
        <is>
          <t>Direct Property / Walk-in</t>
        </is>
      </c>
      <c r="D460" s="14" t="inlineStr">
        <is>
          <t>silver rediance 2 - ajay bhai (8780678133</t>
        </is>
      </c>
      <c r="E460" s="14" t="inlineStr">
        <is>
          <t>Direct CRM Listing</t>
        </is>
      </c>
      <c r="F460" s="14" t="inlineStr">
        <is>
          <t>Listed on PropKart (Available)</t>
        </is>
      </c>
      <c r="G460" s="14" t="inlineStr">
        <is>
          <t>Rakesh Jadav</t>
        </is>
      </c>
      <c r="H460" s="14" t="inlineStr">
        <is>
          <t>Onboarded (Available)</t>
        </is>
      </c>
      <c r="I460" s="14" t="inlineStr">
        <is>
          <t>-</t>
        </is>
      </c>
    </row>
    <row r="461" ht="20" customHeight="1">
      <c r="A461" s="58" t="n">
        <v>46233.66802480324</v>
      </c>
      <c r="B461" s="19" t="inlineStr">
        <is>
          <t>4. This Year (2026)</t>
        </is>
      </c>
      <c r="C461" s="17" t="inlineStr">
        <is>
          <t>Direct Property / Walk-in</t>
        </is>
      </c>
      <c r="D461" s="17" t="inlineStr">
        <is>
          <t>shivanta - Meet bhai patel (9638409065</t>
        </is>
      </c>
      <c r="E461" s="17" t="inlineStr">
        <is>
          <t>Direct CRM Listing</t>
        </is>
      </c>
      <c r="F461" s="17" t="inlineStr">
        <is>
          <t>Listed on PropKart (Available)</t>
        </is>
      </c>
      <c r="G461" s="17" t="inlineStr">
        <is>
          <t>Rakesh Jadav</t>
        </is>
      </c>
      <c r="H461" s="17" t="inlineStr">
        <is>
          <t>Onboarded (Available)</t>
        </is>
      </c>
      <c r="I461" s="17" t="inlineStr">
        <is>
          <t>-</t>
        </is>
      </c>
    </row>
    <row r="462" ht="20" customHeight="1">
      <c r="A462" s="57" t="n">
        <v>46233.47211672454</v>
      </c>
      <c r="B462" s="16" t="inlineStr">
        <is>
          <t>4. This Year (2026)</t>
        </is>
      </c>
      <c r="C462" s="14" t="inlineStr">
        <is>
          <t>Direct Property / Walk-in</t>
        </is>
      </c>
      <c r="D462" s="14" t="inlineStr">
        <is>
          <t>wind chimas - trikamdas bhai (9879209694</t>
        </is>
      </c>
      <c r="E462" s="14" t="inlineStr">
        <is>
          <t>Direct CRM Listing</t>
        </is>
      </c>
      <c r="F462" s="14" t="inlineStr">
        <is>
          <t>Listed on PropKart (Available)</t>
        </is>
      </c>
      <c r="G462" s="14" t="inlineStr">
        <is>
          <t>Rakesh Jadav</t>
        </is>
      </c>
      <c r="H462" s="14" t="inlineStr">
        <is>
          <t>Onboarded (Available)</t>
        </is>
      </c>
      <c r="I462" s="14" t="inlineStr">
        <is>
          <t>-</t>
        </is>
      </c>
    </row>
    <row r="463" ht="20" customHeight="1">
      <c r="A463" s="58" t="n">
        <v>46231.50450739583</v>
      </c>
      <c r="B463" s="19" t="inlineStr">
        <is>
          <t>4. This Year (2026)</t>
        </is>
      </c>
      <c r="C463" s="17" t="inlineStr">
        <is>
          <t>Direct Property / Walk-in</t>
        </is>
      </c>
      <c r="D463" s="17" t="inlineStr">
        <is>
          <t>Shakti 140 thaltej - Jatin bhai (6355831277</t>
        </is>
      </c>
      <c r="E463" s="17" t="inlineStr">
        <is>
          <t>Direct CRM Listing</t>
        </is>
      </c>
      <c r="F463" s="17" t="inlineStr">
        <is>
          <t>Listed on PropKart (Available)</t>
        </is>
      </c>
      <c r="G463" s="17" t="inlineStr">
        <is>
          <t>Rakesh Jadav</t>
        </is>
      </c>
      <c r="H463" s="17" t="inlineStr">
        <is>
          <t>Onboarded (Available)</t>
        </is>
      </c>
      <c r="I463" s="17" t="inlineStr">
        <is>
          <t>fully furnished flate and good location well conectivity near by metro and sg highway</t>
        </is>
      </c>
    </row>
    <row r="464" ht="20" customHeight="1">
      <c r="A464" s="57" t="n">
        <v>46231.47552766203</v>
      </c>
      <c r="B464" s="16" t="inlineStr">
        <is>
          <t>4. This Year (2026)</t>
        </is>
      </c>
      <c r="C464" s="14" t="inlineStr">
        <is>
          <t>Direct Property / Walk-in</t>
        </is>
      </c>
      <c r="D464" s="14" t="inlineStr">
        <is>
          <t>shilp serene - nikhil bhai (9898353635</t>
        </is>
      </c>
      <c r="E464" s="14" t="inlineStr">
        <is>
          <t>Direct CRM Listing</t>
        </is>
      </c>
      <c r="F464" s="14" t="inlineStr">
        <is>
          <t>Listed on PropKart (Available)</t>
        </is>
      </c>
      <c r="G464" s="14" t="inlineStr">
        <is>
          <t>Rakesh Jadav</t>
        </is>
      </c>
      <c r="H464" s="14" t="inlineStr">
        <is>
          <t>Onboarded (Available)</t>
        </is>
      </c>
      <c r="I464" s="14" t="inlineStr">
        <is>
          <t>-</t>
        </is>
      </c>
    </row>
    <row r="465" ht="20" customHeight="1">
      <c r="A465" s="58" t="n">
        <v>46230.57069739584</v>
      </c>
      <c r="B465" s="19" t="inlineStr">
        <is>
          <t>4. This Year (2026)</t>
        </is>
      </c>
      <c r="C465" s="17" t="inlineStr">
        <is>
          <t>Direct Property / Walk-in</t>
        </is>
      </c>
      <c r="D465" s="17" t="inlineStr">
        <is>
          <t>sheladia divine - amit bhai (9998477368</t>
        </is>
      </c>
      <c r="E465" s="17" t="inlineStr">
        <is>
          <t>Direct CRM Listing</t>
        </is>
      </c>
      <c r="F465" s="17" t="inlineStr">
        <is>
          <t>Listed on PropKart (Available)</t>
        </is>
      </c>
      <c r="G465" s="17" t="inlineStr">
        <is>
          <t>Rakesh Jadav</t>
        </is>
      </c>
      <c r="H465" s="17" t="inlineStr">
        <is>
          <t>Onboarded (Available)</t>
        </is>
      </c>
      <c r="I465" s="17" t="inlineStr">
        <is>
          <t>-</t>
        </is>
      </c>
    </row>
    <row r="466" ht="20" customHeight="1">
      <c r="A466" s="57" t="n">
        <v>46230.56305011574</v>
      </c>
      <c r="B466" s="16" t="inlineStr">
        <is>
          <t>4. This Year (2026)</t>
        </is>
      </c>
      <c r="C466" s="14" t="inlineStr">
        <is>
          <t>Direct Property / Walk-in</t>
        </is>
      </c>
      <c r="D466" s="14" t="inlineStr">
        <is>
          <t>stutas 55 - milan bhai (7862836728</t>
        </is>
      </c>
      <c r="E466" s="14" t="inlineStr">
        <is>
          <t>Direct CRM Listing</t>
        </is>
      </c>
      <c r="F466" s="14" t="inlineStr">
        <is>
          <t>Listed on PropKart (Available)</t>
        </is>
      </c>
      <c r="G466" s="14" t="inlineStr">
        <is>
          <t>Rakesh Jadav</t>
        </is>
      </c>
      <c r="H466" s="14" t="inlineStr">
        <is>
          <t>Onboarded (Available)</t>
        </is>
      </c>
      <c r="I466" s="14" t="inlineStr">
        <is>
          <t>-</t>
        </is>
      </c>
    </row>
    <row r="467" ht="20" customHeight="1">
      <c r="A467" s="58" t="n">
        <v>46230.55503349537</v>
      </c>
      <c r="B467" s="19" t="inlineStr">
        <is>
          <t>4. This Year (2026)</t>
        </is>
      </c>
      <c r="C467" s="17" t="inlineStr">
        <is>
          <t>Direct Property / Walk-in</t>
        </is>
      </c>
      <c r="D467" s="17" t="inlineStr">
        <is>
          <t>shilp serene - Niraj bhai (9375971718</t>
        </is>
      </c>
      <c r="E467" s="17" t="inlineStr">
        <is>
          <t>Direct CRM Listing</t>
        </is>
      </c>
      <c r="F467" s="17" t="inlineStr">
        <is>
          <t>Listed on PropKart (Available)</t>
        </is>
      </c>
      <c r="G467" s="17" t="inlineStr">
        <is>
          <t>Rakesh Jadav</t>
        </is>
      </c>
      <c r="H467" s="17" t="inlineStr">
        <is>
          <t>Onboarded (Available)</t>
        </is>
      </c>
      <c r="I467" s="17" t="inlineStr">
        <is>
          <t>best invester unit 2 balcony with sp ring road view</t>
        </is>
      </c>
    </row>
    <row r="468" ht="20" customHeight="1">
      <c r="A468" s="57" t="n">
        <v>46226.53396271991</v>
      </c>
      <c r="B468" s="16" t="inlineStr">
        <is>
          <t>4. This Year (2026)</t>
        </is>
      </c>
      <c r="C468" s="14" t="inlineStr">
        <is>
          <t>Direct Property / Walk-in</t>
        </is>
      </c>
      <c r="D468" s="14" t="inlineStr">
        <is>
          <t>stutass 55 - Minesh bhai (9327513549</t>
        </is>
      </c>
      <c r="E468" s="14" t="inlineStr">
        <is>
          <t>Direct CRM Listing</t>
        </is>
      </c>
      <c r="F468" s="14" t="inlineStr">
        <is>
          <t>Listed on PropKart (Available)</t>
        </is>
      </c>
      <c r="G468" s="14" t="inlineStr">
        <is>
          <t>Rakesh Jadav</t>
        </is>
      </c>
      <c r="H468" s="14" t="inlineStr">
        <is>
          <t>Onboarded (Available)</t>
        </is>
      </c>
      <c r="I468" s="14" t="inlineStr">
        <is>
          <t>-</t>
        </is>
      </c>
    </row>
    <row r="469" ht="20" customHeight="1">
      <c r="A469" s="58" t="n">
        <v>46223.75885989583</v>
      </c>
      <c r="B469" s="19" t="inlineStr">
        <is>
          <t>4. This Year (2026)</t>
        </is>
      </c>
      <c r="C469" s="17" t="inlineStr">
        <is>
          <t>Direct Property / Walk-in</t>
        </is>
      </c>
      <c r="D469" s="17" t="inlineStr">
        <is>
          <t>Mondeal heights - Krish bhai (8780391842</t>
        </is>
      </c>
      <c r="E469" s="17" t="inlineStr">
        <is>
          <t>Direct CRM Listing</t>
        </is>
      </c>
      <c r="F469" s="17" t="inlineStr">
        <is>
          <t>Listed on PropKart (Available)</t>
        </is>
      </c>
      <c r="G469" s="17" t="inlineStr">
        <is>
          <t>Somel Rathod</t>
        </is>
      </c>
      <c r="H469" s="17" t="inlineStr">
        <is>
          <t>Onboarded (Available)</t>
        </is>
      </c>
      <c r="I469" s="17" t="inlineStr">
        <is>
          <t>-</t>
        </is>
      </c>
    </row>
    <row r="470" ht="20" customHeight="1">
      <c r="A470" s="57" t="n">
        <v>46223.742143125</v>
      </c>
      <c r="B470" s="16" t="inlineStr">
        <is>
          <t>4. This Year (2026)</t>
        </is>
      </c>
      <c r="C470" s="14" t="inlineStr">
        <is>
          <t>Direct Property / Walk-in</t>
        </is>
      </c>
      <c r="D470" s="14" t="inlineStr">
        <is>
          <t>Heritage Bungalow - Dilip bhai (9924440115</t>
        </is>
      </c>
      <c r="E470" s="14" t="inlineStr">
        <is>
          <t>Direct CRM Listing</t>
        </is>
      </c>
      <c r="F470" s="14" t="inlineStr">
        <is>
          <t>Listed on PropKart (Available)</t>
        </is>
      </c>
      <c r="G470" s="14" t="inlineStr">
        <is>
          <t>Rajan Purani</t>
        </is>
      </c>
      <c r="H470" s="14" t="inlineStr">
        <is>
          <t>Onboarded (Available)</t>
        </is>
      </c>
      <c r="I470" s="14" t="inlineStr">
        <is>
          <t>-</t>
        </is>
      </c>
    </row>
    <row r="471" ht="20" customHeight="1">
      <c r="A471" s="58" t="n">
        <v>46223.74113881945</v>
      </c>
      <c r="B471" s="19" t="inlineStr">
        <is>
          <t>4. This Year (2026)</t>
        </is>
      </c>
      <c r="C471" s="17" t="inlineStr">
        <is>
          <t>Direct Property / Walk-in</t>
        </is>
      </c>
      <c r="D471" s="17" t="inlineStr">
        <is>
          <t>Home Navkar Heights - somel (9016134875</t>
        </is>
      </c>
      <c r="E471" s="17" t="inlineStr">
        <is>
          <t>Direct CRM Listing</t>
        </is>
      </c>
      <c r="F471" s="17" t="inlineStr">
        <is>
          <t>Listed on PropKart (Available)</t>
        </is>
      </c>
      <c r="G471" s="17" t="inlineStr">
        <is>
          <t>Somel Rathod</t>
        </is>
      </c>
      <c r="H471" s="17" t="inlineStr">
        <is>
          <t>Onboarded (Available)</t>
        </is>
      </c>
      <c r="I471" s="17" t="inlineStr">
        <is>
          <t>-</t>
        </is>
      </c>
    </row>
    <row r="472" ht="20" customHeight="1">
      <c r="A472" s="57" t="n">
        <v>46223.73948675926</v>
      </c>
      <c r="B472" s="16" t="inlineStr">
        <is>
          <t>4. This Year (2026)</t>
        </is>
      </c>
      <c r="C472" s="14" t="inlineStr">
        <is>
          <t>Direct Property / Walk-in</t>
        </is>
      </c>
      <c r="D472" s="14" t="inlineStr">
        <is>
          <t>shilp serene - mukesh bhai (7984110942</t>
        </is>
      </c>
      <c r="E472" s="14" t="inlineStr">
        <is>
          <t>Direct CRM Listing</t>
        </is>
      </c>
      <c r="F472" s="14" t="inlineStr">
        <is>
          <t>Listed on PropKart (Available)</t>
        </is>
      </c>
      <c r="G472" s="14" t="inlineStr">
        <is>
          <t>Rakesh Jadav</t>
        </is>
      </c>
      <c r="H472" s="14" t="inlineStr">
        <is>
          <t>Onboarded (Available)</t>
        </is>
      </c>
      <c r="I472" s="14" t="inlineStr">
        <is>
          <t>-</t>
        </is>
      </c>
    </row>
    <row r="473" ht="20" customHeight="1">
      <c r="A473" s="58" t="n">
        <v>46223.72313834491</v>
      </c>
      <c r="B473" s="19" t="inlineStr">
        <is>
          <t>4. This Year (2026)</t>
        </is>
      </c>
      <c r="C473" s="17" t="inlineStr">
        <is>
          <t>Direct Property / Walk-in</t>
        </is>
      </c>
      <c r="D473" s="17" t="inlineStr">
        <is>
          <t>pearl heights - kiran bhai (9016134884</t>
        </is>
      </c>
      <c r="E473" s="17" t="inlineStr">
        <is>
          <t>Direct CRM Listing</t>
        </is>
      </c>
      <c r="F473" s="17" t="inlineStr">
        <is>
          <t>Listed on PropKart (Available)</t>
        </is>
      </c>
      <c r="G473" s="17" t="inlineStr">
        <is>
          <t>Somel Rathod</t>
        </is>
      </c>
      <c r="H473" s="17" t="inlineStr">
        <is>
          <t>Onboarded (Available)</t>
        </is>
      </c>
      <c r="I473" s="17" t="inlineStr">
        <is>
          <t>-</t>
        </is>
      </c>
    </row>
    <row r="474" ht="20" customHeight="1">
      <c r="A474" s="57" t="n">
        <v>46223.71333556713</v>
      </c>
      <c r="B474" s="16" t="inlineStr">
        <is>
          <t>4. This Year (2026)</t>
        </is>
      </c>
      <c r="C474" s="14" t="inlineStr">
        <is>
          <t>Direct Property / Walk-in</t>
        </is>
      </c>
      <c r="D474" s="14" t="inlineStr">
        <is>
          <t>Satyagarah chhavani - Milin Patel (9998717099</t>
        </is>
      </c>
      <c r="E474" s="14" t="inlineStr">
        <is>
          <t>Direct CRM Listing</t>
        </is>
      </c>
      <c r="F474" s="14" t="inlineStr">
        <is>
          <t>Listed on PropKart (Available)</t>
        </is>
      </c>
      <c r="G474" s="14" t="inlineStr">
        <is>
          <t>Rajan Purani</t>
        </is>
      </c>
      <c r="H474" s="14" t="inlineStr">
        <is>
          <t>Onboarded (Available)</t>
        </is>
      </c>
      <c r="I474" s="14" t="inlineStr">
        <is>
          <t>Atyre client ne baahr thi batavu pasand aave pachi visit karavi</t>
        </is>
      </c>
    </row>
    <row r="475" ht="20" customHeight="1">
      <c r="A475" s="58" t="n">
        <v>46223.70759354167</v>
      </c>
      <c r="B475" s="19" t="inlineStr">
        <is>
          <t>4. This Year (2026)</t>
        </is>
      </c>
      <c r="C475" s="17" t="inlineStr">
        <is>
          <t>Direct Property / Walk-in</t>
        </is>
      </c>
      <c r="D475" s="17" t="inlineStr">
        <is>
          <t>Enigma - Enigma tower (8980037347</t>
        </is>
      </c>
      <c r="E475" s="17" t="inlineStr">
        <is>
          <t>Direct CRM Listing</t>
        </is>
      </c>
      <c r="F475" s="17" t="inlineStr">
        <is>
          <t>Listed on PropKart (Available)</t>
        </is>
      </c>
      <c r="G475" s="17" t="inlineStr">
        <is>
          <t>Rakesh Jadav</t>
        </is>
      </c>
      <c r="H475" s="17" t="inlineStr">
        <is>
          <t>Onboarded (Available)</t>
        </is>
      </c>
      <c r="I475" s="17" t="inlineStr">
        <is>
          <t>-</t>
        </is>
      </c>
    </row>
    <row r="476" ht="20" customHeight="1">
      <c r="A476" s="57" t="n">
        <v>46223.63768067129</v>
      </c>
      <c r="B476" s="16" t="inlineStr">
        <is>
          <t>4. This Year (2026)</t>
        </is>
      </c>
      <c r="C476" s="14" t="inlineStr">
        <is>
          <t>Direct Property / Walk-in</t>
        </is>
      </c>
      <c r="D476" s="14" t="inlineStr">
        <is>
          <t>sudharshan pride - sagar patel (9879408944</t>
        </is>
      </c>
      <c r="E476" s="14" t="inlineStr">
        <is>
          <t>Direct CRM Listing</t>
        </is>
      </c>
      <c r="F476" s="14" t="inlineStr">
        <is>
          <t>Listed on PropKart (Available)</t>
        </is>
      </c>
      <c r="G476" s="14" t="inlineStr">
        <is>
          <t>Rakesh Jadav</t>
        </is>
      </c>
      <c r="H476" s="14" t="inlineStr">
        <is>
          <t>Onboarded (Available)</t>
        </is>
      </c>
      <c r="I476" s="14" t="inlineStr">
        <is>
          <t>-</t>
        </is>
      </c>
    </row>
    <row r="477" ht="20" customHeight="1">
      <c r="A477" s="58" t="n">
        <v>46223.55267266204</v>
      </c>
      <c r="B477" s="19" t="inlineStr">
        <is>
          <t>4. This Year (2026)</t>
        </is>
      </c>
      <c r="C477" s="17" t="inlineStr">
        <is>
          <t>Direct Property / Walk-in</t>
        </is>
      </c>
      <c r="D477" s="17" t="inlineStr">
        <is>
          <t>Sun Grevitas - pravin bhai (9624097919</t>
        </is>
      </c>
      <c r="E477" s="17" t="inlineStr">
        <is>
          <t>Direct CRM Listing</t>
        </is>
      </c>
      <c r="F477" s="17" t="inlineStr">
        <is>
          <t>Listed on PropKart (Available)</t>
        </is>
      </c>
      <c r="G477" s="17" t="inlineStr">
        <is>
          <t>Rajan Purani</t>
        </is>
      </c>
      <c r="H477" s="17" t="inlineStr">
        <is>
          <t>Onboarded (Available)</t>
        </is>
      </c>
      <c r="I477" s="17" t="inlineStr">
        <is>
          <t>first flooor shop sun gravitas shyamal</t>
        </is>
      </c>
    </row>
    <row r="478" ht="20" customHeight="1">
      <c r="A478" s="57" t="n">
        <v>46223.53995758102</v>
      </c>
      <c r="B478" s="16" t="inlineStr">
        <is>
          <t>4. This Year (2026)</t>
        </is>
      </c>
      <c r="C478" s="14" t="inlineStr">
        <is>
          <t>Direct Property / Walk-in</t>
        </is>
      </c>
      <c r="D478" s="14" t="inlineStr">
        <is>
          <t>Shiip serene - niraj bhai (9375971718</t>
        </is>
      </c>
      <c r="E478" s="14" t="inlineStr">
        <is>
          <t>Direct CRM Listing</t>
        </is>
      </c>
      <c r="F478" s="14" t="inlineStr">
        <is>
          <t>Listed on PropKart (Available)</t>
        </is>
      </c>
      <c r="G478" s="14" t="inlineStr">
        <is>
          <t>Somel Rathod</t>
        </is>
      </c>
      <c r="H478" s="14" t="inlineStr">
        <is>
          <t>Onboarded (Available)</t>
        </is>
      </c>
      <c r="I478" s="14" t="inlineStr">
        <is>
          <t>-</t>
        </is>
      </c>
    </row>
    <row r="479" ht="20" customHeight="1">
      <c r="A479" s="58" t="n">
        <v>46223.51831288195</v>
      </c>
      <c r="B479" s="19" t="inlineStr">
        <is>
          <t>4. This Year (2026)</t>
        </is>
      </c>
      <c r="C479" s="17" t="inlineStr">
        <is>
          <t>Direct Property / Walk-in</t>
        </is>
      </c>
      <c r="D479" s="17" t="inlineStr">
        <is>
          <t>Oryan armonia - utkal bhai (8469816224</t>
        </is>
      </c>
      <c r="E479" s="17" t="inlineStr">
        <is>
          <t>Direct CRM Listing</t>
        </is>
      </c>
      <c r="F479" s="17" t="inlineStr">
        <is>
          <t>Listed on PropKart (Available)</t>
        </is>
      </c>
      <c r="G479" s="17" t="inlineStr">
        <is>
          <t>Rakesh Jadav</t>
        </is>
      </c>
      <c r="H479" s="17" t="inlineStr">
        <is>
          <t>Onboarded (Available)</t>
        </is>
      </c>
      <c r="I479" s="17" t="inlineStr">
        <is>
          <t>-</t>
        </is>
      </c>
    </row>
    <row r="480" ht="20" customHeight="1">
      <c r="A480" s="57" t="n">
        <v>46220.74237959491</v>
      </c>
      <c r="B480" s="16" t="inlineStr">
        <is>
          <t>4. This Year (2026)</t>
        </is>
      </c>
      <c r="C480" s="14" t="inlineStr">
        <is>
          <t>Direct Property / Walk-in</t>
        </is>
      </c>
      <c r="D480" s="14" t="inlineStr">
        <is>
          <t>Sky 100 thaltej - Jignasha ba (9408297593</t>
        </is>
      </c>
      <c r="E480" s="14" t="inlineStr">
        <is>
          <t>Direct CRM Listing</t>
        </is>
      </c>
      <c r="F480" s="14" t="inlineStr">
        <is>
          <t>Listed on PropKart (Available)</t>
        </is>
      </c>
      <c r="G480" s="14" t="inlineStr">
        <is>
          <t>Rajan Purani</t>
        </is>
      </c>
      <c r="H480" s="14" t="inlineStr">
        <is>
          <t>Onboarded (Available)</t>
        </is>
      </c>
      <c r="I480" s="14" t="inlineStr">
        <is>
          <t>only veg family allow</t>
        </is>
      </c>
    </row>
    <row r="481" ht="20" customHeight="1">
      <c r="A481" s="58" t="n">
        <v>46220.71313598379</v>
      </c>
      <c r="B481" s="19" t="inlineStr">
        <is>
          <t>4. This Year (2026)</t>
        </is>
      </c>
      <c r="C481" s="17" t="inlineStr">
        <is>
          <t>Direct Property / Walk-in</t>
        </is>
      </c>
      <c r="D481" s="17" t="inlineStr">
        <is>
          <t>La Habitat - GD Maghnani (9414394220</t>
        </is>
      </c>
      <c r="E481" s="17" t="inlineStr">
        <is>
          <t>Direct CRM Listing</t>
        </is>
      </c>
      <c r="F481" s="17" t="inlineStr">
        <is>
          <t>Listed on PropKart (Available)</t>
        </is>
      </c>
      <c r="G481" s="17" t="inlineStr">
        <is>
          <t>Rajan Purani</t>
        </is>
      </c>
      <c r="H481" s="17" t="inlineStr">
        <is>
          <t>Onboarded (Available)</t>
        </is>
      </c>
      <c r="I481" s="17" t="inlineStr">
        <is>
          <t>monday call kari ne photos mate javu</t>
        </is>
      </c>
    </row>
  </sheetData>
  <autoFilter ref="A1:I4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3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5" customWidth="1" min="2" max="2"/>
    <col width="42" customWidth="1" min="3" max="3"/>
    <col width="42" customWidth="1" min="4" max="4"/>
    <col width="23" customWidth="1" min="5" max="5"/>
    <col width="28" customWidth="1" min="6" max="6"/>
    <col width="33" customWidth="1" min="7" max="7"/>
    <col width="36" customWidth="1" min="8" max="8"/>
    <col width="65" customWidth="1" min="9" max="9"/>
  </cols>
  <sheetData>
    <row r="1" ht="28" customHeight="1">
      <c r="A1" s="23" t="inlineStr">
        <is>
          <t>date</t>
        </is>
      </c>
      <c r="B1" s="23" t="inlineStr">
        <is>
          <t>date filter</t>
        </is>
      </c>
      <c r="C1" s="23" t="inlineStr">
        <is>
          <t>lead source</t>
        </is>
      </c>
      <c r="D1" s="23" t="inlineStr">
        <is>
          <t>lead name</t>
        </is>
      </c>
      <c r="E1" s="23" t="inlineStr">
        <is>
          <t>allocated telecaller</t>
        </is>
      </c>
      <c r="F1" s="23" t="inlineStr">
        <is>
          <t>current status</t>
        </is>
      </c>
      <c r="G1" s="23" t="inlineStr">
        <is>
          <t>if assigned -- sales user name</t>
        </is>
      </c>
      <c r="H1" s="23" t="inlineStr">
        <is>
          <t>sales user toggled current status</t>
        </is>
      </c>
      <c r="I1" s="23" t="inlineStr">
        <is>
          <t>remarks</t>
        </is>
      </c>
    </row>
    <row r="2" ht="20" customHeight="1">
      <c r="A2" s="57" t="n">
        <v>46293.75859085648</v>
      </c>
      <c r="B2" s="25" t="inlineStr">
        <is>
          <t>1. Today (28-Sep)</t>
        </is>
      </c>
      <c r="C2" s="14" t="inlineStr">
        <is>
          <t>Direct</t>
        </is>
      </c>
      <c r="D2" s="14" t="inlineStr">
        <is>
          <t>Vivek Singh (9426372931)</t>
        </is>
      </c>
      <c r="E2" s="14" t="inlineStr">
        <is>
          <t>Zeel Mudaliyar</t>
        </is>
      </c>
      <c r="F2" s="14" t="inlineStr">
        <is>
          <t>New</t>
        </is>
      </c>
      <c r="G2" s="14" t="inlineStr">
        <is>
          <t>Rajan Purani</t>
        </is>
      </c>
      <c r="H2" s="14" t="inlineStr">
        <is>
          <t>New</t>
        </is>
      </c>
      <c r="I2" s="14" t="inlineStr">
        <is>
          <t>Location - Motera, Koba, Raysan and nearby area, Bunglow with some outdoor space and parking preffered | CRM: Location - Motera, Koba, Raysan and nearby area, Bunglow with some outdoor space and parking preffered</t>
        </is>
      </c>
    </row>
    <row r="3" ht="20" customHeight="1">
      <c r="A3" s="58" t="n">
        <v>46293.67263527778</v>
      </c>
      <c r="B3" s="27" t="inlineStr">
        <is>
          <t>1. Today (28-Sep)</t>
        </is>
      </c>
      <c r="C3" s="17" t="inlineStr">
        <is>
          <t>Meta Ads (NB PropertyTech Survey Ad 3108)</t>
        </is>
      </c>
      <c r="D3" s="17" t="inlineStr">
        <is>
          <t>Vensi Pokiya (9327036161)</t>
        </is>
      </c>
      <c r="E3" s="17" t="inlineStr">
        <is>
          <t>Zeel Mudaliyar</t>
        </is>
      </c>
      <c r="F3" s="17" t="inlineStr">
        <is>
          <t>New</t>
        </is>
      </c>
      <c r="G3" s="17" t="inlineStr">
        <is>
          <t>Not Assigned</t>
        </is>
      </c>
      <c r="H3" s="17" t="inlineStr">
        <is>
          <t>N/A (Not Assigned)</t>
        </is>
      </c>
      <c r="I3" s="17" t="inlineStr">
        <is>
          <t>-</t>
        </is>
      </c>
    </row>
    <row r="4" ht="20" customHeight="1">
      <c r="A4" s="57" t="n">
        <v>46293.64902431713</v>
      </c>
      <c r="B4" s="25" t="inlineStr">
        <is>
          <t>1. Today (28-Sep)</t>
        </is>
      </c>
      <c r="C4" s="14" t="inlineStr">
        <is>
          <t>Meta Ads (NB PropertyTech Survey Ad 3108)</t>
        </is>
      </c>
      <c r="D4" s="14" t="inlineStr">
        <is>
          <t>Shashank Tatu (9879919438)</t>
        </is>
      </c>
      <c r="E4" s="14" t="inlineStr">
        <is>
          <t>Zeel Mudaliyar</t>
        </is>
      </c>
      <c r="F4" s="14" t="inlineStr">
        <is>
          <t>New</t>
        </is>
      </c>
      <c r="G4" s="14" t="inlineStr">
        <is>
          <t>Not Assigned</t>
        </is>
      </c>
      <c r="H4" s="14" t="inlineStr">
        <is>
          <t>N/A (Not Assigned)</t>
        </is>
      </c>
      <c r="I4" s="14" t="inlineStr">
        <is>
          <t>-</t>
        </is>
      </c>
    </row>
    <row r="5" ht="20" customHeight="1">
      <c r="A5" s="58" t="n">
        <v>46293.57513840278</v>
      </c>
      <c r="B5" s="27" t="inlineStr">
        <is>
          <t>1. Today (28-Sep)</t>
        </is>
      </c>
      <c r="C5" s="17" t="inlineStr">
        <is>
          <t>Meta Ads (NB PropertyTech Survey Ad 3108)</t>
        </is>
      </c>
      <c r="D5" s="17" t="inlineStr">
        <is>
          <t>Devika Ck Devika (9173685744)</t>
        </is>
      </c>
      <c r="E5" s="17" t="inlineStr">
        <is>
          <t>Zeel Mudaliyar</t>
        </is>
      </c>
      <c r="F5" s="17" t="inlineStr">
        <is>
          <t>New</t>
        </is>
      </c>
      <c r="G5" s="17" t="inlineStr">
        <is>
          <t>Not Assigned</t>
        </is>
      </c>
      <c r="H5" s="17" t="inlineStr">
        <is>
          <t>N/A (Not Assigned)</t>
        </is>
      </c>
      <c r="I5" s="17" t="inlineStr">
        <is>
          <t>-</t>
        </is>
      </c>
    </row>
    <row r="6" ht="20" customHeight="1">
      <c r="A6" s="57" t="n">
        <v>46293.55603712963</v>
      </c>
      <c r="B6" s="25" t="inlineStr">
        <is>
          <t>1. Today (28-Sep)</t>
        </is>
      </c>
      <c r="C6" s="14" t="inlineStr">
        <is>
          <t>Housing.com (Navrangpura)</t>
        </is>
      </c>
      <c r="D6" s="14" t="inlineStr">
        <is>
          <t>Vishwrajsinh Jadeja (9265422446)</t>
        </is>
      </c>
      <c r="E6" s="14" t="inlineStr">
        <is>
          <t>Zeel Mudaliyar</t>
        </is>
      </c>
      <c r="F6" s="14" t="inlineStr">
        <is>
          <t>Sales</t>
        </is>
      </c>
      <c r="G6" s="14" t="inlineStr">
        <is>
          <t>Viral Jadeja</t>
        </is>
      </c>
      <c r="H6" s="14" t="inlineStr">
        <is>
          <t>Assigned</t>
        </is>
      </c>
      <c r="I6" s="14" t="inlineStr">
        <is>
          <t>Transfer: SG Highway, Gota, Thaltej, Bopal, 400-500 sq ft, budget 25-30 K, Fully furnished, office commercial property | Transfer Note: SG Highway, Gota, Thaltej, Bopal, 400-500 sq ft, budget 25-30 K, Fully furnished, office commercial property | CRM: [Telecaller Key Points]: SG Highway, Gota, Thaltej, Bopal, 400-500 sq ft, budget 25-30 K, Fully furnished, office commercial property | [Telecaller Key Points]: SG Highway, Gota, Thaltej, Bopal, 400-500 sq ft, budget 25-30 K, Fully furnished, office commercial property | SG Highway, Gota, Thaltej, Bopal, 400-500 sq ft, budget 25-30 K, Fully furnished, office commercial property</t>
        </is>
      </c>
    </row>
    <row r="7" ht="20" customHeight="1">
      <c r="A7" s="58" t="n">
        <v>46293.51572943287</v>
      </c>
      <c r="B7" s="27" t="inlineStr">
        <is>
          <t>1. Today (28-Sep)</t>
        </is>
      </c>
      <c r="C7" s="17" t="inlineStr">
        <is>
          <t>Meta Ads (NB PropertyTech Survey Ad 3108)</t>
        </is>
      </c>
      <c r="D7" s="17" t="inlineStr">
        <is>
          <t>Diva (7069336262)</t>
        </is>
      </c>
      <c r="E7" s="17" t="inlineStr">
        <is>
          <t>Zeel Mudaliyar</t>
        </is>
      </c>
      <c r="F7" s="17" t="inlineStr">
        <is>
          <t>New</t>
        </is>
      </c>
      <c r="G7" s="17" t="inlineStr">
        <is>
          <t>Not Assigned</t>
        </is>
      </c>
      <c r="H7" s="17" t="inlineStr">
        <is>
          <t>N/A (Not Assigned)</t>
        </is>
      </c>
      <c r="I7" s="17" t="inlineStr">
        <is>
          <t>-</t>
        </is>
      </c>
    </row>
    <row r="8" ht="20" customHeight="1">
      <c r="A8" s="57" t="n">
        <v>46293.51016796297</v>
      </c>
      <c r="B8" s="25" t="inlineStr">
        <is>
          <t>1. Today (28-Sep)</t>
        </is>
      </c>
      <c r="C8" s="14" t="inlineStr">
        <is>
          <t>Housing.com (Naranpura)</t>
        </is>
      </c>
      <c r="D8" s="14" t="inlineStr">
        <is>
          <t>Vivek Karavadia (9512227740)</t>
        </is>
      </c>
      <c r="E8" s="14" t="inlineStr">
        <is>
          <t>Zeel Mudaliyar</t>
        </is>
      </c>
      <c r="F8" s="14" t="inlineStr">
        <is>
          <t>New</t>
        </is>
      </c>
      <c r="G8" s="14" t="inlineStr">
        <is>
          <t>Not Assigned</t>
        </is>
      </c>
      <c r="H8" s="14" t="inlineStr">
        <is>
          <t>N/A (Not Assigned)</t>
        </is>
      </c>
      <c r="I8" s="14" t="inlineStr">
        <is>
          <t>-</t>
        </is>
      </c>
    </row>
    <row r="9" ht="20" customHeight="1">
      <c r="A9" s="58" t="n">
        <v>46293.4560009375</v>
      </c>
      <c r="B9" s="27" t="inlineStr">
        <is>
          <t>1. Today (28-Sep)</t>
        </is>
      </c>
      <c r="C9" s="17" t="inlineStr">
        <is>
          <t>Meta Ads (NB PropertyTech Survey Ad 3108)</t>
        </is>
      </c>
      <c r="D9" s="17" t="inlineStr">
        <is>
          <t>Vishal Jat (9111010777)</t>
        </is>
      </c>
      <c r="E9" s="17" t="inlineStr">
        <is>
          <t>Zeel Mudaliyar</t>
        </is>
      </c>
      <c r="F9" s="17" t="inlineStr">
        <is>
          <t>Sales</t>
        </is>
      </c>
      <c r="G9" s="17" t="inlineStr">
        <is>
          <t>Rajan Purani</t>
        </is>
      </c>
      <c r="H9" s="17" t="inlineStr">
        <is>
          <t>Assigned</t>
        </is>
      </c>
      <c r="I9" s="17" t="inlineStr">
        <is>
          <t>Transfer: Locations Gurukul, Ambawadi, Memnagar, Vastrapur, 2 BHK, for family, with 25K budget range, Semi furnished AC and Bed required, possession after 1 month | Transfer Note: Locations Gurukul, Ambawadi, Memnagar, Vastrapur, 2 BHK, for family, with 25K budget range, Semi furnished AC and Bed required, possession after 1 month | CRM: [Telecaller Key Points]: Locations Gurukul, Ambawadi, Memnagar, Vastrapur, 2 BHK, for family, with 25K budget range, Semi furnished AC and Bed required, possession after 1 month | [Telecaller Key Points]: Locations Gurukul, Ambawadi, Memnagar, Vastrapur, 2 BHK, for family, with 25K budget range, Semi furnished AC and Bed required, possession after 1 month | Locations Gurukul, Ambawadi, Memnagar, Vastrapur, 2 BHK, for family, with 25K budget range, Semi furnished AC and Bed required, possession after 1 month</t>
        </is>
      </c>
    </row>
    <row r="10" ht="20" customHeight="1">
      <c r="A10" s="57" t="n">
        <v>46293.45322987268</v>
      </c>
      <c r="B10" s="25" t="inlineStr">
        <is>
          <t>1. Today (28-Sep)</t>
        </is>
      </c>
      <c r="C10" s="14" t="inlineStr">
        <is>
          <t>Meta Ads (NB PropertyTech Survey Ad 3108)</t>
        </is>
      </c>
      <c r="D10" s="14" t="inlineStr">
        <is>
          <t>Pradip Chotara (9712315547)</t>
        </is>
      </c>
      <c r="E10" s="14" t="inlineStr">
        <is>
          <t>Prexa Vithalapara</t>
        </is>
      </c>
      <c r="F10" s="14" t="inlineStr">
        <is>
          <t>New</t>
        </is>
      </c>
      <c r="G10" s="14" t="inlineStr">
        <is>
          <t>Not Assigned</t>
        </is>
      </c>
      <c r="H10" s="14" t="inlineStr">
        <is>
          <t>N/A (Not Assigned)</t>
        </is>
      </c>
      <c r="I10" s="14" t="inlineStr">
        <is>
          <t>-</t>
        </is>
      </c>
    </row>
    <row r="11" ht="20" customHeight="1">
      <c r="A11" s="58" t="n">
        <v>46293.43794368055</v>
      </c>
      <c r="B11" s="27" t="inlineStr">
        <is>
          <t>1. Today (28-Sep)</t>
        </is>
      </c>
      <c r="C11" s="17" t="inlineStr">
        <is>
          <t>Housing.com (Nava Vadaj)</t>
        </is>
      </c>
      <c r="D11" s="17" t="inlineStr">
        <is>
          <t>Mital Bride Studio (8734876967)</t>
        </is>
      </c>
      <c r="E11" s="17" t="inlineStr">
        <is>
          <t>Zeel Mudaliyar</t>
        </is>
      </c>
      <c r="F11" s="17" t="inlineStr">
        <is>
          <t>New</t>
        </is>
      </c>
      <c r="G11" s="17" t="inlineStr">
        <is>
          <t>Not Assigned</t>
        </is>
      </c>
      <c r="H11" s="17" t="inlineStr">
        <is>
          <t>N/A (Not Assigned)</t>
        </is>
      </c>
      <c r="I11" s="17" t="inlineStr">
        <is>
          <t>-</t>
        </is>
      </c>
    </row>
    <row r="12" ht="20" customHeight="1">
      <c r="A12" s="57" t="n">
        <v>46293.39627284723</v>
      </c>
      <c r="B12" s="25" t="inlineStr">
        <is>
          <t>1. Today (28-Sep)</t>
        </is>
      </c>
      <c r="C12" s="14" t="inlineStr">
        <is>
          <t>Housing.com (Nava Vadaj)</t>
        </is>
      </c>
      <c r="D12" s="14" t="inlineStr">
        <is>
          <t>V (7974797176)</t>
        </is>
      </c>
      <c r="E12" s="14" t="inlineStr">
        <is>
          <t>Zeel Mudaliyar</t>
        </is>
      </c>
      <c r="F12" s="14" t="inlineStr">
        <is>
          <t>New</t>
        </is>
      </c>
      <c r="G12" s="14" t="inlineStr">
        <is>
          <t>Not Assigned</t>
        </is>
      </c>
      <c r="H12" s="14" t="inlineStr">
        <is>
          <t>N/A (Not Assigned)</t>
        </is>
      </c>
      <c r="I12" s="14" t="inlineStr">
        <is>
          <t>-</t>
        </is>
      </c>
    </row>
    <row r="13" ht="20" customHeight="1">
      <c r="A13" s="58" t="n">
        <v>46293.33862611111</v>
      </c>
      <c r="B13" s="27" t="inlineStr">
        <is>
          <t>1. Today (28-Sep)</t>
        </is>
      </c>
      <c r="C13" s="17" t="inlineStr">
        <is>
          <t>Meta Ads (NB PropertyTech Survey Ad 3108)</t>
        </is>
      </c>
      <c r="D13" s="17" t="inlineStr">
        <is>
          <t>Harvi Soni (8320454975)</t>
        </is>
      </c>
      <c r="E13" s="17" t="inlineStr">
        <is>
          <t>Prexa Vithalapara</t>
        </is>
      </c>
      <c r="F13" s="17" t="inlineStr">
        <is>
          <t>New</t>
        </is>
      </c>
      <c r="G13" s="17" t="inlineStr">
        <is>
          <t>Not Assigned</t>
        </is>
      </c>
      <c r="H13" s="17" t="inlineStr">
        <is>
          <t>N/A (Not Assigned)</t>
        </is>
      </c>
      <c r="I13" s="17" t="inlineStr">
        <is>
          <t>-</t>
        </is>
      </c>
    </row>
    <row r="14" ht="20" customHeight="1">
      <c r="A14" s="57" t="n">
        <v>46292.90036462963</v>
      </c>
      <c r="B14" s="29" t="inlineStr">
        <is>
          <t>2. This Week (Last 7 Days)</t>
        </is>
      </c>
      <c r="C14" s="14" t="inlineStr">
        <is>
          <t>Meta Ads (NB PropertyTech Survey Ad 3108)</t>
        </is>
      </c>
      <c r="D14" s="14" t="inlineStr">
        <is>
          <t>Sunita Pateriya (8141704848)</t>
        </is>
      </c>
      <c r="E14" s="14" t="inlineStr">
        <is>
          <t>Prexa Vithalapara</t>
        </is>
      </c>
      <c r="F14" s="14" t="inlineStr">
        <is>
          <t>New</t>
        </is>
      </c>
      <c r="G14" s="14" t="inlineStr">
        <is>
          <t>Not Assigned</t>
        </is>
      </c>
      <c r="H14" s="14" t="inlineStr">
        <is>
          <t>N/A (Not Assigned)</t>
        </is>
      </c>
      <c r="I14" s="14" t="inlineStr">
        <is>
          <t>-</t>
        </is>
      </c>
    </row>
    <row r="15" ht="20" customHeight="1">
      <c r="A15" s="58" t="n">
        <v>46292.78717002315</v>
      </c>
      <c r="B15" s="28" t="inlineStr">
        <is>
          <t>2. This Week (Last 7 Days)</t>
        </is>
      </c>
      <c r="C15" s="17" t="inlineStr">
        <is>
          <t>Housing.com (Vaishno Devi Circle)</t>
        </is>
      </c>
      <c r="D15" s="17" t="inlineStr">
        <is>
          <t>Bipradash (8970224533)</t>
        </is>
      </c>
      <c r="E15" s="17" t="inlineStr">
        <is>
          <t>Unassigned</t>
        </is>
      </c>
      <c r="F15" s="17" t="inlineStr">
        <is>
          <t>New</t>
        </is>
      </c>
      <c r="G15" s="17" t="inlineStr">
        <is>
          <t>Not Assigned</t>
        </is>
      </c>
      <c r="H15" s="17" t="inlineStr">
        <is>
          <t>N/A (Not Assigned)</t>
        </is>
      </c>
      <c r="I15" s="17" t="inlineStr">
        <is>
          <t>-</t>
        </is>
      </c>
    </row>
    <row r="16" ht="20" customHeight="1">
      <c r="A16" s="57" t="n">
        <v>46292.78089324074</v>
      </c>
      <c r="B16" s="29" t="inlineStr">
        <is>
          <t>2. This Week (Last 7 Days)</t>
        </is>
      </c>
      <c r="C16" s="14" t="inlineStr">
        <is>
          <t>Meta Ads (NB PropertyTech Survey Ad 3108)</t>
        </is>
      </c>
      <c r="D16" s="14" t="inlineStr">
        <is>
          <t>Ashutosh Shingala (9737938603)</t>
        </is>
      </c>
      <c r="E16" s="14" t="inlineStr">
        <is>
          <t>Zeel Mudaliyar</t>
        </is>
      </c>
      <c r="F16" s="14" t="inlineStr">
        <is>
          <t>New</t>
        </is>
      </c>
      <c r="G16" s="14" t="inlineStr">
        <is>
          <t>Not Assigned</t>
        </is>
      </c>
      <c r="H16" s="14" t="inlineStr">
        <is>
          <t>N/A (Not Assigned)</t>
        </is>
      </c>
      <c r="I16" s="14" t="inlineStr">
        <is>
          <t>-</t>
        </is>
      </c>
    </row>
    <row r="17" ht="20" customHeight="1">
      <c r="A17" s="58" t="n">
        <v>46292.72533259259</v>
      </c>
      <c r="B17" s="28" t="inlineStr">
        <is>
          <t>2. This Week (Last 7 Days)</t>
        </is>
      </c>
      <c r="C17" s="17" t="inlineStr">
        <is>
          <t>Meta Ads (NB PropertyTech Survey Ad 3108)</t>
        </is>
      </c>
      <c r="D17" s="17" t="inlineStr">
        <is>
          <t>Patel Shalin (9512073473)</t>
        </is>
      </c>
      <c r="E17" s="17" t="inlineStr">
        <is>
          <t>Zeel Mudaliyar</t>
        </is>
      </c>
      <c r="F17" s="17" t="inlineStr">
        <is>
          <t>New</t>
        </is>
      </c>
      <c r="G17" s="17" t="inlineStr">
        <is>
          <t>Not Assigned</t>
        </is>
      </c>
      <c r="H17" s="17" t="inlineStr">
        <is>
          <t>N/A (Not Assigned)</t>
        </is>
      </c>
      <c r="I17" s="17" t="inlineStr">
        <is>
          <t>-</t>
        </is>
      </c>
    </row>
    <row r="18" ht="20" customHeight="1">
      <c r="A18" s="57" t="n">
        <v>46292.71078015046</v>
      </c>
      <c r="B18" s="29" t="inlineStr">
        <is>
          <t>2. This Week (Last 7 Days)</t>
        </is>
      </c>
      <c r="C18" s="14" t="inlineStr">
        <is>
          <t>Meta Ads (NB PropertyTech Rental Ad 0408)</t>
        </is>
      </c>
      <c r="D18" s="14" t="inlineStr">
        <is>
          <t>Solanki Devang (9408594020)</t>
        </is>
      </c>
      <c r="E18" s="14" t="inlineStr">
        <is>
          <t>Zeel Mudaliyar</t>
        </is>
      </c>
      <c r="F18" s="14" t="inlineStr">
        <is>
          <t>Sales</t>
        </is>
      </c>
      <c r="G18" s="14" t="inlineStr">
        <is>
          <t>Somel Rathod</t>
        </is>
      </c>
      <c r="H18" s="14" t="inlineStr">
        <is>
          <t>Assigned</t>
        </is>
      </c>
      <c r="I18" s="14" t="inlineStr">
        <is>
          <t>Transfer: Location Gota, 20K budget, for family, possession within 8-10 days | Transfer Note: Location Gota, 20K budget, for family, possession within 8-10 days | CRM: [Telecaller Key Points]: Location Gota, 20K budget, for family, possession within 8-10 days | [Telecaller Key Points]: Location Gota, 20K budget, for family, possession within 8-10 days | Location Gota, 20K budget, for family, possession within 8-10 days</t>
        </is>
      </c>
    </row>
    <row r="19" ht="20" customHeight="1">
      <c r="A19" s="58" t="n">
        <v>46292.71070738426</v>
      </c>
      <c r="B19" s="28" t="inlineStr">
        <is>
          <t>2. This Week (Last 7 Days)</t>
        </is>
      </c>
      <c r="C19" s="17" t="inlineStr">
        <is>
          <t>Webhook API (NB PropertyTech Rental Ad 0408)</t>
        </is>
      </c>
      <c r="D19" s="17" t="inlineStr">
        <is>
          <t>Solanki Devang (9408594020)</t>
        </is>
      </c>
      <c r="E19" s="17" t="inlineStr">
        <is>
          <t>Zeel Mudaliyar</t>
        </is>
      </c>
      <c r="F19" s="17" t="inlineStr">
        <is>
          <t>New</t>
        </is>
      </c>
      <c r="G19" s="17" t="inlineStr">
        <is>
          <t>Not Assigned</t>
        </is>
      </c>
      <c r="H19" s="17" t="inlineStr">
        <is>
          <t>N/A (Not Assigned)</t>
        </is>
      </c>
      <c r="I19" s="17" t="inlineStr">
        <is>
          <t>[Telecaller Key Points]: Location Gota, 20K budget, for family, possession within 8-10 days</t>
        </is>
      </c>
    </row>
    <row r="20" ht="20" customHeight="1">
      <c r="A20" s="57" t="n">
        <v>46292.7017194213</v>
      </c>
      <c r="B20" s="29" t="inlineStr">
        <is>
          <t>2. This Week (Last 7 Days)</t>
        </is>
      </c>
      <c r="C20" s="14" t="inlineStr">
        <is>
          <t>Housing.com (Nava Vadaj)</t>
        </is>
      </c>
      <c r="D20" s="14" t="inlineStr">
        <is>
          <t>Apeksha Jain (9116008739)</t>
        </is>
      </c>
      <c r="E20" s="14" t="inlineStr">
        <is>
          <t>Unassigned</t>
        </is>
      </c>
      <c r="F20" s="14" t="inlineStr">
        <is>
          <t>New</t>
        </is>
      </c>
      <c r="G20" s="14" t="inlineStr">
        <is>
          <t>Not Assigned</t>
        </is>
      </c>
      <c r="H20" s="14" t="inlineStr">
        <is>
          <t>N/A (Not Assigned)</t>
        </is>
      </c>
      <c r="I20" s="14" t="inlineStr">
        <is>
          <t>-</t>
        </is>
      </c>
    </row>
    <row r="21" ht="20" customHeight="1">
      <c r="A21" s="58" t="n">
        <v>46292.70033271991</v>
      </c>
      <c r="B21" s="28" t="inlineStr">
        <is>
          <t>2. This Week (Last 7 Days)</t>
        </is>
      </c>
      <c r="C21" s="17" t="inlineStr">
        <is>
          <t>Meta Ads (NB PropertyTech Survey Ad 3108)</t>
        </is>
      </c>
      <c r="D21" s="17" t="inlineStr">
        <is>
          <t>$w@t! P@tel (9016798621)</t>
        </is>
      </c>
      <c r="E21" s="17" t="inlineStr">
        <is>
          <t>Zeel Mudaliyar</t>
        </is>
      </c>
      <c r="F21" s="17" t="inlineStr">
        <is>
          <t>New</t>
        </is>
      </c>
      <c r="G21" s="17" t="inlineStr">
        <is>
          <t>Not Assigned</t>
        </is>
      </c>
      <c r="H21" s="17" t="inlineStr">
        <is>
          <t>N/A (Not Assigned)</t>
        </is>
      </c>
      <c r="I21" s="17" t="inlineStr">
        <is>
          <t>-</t>
        </is>
      </c>
    </row>
    <row r="22" ht="20" customHeight="1">
      <c r="A22" s="57" t="n">
        <v>46292.67644693287</v>
      </c>
      <c r="B22" s="29" t="inlineStr">
        <is>
          <t>2. This Week (Last 7 Days)</t>
        </is>
      </c>
      <c r="C22" s="14" t="inlineStr">
        <is>
          <t>Direct</t>
        </is>
      </c>
      <c r="D22" s="14" t="inlineStr">
        <is>
          <t>Vishal Vaghela (9512374777)</t>
        </is>
      </c>
      <c r="E22" s="14" t="inlineStr">
        <is>
          <t>Zeel Mudaliyar</t>
        </is>
      </c>
      <c r="F22" s="14" t="inlineStr">
        <is>
          <t>Rejected / Lost</t>
        </is>
      </c>
      <c r="G22" s="14" t="inlineStr">
        <is>
          <t>Somel Rathod</t>
        </is>
      </c>
      <c r="H22" s="14" t="inlineStr">
        <is>
          <t>Rejected (Budget Mismatch)</t>
        </is>
      </c>
      <c r="I22" s="14" t="inlineStr">
        <is>
          <t>Near Vaishnodevi circle and Gota flyover nearby area most preferable | CRM: Near Vaishnodevi circle and Gota flyover nearby area most preferable | Near Vaishnodevi circle and Gota flyover nearby area most preferable
[27 Sep '26, 4:16 PM] Vaishno devi circle, Science city, Gota, 3 bhk, for family, semi furnished, possession 21 Oct
[28 Sep '26, 10:47 AM] req - 3bhk budget Low -22k</t>
        </is>
      </c>
    </row>
    <row r="23" ht="20" customHeight="1">
      <c r="A23" s="58" t="n">
        <v>46292.64199739583</v>
      </c>
      <c r="B23" s="28" t="inlineStr">
        <is>
          <t>2. This Week (Last 7 Days)</t>
        </is>
      </c>
      <c r="C23" s="17" t="inlineStr">
        <is>
          <t>Meta Ads (NB PropertyTech Survey Ad 3108)</t>
        </is>
      </c>
      <c r="D23" s="17" t="inlineStr">
        <is>
          <t>Jeenal Visharia (8347150082)</t>
        </is>
      </c>
      <c r="E23" s="17" t="inlineStr">
        <is>
          <t>Zeel Mudaliyar</t>
        </is>
      </c>
      <c r="F23" s="17" t="inlineStr">
        <is>
          <t>New</t>
        </is>
      </c>
      <c r="G23" s="17" t="inlineStr">
        <is>
          <t>Not Assigned</t>
        </is>
      </c>
      <c r="H23" s="17" t="inlineStr">
        <is>
          <t>N/A (Not Assigned)</t>
        </is>
      </c>
      <c r="I23" s="17" t="inlineStr">
        <is>
          <t>-</t>
        </is>
      </c>
    </row>
    <row r="24" ht="20" customHeight="1">
      <c r="A24" s="57" t="n">
        <v>46292.5822713426</v>
      </c>
      <c r="B24" s="29" t="inlineStr">
        <is>
          <t>2. This Week (Last 7 Days)</t>
        </is>
      </c>
      <c r="C24" s="14" t="inlineStr">
        <is>
          <t>Meta Ads (NB PropertyTech Survey Ad 3108)</t>
        </is>
      </c>
      <c r="D24" s="14" t="inlineStr">
        <is>
          <t>Disha Chirag Gajera (8140029305)</t>
        </is>
      </c>
      <c r="E24" s="14" t="inlineStr">
        <is>
          <t>Zeel Mudaliyar</t>
        </is>
      </c>
      <c r="F24" s="14" t="inlineStr">
        <is>
          <t>New</t>
        </is>
      </c>
      <c r="G24" s="14" t="inlineStr">
        <is>
          <t>Not Assigned</t>
        </is>
      </c>
      <c r="H24" s="14" t="inlineStr">
        <is>
          <t>N/A (Not Assigned)</t>
        </is>
      </c>
      <c r="I24" s="14" t="inlineStr">
        <is>
          <t>-</t>
        </is>
      </c>
    </row>
    <row r="25" ht="20" customHeight="1">
      <c r="A25" s="58" t="n">
        <v>46292.57879621528</v>
      </c>
      <c r="B25" s="28" t="inlineStr">
        <is>
          <t>2. This Week (Last 7 Days)</t>
        </is>
      </c>
      <c r="C25" s="17" t="inlineStr">
        <is>
          <t>Meta Ads (NB PropertyTech Survey Ad 3108)</t>
        </is>
      </c>
      <c r="D25" s="17" t="inlineStr">
        <is>
          <t>Harsh (7874047023)</t>
        </is>
      </c>
      <c r="E25" s="17" t="inlineStr">
        <is>
          <t>Prexa Vithalapara</t>
        </is>
      </c>
      <c r="F25" s="17" t="inlineStr">
        <is>
          <t>New</t>
        </is>
      </c>
      <c r="G25" s="17" t="inlineStr">
        <is>
          <t>Not Assigned</t>
        </is>
      </c>
      <c r="H25" s="17" t="inlineStr">
        <is>
          <t>N/A (Not Assigned)</t>
        </is>
      </c>
      <c r="I25" s="17" t="inlineStr">
        <is>
          <t>-</t>
        </is>
      </c>
    </row>
    <row r="26" ht="20" customHeight="1">
      <c r="A26" s="57" t="n">
        <v>46292.56560043981</v>
      </c>
      <c r="B26" s="29" t="inlineStr">
        <is>
          <t>2. This Week (Last 7 Days)</t>
        </is>
      </c>
      <c r="C26" s="14" t="inlineStr">
        <is>
          <t>Housing.com (Nava Vadaj)</t>
        </is>
      </c>
      <c r="D26" s="14" t="inlineStr">
        <is>
          <t>Hetal Panchal (owner) (7069706449)</t>
        </is>
      </c>
      <c r="E26" s="14" t="inlineStr">
        <is>
          <t>Zeel Mudaliyar</t>
        </is>
      </c>
      <c r="F26" s="14" t="inlineStr">
        <is>
          <t>New</t>
        </is>
      </c>
      <c r="G26" s="14" t="inlineStr">
        <is>
          <t>Not Assigned</t>
        </is>
      </c>
      <c r="H26" s="14" t="inlineStr">
        <is>
          <t>N/A (Not Assigned)</t>
        </is>
      </c>
      <c r="I26" s="14" t="inlineStr">
        <is>
          <t>-</t>
        </is>
      </c>
    </row>
    <row r="27" ht="20" customHeight="1">
      <c r="A27" s="58" t="n">
        <v>46292.51976515046</v>
      </c>
      <c r="B27" s="28" t="inlineStr">
        <is>
          <t>2. This Week (Last 7 Days)</t>
        </is>
      </c>
      <c r="C27" s="17" t="inlineStr">
        <is>
          <t>Housing.com (Naranpura)</t>
        </is>
      </c>
      <c r="D27" s="17" t="inlineStr">
        <is>
          <t>Housing User (6354526933)</t>
        </is>
      </c>
      <c r="E27" s="17" t="inlineStr">
        <is>
          <t>Zeel Mudaliyar</t>
        </is>
      </c>
      <c r="F27" s="17" t="inlineStr">
        <is>
          <t>New</t>
        </is>
      </c>
      <c r="G27" s="17" t="inlineStr">
        <is>
          <t>Not Assigned</t>
        </is>
      </c>
      <c r="H27" s="17" t="inlineStr">
        <is>
          <t>N/A (Not Assigned)</t>
        </is>
      </c>
      <c r="I27" s="17" t="inlineStr">
        <is>
          <t>-</t>
        </is>
      </c>
    </row>
    <row r="28" ht="20" customHeight="1">
      <c r="A28" s="57" t="n">
        <v>46292.51907094907</v>
      </c>
      <c r="B28" s="29" t="inlineStr">
        <is>
          <t>2. This Week (Last 7 Days)</t>
        </is>
      </c>
      <c r="C28" s="14" t="inlineStr">
        <is>
          <t>Housing.com (Gota)</t>
        </is>
      </c>
      <c r="D28" s="14" t="inlineStr">
        <is>
          <t>Shekhar Patel (9694867241)</t>
        </is>
      </c>
      <c r="E28" s="14" t="inlineStr">
        <is>
          <t>Zeel Mudaliyar</t>
        </is>
      </c>
      <c r="F28" s="14" t="inlineStr">
        <is>
          <t>New</t>
        </is>
      </c>
      <c r="G28" s="14" t="inlineStr">
        <is>
          <t>Not Assigned</t>
        </is>
      </c>
      <c r="H28" s="14" t="inlineStr">
        <is>
          <t>N/A (Not Assigned)</t>
        </is>
      </c>
      <c r="I28" s="14" t="inlineStr">
        <is>
          <t>-</t>
        </is>
      </c>
    </row>
    <row r="29" ht="20" customHeight="1">
      <c r="A29" s="58" t="n">
        <v>46292.46493163194</v>
      </c>
      <c r="B29" s="28" t="inlineStr">
        <is>
          <t>2. This Week (Last 7 Days)</t>
        </is>
      </c>
      <c r="C29" s="17" t="inlineStr">
        <is>
          <t>Housing.com (Memnagar)</t>
        </is>
      </c>
      <c r="D29" s="17" t="inlineStr">
        <is>
          <t>Smeetrawani (9157671757)</t>
        </is>
      </c>
      <c r="E29" s="17" t="inlineStr">
        <is>
          <t>Zeel Mudaliyar</t>
        </is>
      </c>
      <c r="F29" s="17" t="inlineStr">
        <is>
          <t>Rejected / Lost</t>
        </is>
      </c>
      <c r="G29" s="17" t="inlineStr">
        <is>
          <t>Viral Jadeja</t>
        </is>
      </c>
      <c r="H29" s="17" t="inlineStr">
        <is>
          <t>Rejected (No Requirement)</t>
        </is>
      </c>
      <c r="I29" s="17" t="inlineStr">
        <is>
          <t>[Telecaller Key Points]: Location- Gota, Jagatpur, Memnagar, Sq ft 250-350 sq ft, Retail shop or office both work, budget 20K (negotiable), Oct possession required | Transfer: Location- Gota, Jagatpur, Memnagar, Sq ft 250-350 sq ft, Retail shop or office both work, budget 20K (negotiable), Oct possession required | Transfer Note: Location- Gota, Jagatpur, Memnagar, Sq ft 250-350 sq ft, Retail shop or office both work, budget 20K (negotiable), Oct possession required | CRM: [Telecaller Key Points]: Location- Gota, Jagatpur, Memnagar, Sq ft 250-350 sq ft, Retail shop or office both work, budget 20K (negotiable), Oct possession required | Location- Gota, Jagatpur, Memnagar, Sq ft 250-350 sq ft, Retail shop or office both work, budget 20K (negotiable), Oct possession required
[28 Sep '26, 1:13 PM] Postponed</t>
        </is>
      </c>
    </row>
    <row r="30" ht="20" customHeight="1">
      <c r="A30" s="57" t="n">
        <v>46292.4294808912</v>
      </c>
      <c r="B30" s="29" t="inlineStr">
        <is>
          <t>2. This Week (Last 7 Days)</t>
        </is>
      </c>
      <c r="C30" s="14" t="inlineStr">
        <is>
          <t>Housing.com (Nava Vadaj)</t>
        </is>
      </c>
      <c r="D30" s="14" t="inlineStr">
        <is>
          <t>Deepak (7972580858)</t>
        </is>
      </c>
      <c r="E30" s="14" t="inlineStr">
        <is>
          <t>Zeel Mudaliyar</t>
        </is>
      </c>
      <c r="F30" s="14" t="inlineStr">
        <is>
          <t>New</t>
        </is>
      </c>
      <c r="G30" s="14" t="inlineStr">
        <is>
          <t>Not Assigned</t>
        </is>
      </c>
      <c r="H30" s="14" t="inlineStr">
        <is>
          <t>N/A (Not Assigned)</t>
        </is>
      </c>
      <c r="I30" s="14" t="inlineStr">
        <is>
          <t>-</t>
        </is>
      </c>
    </row>
    <row r="31" ht="20" customHeight="1">
      <c r="A31" s="58" t="n">
        <v>46292.40034863426</v>
      </c>
      <c r="B31" s="28" t="inlineStr">
        <is>
          <t>2. This Week (Last 7 Days)</t>
        </is>
      </c>
      <c r="C31" s="17" t="inlineStr">
        <is>
          <t>Meta Ads (NB PropertyTech Rental Ad 0408)</t>
        </is>
      </c>
      <c r="D31" s="17" t="inlineStr">
        <is>
          <t>Rony (9974768625)</t>
        </is>
      </c>
      <c r="E31" s="17" t="inlineStr">
        <is>
          <t>Prexa Vithalapara</t>
        </is>
      </c>
      <c r="F31" s="17" t="inlineStr">
        <is>
          <t>New</t>
        </is>
      </c>
      <c r="G31" s="17" t="inlineStr">
        <is>
          <t>Not Assigned</t>
        </is>
      </c>
      <c r="H31" s="17" t="inlineStr">
        <is>
          <t>N/A (Not Assigned)</t>
        </is>
      </c>
      <c r="I31" s="17" t="inlineStr">
        <is>
          <t>[Telecaller Key Points]: Location Gota, Memnagar, Sola, 2 BHK, 20K, for family, Tenament will also work, possession in dec 1, for family</t>
        </is>
      </c>
    </row>
    <row r="32" ht="20" customHeight="1">
      <c r="A32" s="57" t="n">
        <v>46292.39987538195</v>
      </c>
      <c r="B32" s="29" t="inlineStr">
        <is>
          <t>2. This Week (Last 7 Days)</t>
        </is>
      </c>
      <c r="C32" s="14" t="inlineStr">
        <is>
          <t>Webhook API (NB PropertyTech Rental Ad 0408)</t>
        </is>
      </c>
      <c r="D32" s="14" t="inlineStr">
        <is>
          <t>Rony (9974768625)</t>
        </is>
      </c>
      <c r="E32" s="14" t="inlineStr">
        <is>
          <t>Zeel Mudaliyar</t>
        </is>
      </c>
      <c r="F32" s="14" t="inlineStr">
        <is>
          <t>Sales</t>
        </is>
      </c>
      <c r="G32" s="14" t="inlineStr">
        <is>
          <t>Somel Rathod</t>
        </is>
      </c>
      <c r="H32" s="14" t="inlineStr">
        <is>
          <t>Assigned</t>
        </is>
      </c>
      <c r="I32" s="14" t="inlineStr">
        <is>
          <t>Transfer: Location Gota, Memnagar, Sola, 2 BHK, 20K, for family, Tenament will also work, possession in dec 1, for family | Transfer Note: Location Gota, Memnagar, Sola, 2 BHK, 20K, for family, Tenament will also work, possession in dec 1, for family | CRM: [Telecaller Key Points]: Location Gota, Memnagar, Sola, 2 BHK, 20K, for family, Tenament will also work, possession in dec 1, for family | [Telecaller Key Points]: Location Gota, Memnagar, Sola, 2 BHK, 20K, for family, Tenament will also work, possession in dec 1, for family | Location Gota, Memnagar, Sola, 2 BHK, 20K, for family, Tenament will also work, possession in dec 1, for family</t>
        </is>
      </c>
    </row>
    <row r="33" ht="20" customHeight="1">
      <c r="A33" s="58" t="n">
        <v>46292.3593671875</v>
      </c>
      <c r="B33" s="28" t="inlineStr">
        <is>
          <t>2. This Week (Last 7 Days)</t>
        </is>
      </c>
      <c r="C33" s="17" t="inlineStr">
        <is>
          <t>Meta Ads (NB PropertyTech Rental Ad 0408)</t>
        </is>
      </c>
      <c r="D33" s="17" t="inlineStr">
        <is>
          <t>Abhijeet Shukla (9879853448)</t>
        </is>
      </c>
      <c r="E33" s="17" t="inlineStr">
        <is>
          <t>Zeel Mudaliyar</t>
        </is>
      </c>
      <c r="F33" s="17" t="inlineStr">
        <is>
          <t>New</t>
        </is>
      </c>
      <c r="G33" s="17" t="inlineStr">
        <is>
          <t>Not Assigned</t>
        </is>
      </c>
      <c r="H33" s="17" t="inlineStr">
        <is>
          <t>N/A (Not Assigned)</t>
        </is>
      </c>
      <c r="I33" s="17" t="inlineStr">
        <is>
          <t>-</t>
        </is>
      </c>
    </row>
    <row r="34" ht="20" customHeight="1">
      <c r="A34" s="57" t="n">
        <v>46292.35907329861</v>
      </c>
      <c r="B34" s="29" t="inlineStr">
        <is>
          <t>2. This Week (Last 7 Days)</t>
        </is>
      </c>
      <c r="C34" s="14" t="inlineStr">
        <is>
          <t>Webhook API (NB PropertyTech Rental Ad 0408)</t>
        </is>
      </c>
      <c r="D34" s="14" t="inlineStr">
        <is>
          <t>Abhijeet Shukla (9879853448)</t>
        </is>
      </c>
      <c r="E34" s="14" t="inlineStr">
        <is>
          <t>Unassigned</t>
        </is>
      </c>
      <c r="F34" s="14" t="inlineStr">
        <is>
          <t>New</t>
        </is>
      </c>
      <c r="G34" s="14" t="inlineStr">
        <is>
          <t>Not Assigned</t>
        </is>
      </c>
      <c r="H34" s="14" t="inlineStr">
        <is>
          <t>N/A (Not Assigned)</t>
        </is>
      </c>
      <c r="I34" s="14" t="inlineStr">
        <is>
          <t>-</t>
        </is>
      </c>
    </row>
    <row r="35" ht="20" customHeight="1">
      <c r="A35" s="58" t="n">
        <v>46292.00163134259</v>
      </c>
      <c r="B35" s="28" t="inlineStr">
        <is>
          <t>2. This Week (Last 7 Days)</t>
        </is>
      </c>
      <c r="C35" s="17" t="inlineStr">
        <is>
          <t>Meta Ads (NB PropertyTech Survey Ad 3108)</t>
        </is>
      </c>
      <c r="D35" s="17" t="inlineStr">
        <is>
          <t>Zorba (9821940080)</t>
        </is>
      </c>
      <c r="E35" s="17" t="inlineStr">
        <is>
          <t>Zeel Mudaliyar</t>
        </is>
      </c>
      <c r="F35" s="17" t="inlineStr">
        <is>
          <t>New</t>
        </is>
      </c>
      <c r="G35" s="17" t="inlineStr">
        <is>
          <t>Not Assigned</t>
        </is>
      </c>
      <c r="H35" s="17" t="inlineStr">
        <is>
          <t>N/A (Not Assigned)</t>
        </is>
      </c>
      <c r="I35" s="17" t="inlineStr">
        <is>
          <t>-</t>
        </is>
      </c>
    </row>
    <row r="36" ht="20" customHeight="1">
      <c r="A36" s="57" t="n">
        <v>46291.97523572917</v>
      </c>
      <c r="B36" s="29" t="inlineStr">
        <is>
          <t>2. This Week (Last 7 Days)</t>
        </is>
      </c>
      <c r="C36" s="14" t="inlineStr">
        <is>
          <t>Meta Ads (NB PropertyTech Survey Ad 3108)</t>
        </is>
      </c>
      <c r="D36" s="14" t="inlineStr">
        <is>
          <t>Kiran Kotak (9978943075)</t>
        </is>
      </c>
      <c r="E36" s="14" t="inlineStr">
        <is>
          <t>Prexa Vithalapara</t>
        </is>
      </c>
      <c r="F36" s="14" t="inlineStr">
        <is>
          <t>New</t>
        </is>
      </c>
      <c r="G36" s="14" t="inlineStr">
        <is>
          <t>Not Assigned</t>
        </is>
      </c>
      <c r="H36" s="14" t="inlineStr">
        <is>
          <t>N/A (Not Assigned)</t>
        </is>
      </c>
      <c r="I36" s="14" t="inlineStr">
        <is>
          <t>-</t>
        </is>
      </c>
    </row>
    <row r="37" ht="20" customHeight="1">
      <c r="A37" s="58" t="n">
        <v>46291.87869321759</v>
      </c>
      <c r="B37" s="28" t="inlineStr">
        <is>
          <t>2. This Week (Last 7 Days)</t>
        </is>
      </c>
      <c r="C37" s="17" t="inlineStr">
        <is>
          <t>Meta Ads (NB PropertyTech Survey Ad 3108)</t>
        </is>
      </c>
      <c r="D37" s="17" t="inlineStr">
        <is>
          <t>Vatsal Sanghvi (7600175557)</t>
        </is>
      </c>
      <c r="E37" s="17" t="inlineStr">
        <is>
          <t>Unassigned</t>
        </is>
      </c>
      <c r="F37" s="17" t="inlineStr">
        <is>
          <t>New</t>
        </is>
      </c>
      <c r="G37" s="17" t="inlineStr">
        <is>
          <t>Not Assigned</t>
        </is>
      </c>
      <c r="H37" s="17" t="inlineStr">
        <is>
          <t>N/A (Not Assigned)</t>
        </is>
      </c>
      <c r="I37" s="17" t="inlineStr">
        <is>
          <t>-</t>
        </is>
      </c>
    </row>
    <row r="38" ht="20" customHeight="1">
      <c r="A38" s="57" t="n">
        <v>46291.87244097222</v>
      </c>
      <c r="B38" s="29" t="inlineStr">
        <is>
          <t>2. This Week (Last 7 Days)</t>
        </is>
      </c>
      <c r="C38" s="14" t="inlineStr">
        <is>
          <t>Housing.com (Gota)</t>
        </is>
      </c>
      <c r="D38" s="14" t="inlineStr">
        <is>
          <t>Gulshan Kumar (9625191077)</t>
        </is>
      </c>
      <c r="E38" s="14" t="inlineStr">
        <is>
          <t>Zeel Mudaliyar</t>
        </is>
      </c>
      <c r="F38" s="14" t="inlineStr">
        <is>
          <t>New</t>
        </is>
      </c>
      <c r="G38" s="14" t="inlineStr">
        <is>
          <t>Not Assigned</t>
        </is>
      </c>
      <c r="H38" s="14" t="inlineStr">
        <is>
          <t>N/A (Not Assigned)</t>
        </is>
      </c>
      <c r="I38" s="14" t="inlineStr">
        <is>
          <t>-</t>
        </is>
      </c>
    </row>
    <row r="39" ht="20" customHeight="1">
      <c r="A39" s="58" t="n">
        <v>46291.85160559028</v>
      </c>
      <c r="B39" s="28" t="inlineStr">
        <is>
          <t>2. This Week (Last 7 Days)</t>
        </is>
      </c>
      <c r="C39" s="17" t="inlineStr">
        <is>
          <t>Meta Ads (NB PropertyTech Survey Ad 3108)</t>
        </is>
      </c>
      <c r="D39" s="17" t="inlineStr">
        <is>
          <t>Vishwa Kariya (9687207710)</t>
        </is>
      </c>
      <c r="E39" s="17" t="inlineStr">
        <is>
          <t>Zeel Mudaliyar</t>
        </is>
      </c>
      <c r="F39" s="17" t="inlineStr">
        <is>
          <t>New</t>
        </is>
      </c>
      <c r="G39" s="17" t="inlineStr">
        <is>
          <t>Not Assigned</t>
        </is>
      </c>
      <c r="H39" s="17" t="inlineStr">
        <is>
          <t>N/A (Not Assigned)</t>
        </is>
      </c>
      <c r="I39" s="17" t="inlineStr">
        <is>
          <t>-</t>
        </is>
      </c>
    </row>
    <row r="40" ht="20" customHeight="1">
      <c r="A40" s="57" t="n">
        <v>46291.72173016204</v>
      </c>
      <c r="B40" s="29" t="inlineStr">
        <is>
          <t>2. This Week (Last 7 Days)</t>
        </is>
      </c>
      <c r="C40" s="14" t="inlineStr">
        <is>
          <t>Housing.com (Nava Vadaj)</t>
        </is>
      </c>
      <c r="D40" s="14" t="inlineStr">
        <is>
          <t>Tejpal Singh (7976203951)</t>
        </is>
      </c>
      <c r="E40" s="14" t="inlineStr">
        <is>
          <t>Prexa Vithalapara</t>
        </is>
      </c>
      <c r="F40" s="14" t="inlineStr">
        <is>
          <t>New</t>
        </is>
      </c>
      <c r="G40" s="14" t="inlineStr">
        <is>
          <t>Not Assigned</t>
        </is>
      </c>
      <c r="H40" s="14" t="inlineStr">
        <is>
          <t>N/A (Not Assigned)</t>
        </is>
      </c>
      <c r="I40" s="14" t="inlineStr">
        <is>
          <t>Followup: Not available, will call back by evening</t>
        </is>
      </c>
    </row>
    <row r="41" ht="20" customHeight="1">
      <c r="A41" s="58" t="n">
        <v>46291.71964658565</v>
      </c>
      <c r="B41" s="28" t="inlineStr">
        <is>
          <t>2. This Week (Last 7 Days)</t>
        </is>
      </c>
      <c r="C41" s="17" t="inlineStr">
        <is>
          <t>Housing.com (Nava Vadaj)</t>
        </is>
      </c>
      <c r="D41" s="17" t="inlineStr">
        <is>
          <t>Abhishek Rajput (9081999189)</t>
        </is>
      </c>
      <c r="E41" s="17" t="inlineStr">
        <is>
          <t>Zeel Mudaliyar</t>
        </is>
      </c>
      <c r="F41" s="17" t="inlineStr">
        <is>
          <t>New</t>
        </is>
      </c>
      <c r="G41" s="17" t="inlineStr">
        <is>
          <t>Not Assigned</t>
        </is>
      </c>
      <c r="H41" s="17" t="inlineStr">
        <is>
          <t>N/A (Not Assigned)</t>
        </is>
      </c>
      <c r="I41" s="17" t="inlineStr">
        <is>
          <t>-</t>
        </is>
      </c>
    </row>
    <row r="42" ht="20" customHeight="1">
      <c r="A42" s="57" t="n">
        <v>46291.71688791666</v>
      </c>
      <c r="B42" s="29" t="inlineStr">
        <is>
          <t>2. This Week (Last 7 Days)</t>
        </is>
      </c>
      <c r="C42" s="14" t="inlineStr">
        <is>
          <t>Housing.com (South Bopal)</t>
        </is>
      </c>
      <c r="D42" s="14" t="inlineStr">
        <is>
          <t>Harsh (9574749257)</t>
        </is>
      </c>
      <c r="E42" s="14" t="inlineStr">
        <is>
          <t>Unassigned</t>
        </is>
      </c>
      <c r="F42" s="14" t="inlineStr">
        <is>
          <t>New</t>
        </is>
      </c>
      <c r="G42" s="14" t="inlineStr">
        <is>
          <t>Not Assigned</t>
        </is>
      </c>
      <c r="H42" s="14" t="inlineStr">
        <is>
          <t>N/A (Not Assigned)</t>
        </is>
      </c>
      <c r="I42" s="14" t="inlineStr">
        <is>
          <t>-</t>
        </is>
      </c>
    </row>
    <row r="43" ht="20" customHeight="1">
      <c r="A43" s="58" t="n">
        <v>46291.71409479166</v>
      </c>
      <c r="B43" s="28" t="inlineStr">
        <is>
          <t>2. This Week (Last 7 Days)</t>
        </is>
      </c>
      <c r="C43" s="17" t="inlineStr">
        <is>
          <t>Meta Ads (NB PropertyTech Survey Ad 3108)</t>
        </is>
      </c>
      <c r="D43" s="17" t="inlineStr">
        <is>
          <t>Megha Radia (8450920927)</t>
        </is>
      </c>
      <c r="E43" s="17" t="inlineStr">
        <is>
          <t>Zeel Mudaliyar</t>
        </is>
      </c>
      <c r="F43" s="17" t="inlineStr">
        <is>
          <t>New</t>
        </is>
      </c>
      <c r="G43" s="17" t="inlineStr">
        <is>
          <t>Not Assigned</t>
        </is>
      </c>
      <c r="H43" s="17" t="inlineStr">
        <is>
          <t>N/A (Not Assigned)</t>
        </is>
      </c>
      <c r="I43" s="17" t="inlineStr">
        <is>
          <t>Followup: Call again | 2 Bhk, Rent 20k, for family, requires as soon, semi furnished, Shilaj and 5-7 km radius</t>
        </is>
      </c>
    </row>
    <row r="44" ht="20" customHeight="1">
      <c r="A44" s="57" t="n">
        <v>46291.59050827546</v>
      </c>
      <c r="B44" s="29" t="inlineStr">
        <is>
          <t>2. This Week (Last 7 Days)</t>
        </is>
      </c>
      <c r="C44" s="14" t="inlineStr">
        <is>
          <t>Housing.com (Science City)</t>
        </is>
      </c>
      <c r="D44" s="14" t="inlineStr">
        <is>
          <t>Faiyaz Mansuri (8849967115)</t>
        </is>
      </c>
      <c r="E44" s="14" t="inlineStr">
        <is>
          <t>Zeel Mudaliyar</t>
        </is>
      </c>
      <c r="F44" s="14" t="inlineStr">
        <is>
          <t>New</t>
        </is>
      </c>
      <c r="G44" s="14" t="inlineStr">
        <is>
          <t>Not Assigned</t>
        </is>
      </c>
      <c r="H44" s="14" t="inlineStr">
        <is>
          <t>N/A (Not Assigned)</t>
        </is>
      </c>
      <c r="I44" s="14" t="inlineStr">
        <is>
          <t>-</t>
        </is>
      </c>
    </row>
    <row r="45" ht="20" customHeight="1">
      <c r="A45" s="58" t="n">
        <v>46291.58561424768</v>
      </c>
      <c r="B45" s="28" t="inlineStr">
        <is>
          <t>2. This Week (Last 7 Days)</t>
        </is>
      </c>
      <c r="C45" s="17" t="inlineStr">
        <is>
          <t>Housing.com (Nava Vadaj)</t>
        </is>
      </c>
      <c r="D45" s="17" t="inlineStr">
        <is>
          <t>Manjulaben Dhavad (7434047110)</t>
        </is>
      </c>
      <c r="E45" s="17" t="inlineStr">
        <is>
          <t>Zeel Mudaliyar</t>
        </is>
      </c>
      <c r="F45" s="17" t="inlineStr">
        <is>
          <t>New</t>
        </is>
      </c>
      <c r="G45" s="17" t="inlineStr">
        <is>
          <t>Not Assigned</t>
        </is>
      </c>
      <c r="H45" s="17" t="inlineStr">
        <is>
          <t>N/A (Not Assigned)</t>
        </is>
      </c>
      <c r="I45" s="17" t="inlineStr">
        <is>
          <t>Followup: Told to send pictures, then will inform</t>
        </is>
      </c>
    </row>
    <row r="46" ht="20" customHeight="1">
      <c r="A46" s="57" t="n">
        <v>46291.51968418981</v>
      </c>
      <c r="B46" s="29" t="inlineStr">
        <is>
          <t>2. This Week (Last 7 Days)</t>
        </is>
      </c>
      <c r="C46" s="14" t="inlineStr">
        <is>
          <t>Meta Ads (NB PropertyTech Rental Ad 0408)</t>
        </is>
      </c>
      <c r="D46" s="14" t="inlineStr">
        <is>
          <t>Poorvah.. (6353849952)</t>
        </is>
      </c>
      <c r="E46" s="14" t="inlineStr">
        <is>
          <t>Prexa Vithalapara</t>
        </is>
      </c>
      <c r="F46" s="14" t="inlineStr">
        <is>
          <t>Rejected / Lost</t>
        </is>
      </c>
      <c r="G46" s="14" t="inlineStr">
        <is>
          <t>Somel Rathod</t>
        </is>
      </c>
      <c r="H46" s="14" t="inlineStr">
        <is>
          <t>Rejected (Budget Mismatch)</t>
        </is>
      </c>
      <c r="I46" s="14" t="inlineStr">
        <is>
          <t>Transfer: new ranip,gota, new vadaj, naer metro station, 2bhk, 18k budget, family  
share 18k budget renge option | Transfer Note: new ranip,gota, new vadaj, naer metro station, 2bhk, 18k budget, family  
share 18k budget renge option | Followup: Have to discuss their budget, told to send Nava vadaj' property's pics | CRM: [Telecaller Key Points]: new ranip,gota, new vadaj, naer metro station, 2bhk, 18k budget, family  
share 18k budget renge option | [Telecaller Key Points]: new ranip,gota, new vadaj, naer metro station, 2bhk, 18k budget, family  
share 18k budget renge option | new ranip,gota, new vadaj, naer metro station, 2bhk, 18k budget, family  
share 18k budget renge option</t>
        </is>
      </c>
    </row>
    <row r="47" ht="20" customHeight="1">
      <c r="A47" s="58" t="n">
        <v>46291.51909730324</v>
      </c>
      <c r="B47" s="28" t="inlineStr">
        <is>
          <t>2. This Week (Last 7 Days)</t>
        </is>
      </c>
      <c r="C47" s="17" t="inlineStr">
        <is>
          <t>Webhook API (NB PropertyTech Rental Ad 0408)</t>
        </is>
      </c>
      <c r="D47" s="17" t="inlineStr">
        <is>
          <t>Poorvah.. (6353849952)</t>
        </is>
      </c>
      <c r="E47" s="17" t="inlineStr">
        <is>
          <t>Zeel Mudaliyar</t>
        </is>
      </c>
      <c r="F47" s="17" t="inlineStr">
        <is>
          <t>New</t>
        </is>
      </c>
      <c r="G47" s="17" t="inlineStr">
        <is>
          <t>Not Assigned</t>
        </is>
      </c>
      <c r="H47" s="17" t="inlineStr">
        <is>
          <t>N/A (Not Assigned)</t>
        </is>
      </c>
      <c r="I47" s="17" t="inlineStr">
        <is>
          <t>Followup: Location Gota, Ranip, Nava Vadaj, new construction 1/2 BHK, 15K Budget, (sharing one option) | [Telecaller Key Points]: new ranip,gota, new vadaj, naer metro station, 2bhk, 18k budget, family  
share 18k budget renge option</t>
        </is>
      </c>
    </row>
    <row r="48" ht="20" customHeight="1">
      <c r="A48" s="57" t="n">
        <v>46291.51061706019</v>
      </c>
      <c r="B48" s="29" t="inlineStr">
        <is>
          <t>2. This Week (Last 7 Days)</t>
        </is>
      </c>
      <c r="C48" s="14" t="inlineStr">
        <is>
          <t>Meta Ads (NB PropertyTech Survey Ad 3108)</t>
        </is>
      </c>
      <c r="D48" s="14" t="inlineStr">
        <is>
          <t>Ranveer Pal (8511618841)</t>
        </is>
      </c>
      <c r="E48" s="14" t="inlineStr">
        <is>
          <t>Zeel Mudaliyar</t>
        </is>
      </c>
      <c r="F48" s="14" t="inlineStr">
        <is>
          <t>New</t>
        </is>
      </c>
      <c r="G48" s="14" t="inlineStr">
        <is>
          <t>Not Assigned</t>
        </is>
      </c>
      <c r="H48" s="14" t="inlineStr">
        <is>
          <t>N/A (Not Assigned)</t>
        </is>
      </c>
      <c r="I48" s="14" t="inlineStr">
        <is>
          <t>-</t>
        </is>
      </c>
    </row>
    <row r="49" ht="20" customHeight="1">
      <c r="A49" s="58" t="n">
        <v>46291.45783900463</v>
      </c>
      <c r="B49" s="28" t="inlineStr">
        <is>
          <t>2. This Week (Last 7 Days)</t>
        </is>
      </c>
      <c r="C49" s="17" t="inlineStr">
        <is>
          <t>Meta Ads (NB PropertyTech Survey Ad 3108)</t>
        </is>
      </c>
      <c r="D49" s="17" t="inlineStr">
        <is>
          <t>Dayalkumar Kalwani (9426570975)</t>
        </is>
      </c>
      <c r="E49" s="17" t="inlineStr">
        <is>
          <t>Zeel Mudaliyar</t>
        </is>
      </c>
      <c r="F49" s="17" t="inlineStr">
        <is>
          <t>New</t>
        </is>
      </c>
      <c r="G49" s="17" t="inlineStr">
        <is>
          <t>Not Assigned</t>
        </is>
      </c>
      <c r="H49" s="17" t="inlineStr">
        <is>
          <t>N/A (Not Assigned)</t>
        </is>
      </c>
      <c r="I49" s="17" t="inlineStr">
        <is>
          <t>-</t>
        </is>
      </c>
    </row>
    <row r="50" ht="20" customHeight="1">
      <c r="A50" s="57" t="n">
        <v>46291.4578347338</v>
      </c>
      <c r="B50" s="29" t="inlineStr">
        <is>
          <t>2. This Week (Last 7 Days)</t>
        </is>
      </c>
      <c r="C50" s="14" t="inlineStr">
        <is>
          <t>Meta Ads (NB PropertyTech Survey Ad 3108)</t>
        </is>
      </c>
      <c r="D50" s="14" t="inlineStr">
        <is>
          <t>Jaydeep Gusaai (9909725225)</t>
        </is>
      </c>
      <c r="E50" s="14" t="inlineStr">
        <is>
          <t>Zeel Mudaliyar</t>
        </is>
      </c>
      <c r="F50" s="14" t="inlineStr">
        <is>
          <t>New</t>
        </is>
      </c>
      <c r="G50" s="14" t="inlineStr">
        <is>
          <t>Not Assigned</t>
        </is>
      </c>
      <c r="H50" s="14" t="inlineStr">
        <is>
          <t>N/A (Not Assigned)</t>
        </is>
      </c>
      <c r="I50" s="14" t="inlineStr">
        <is>
          <t>-</t>
        </is>
      </c>
    </row>
    <row r="51" ht="20" customHeight="1">
      <c r="A51" s="58" t="n">
        <v>46291.41338810185</v>
      </c>
      <c r="B51" s="28" t="inlineStr">
        <is>
          <t>2. This Week (Last 7 Days)</t>
        </is>
      </c>
      <c r="C51" s="17" t="inlineStr">
        <is>
          <t>Meta Ads (NB PropertyTech Survey Ad 3108)</t>
        </is>
      </c>
      <c r="D51" s="17" t="inlineStr">
        <is>
          <t>Subhash (9624109109)</t>
        </is>
      </c>
      <c r="E51" s="17" t="inlineStr">
        <is>
          <t>Zeel Mudaliyar</t>
        </is>
      </c>
      <c r="F51" s="17" t="inlineStr">
        <is>
          <t>New</t>
        </is>
      </c>
      <c r="G51" s="17" t="inlineStr">
        <is>
          <t>Not Assigned</t>
        </is>
      </c>
      <c r="H51" s="17" t="inlineStr">
        <is>
          <t>N/A (Not Assigned)</t>
        </is>
      </c>
      <c r="I51" s="17" t="inlineStr">
        <is>
          <t>-</t>
        </is>
      </c>
    </row>
    <row r="52" ht="20" customHeight="1">
      <c r="A52" s="57" t="n">
        <v>46291.39462994213</v>
      </c>
      <c r="B52" s="29" t="inlineStr">
        <is>
          <t>2. This Week (Last 7 Days)</t>
        </is>
      </c>
      <c r="C52" s="14" t="inlineStr">
        <is>
          <t>Meta Ads (NB PropertyTech Survey Ad 3108)</t>
        </is>
      </c>
      <c r="D52" s="14" t="inlineStr">
        <is>
          <t>Girishchandra Parekh (9106078502)</t>
        </is>
      </c>
      <c r="E52" s="14" t="inlineStr">
        <is>
          <t>Zeel Mudaliyar</t>
        </is>
      </c>
      <c r="F52" s="14" t="inlineStr">
        <is>
          <t>New</t>
        </is>
      </c>
      <c r="G52" s="14" t="inlineStr">
        <is>
          <t>Not Assigned</t>
        </is>
      </c>
      <c r="H52" s="14" t="inlineStr">
        <is>
          <t>N/A (Not Assigned)</t>
        </is>
      </c>
      <c r="I52" s="14" t="inlineStr">
        <is>
          <t>-</t>
        </is>
      </c>
    </row>
    <row r="53" ht="20" customHeight="1">
      <c r="A53" s="58" t="n">
        <v>46291.34809637732</v>
      </c>
      <c r="B53" s="28" t="inlineStr">
        <is>
          <t>2. This Week (Last 7 Days)</t>
        </is>
      </c>
      <c r="C53" s="17" t="inlineStr">
        <is>
          <t>Meta Ads (NB PropertyTech Survey Ad 3108)</t>
        </is>
      </c>
      <c r="D53" s="17" t="inlineStr">
        <is>
          <t>Marmik Jaiswal (7041685802)</t>
        </is>
      </c>
      <c r="E53" s="17" t="inlineStr">
        <is>
          <t>Zeel Mudaliyar</t>
        </is>
      </c>
      <c r="F53" s="17" t="inlineStr">
        <is>
          <t>New</t>
        </is>
      </c>
      <c r="G53" s="17" t="inlineStr">
        <is>
          <t>Not Assigned</t>
        </is>
      </c>
      <c r="H53" s="17" t="inlineStr">
        <is>
          <t>N/A (Not Assigned)</t>
        </is>
      </c>
      <c r="I53" s="17" t="inlineStr">
        <is>
          <t>-</t>
        </is>
      </c>
    </row>
    <row r="54" ht="20" customHeight="1">
      <c r="A54" s="57" t="n">
        <v>46291.02999776621</v>
      </c>
      <c r="B54" s="29" t="inlineStr">
        <is>
          <t>2. This Week (Last 7 Days)</t>
        </is>
      </c>
      <c r="C54" s="14" t="inlineStr">
        <is>
          <t>Meta Ads (NB PropertyTech Survey Ad 3108)</t>
        </is>
      </c>
      <c r="D54" s="14" t="inlineStr">
        <is>
          <t>Devaram Prajapati (9324186520)</t>
        </is>
      </c>
      <c r="E54" s="14" t="inlineStr">
        <is>
          <t>Zeel Mudaliyar</t>
        </is>
      </c>
      <c r="F54" s="14" t="inlineStr">
        <is>
          <t>New</t>
        </is>
      </c>
      <c r="G54" s="14" t="inlineStr">
        <is>
          <t>Not Assigned</t>
        </is>
      </c>
      <c r="H54" s="14" t="inlineStr">
        <is>
          <t>N/A (Not Assigned)</t>
        </is>
      </c>
      <c r="I54" s="14" t="inlineStr">
        <is>
          <t>-</t>
        </is>
      </c>
    </row>
    <row r="55" ht="20" customHeight="1">
      <c r="A55" s="58" t="n">
        <v>46291.0286040162</v>
      </c>
      <c r="B55" s="28" t="inlineStr">
        <is>
          <t>2. This Week (Last 7 Days)</t>
        </is>
      </c>
      <c r="C55" s="17" t="inlineStr">
        <is>
          <t>Meta Ads (NB PropertyTech Survey Ad 3108)</t>
        </is>
      </c>
      <c r="D55" s="17" t="inlineStr">
        <is>
          <t>Falguni J Pandya (8780353452)</t>
        </is>
      </c>
      <c r="E55" s="17" t="inlineStr">
        <is>
          <t>Zeel Mudaliyar</t>
        </is>
      </c>
      <c r="F55" s="17" t="inlineStr">
        <is>
          <t>Sales</t>
        </is>
      </c>
      <c r="G55" s="17" t="inlineStr">
        <is>
          <t>Rajan Purani</t>
        </is>
      </c>
      <c r="H55" s="17" t="inlineStr">
        <is>
          <t>Follow-Up</t>
        </is>
      </c>
      <c r="I55" s="17" t="inlineStr">
        <is>
          <t>Transfer: Location Ambli, Shivranjni, Satellite, Nehrunagar, 2 BHK, for family, 20-23K, fully furnished, possession after 15 days | Transfer Note: Location Ambli, Shivranjni, Satellite, Nehrunagar, 2 BHK, for family, 20-23K, fully furnished, possession after 15 days | Followup: details share karvi 2 bhk furnished flat joye che satellite, nehrunagar, prahladnagar shyamal, 25k max budget call for update | CRM: [Telecaller Key Points]: Location Ambli, Shivranjni, Satellite, Nehrunagar, 2 BHK, for family, 20-23K, fully furnished, possession after 15 days | CRM Followup: details share karvi 2 bhk furnished flat joye che satellite, nehrunagar, prahladnagar shyamal, 25k max budget call for update | [Telecaller Key Points]: Location Ambli, Shivranjni, Satellite, Nehrunagar, 2 BHK, for family, 20-23K, fully furnished, possession after 15 days | Location Ambli, Shivranjni, Satellite, Nehrunagar, 2 BHK, for family, 20-23K, fully furnished, possession after 15 days</t>
        </is>
      </c>
    </row>
    <row r="56" ht="20" customHeight="1">
      <c r="A56" s="57" t="n">
        <v>46290.84038722222</v>
      </c>
      <c r="B56" s="29" t="inlineStr">
        <is>
          <t>2. This Week (Last 7 Days)</t>
        </is>
      </c>
      <c r="C56" s="14" t="inlineStr">
        <is>
          <t>Meta Ads (NB PropertyTech Survey Ad 3108)</t>
        </is>
      </c>
      <c r="D56" s="14" t="inlineStr">
        <is>
          <t>Ayush Rathod (8239121070)</t>
        </is>
      </c>
      <c r="E56" s="14" t="inlineStr">
        <is>
          <t>Zeel Mudaliyar</t>
        </is>
      </c>
      <c r="F56" s="14" t="inlineStr">
        <is>
          <t>New</t>
        </is>
      </c>
      <c r="G56" s="14" t="inlineStr">
        <is>
          <t>Not Assigned</t>
        </is>
      </c>
      <c r="H56" s="14" t="inlineStr">
        <is>
          <t>N/A (Not Assigned)</t>
        </is>
      </c>
      <c r="I56" s="14" t="inlineStr">
        <is>
          <t>-</t>
        </is>
      </c>
    </row>
    <row r="57" ht="20" customHeight="1">
      <c r="A57" s="58" t="n">
        <v>46290.81885493056</v>
      </c>
      <c r="B57" s="28" t="inlineStr">
        <is>
          <t>2. This Week (Last 7 Days)</t>
        </is>
      </c>
      <c r="C57" s="17" t="inlineStr">
        <is>
          <t>Housing.com (Gota)</t>
        </is>
      </c>
      <c r="D57" s="17" t="inlineStr">
        <is>
          <t>Abhishek Raj (9128725933)</t>
        </is>
      </c>
      <c r="E57" s="17" t="inlineStr">
        <is>
          <t>Zeel Mudaliyar</t>
        </is>
      </c>
      <c r="F57" s="17" t="inlineStr">
        <is>
          <t>New</t>
        </is>
      </c>
      <c r="G57" s="17" t="inlineStr">
        <is>
          <t>Not Assigned</t>
        </is>
      </c>
      <c r="H57" s="17" t="inlineStr">
        <is>
          <t>N/A (Not Assigned)</t>
        </is>
      </c>
      <c r="I57" s="17" t="inlineStr">
        <is>
          <t>-</t>
        </is>
      </c>
    </row>
    <row r="58" ht="20" customHeight="1">
      <c r="A58" s="57" t="n">
        <v>46290.80774739583</v>
      </c>
      <c r="B58" s="29" t="inlineStr">
        <is>
          <t>2. This Week (Last 7 Days)</t>
        </is>
      </c>
      <c r="C58" s="14" t="inlineStr">
        <is>
          <t>Meta Ads (NB PropertyTech Survey Ad 3108)</t>
        </is>
      </c>
      <c r="D58" s="14" t="inlineStr">
        <is>
          <t>Rutvik27 (9727439772)</t>
        </is>
      </c>
      <c r="E58" s="14" t="inlineStr">
        <is>
          <t>Prexa Vithalapara</t>
        </is>
      </c>
      <c r="F58" s="14" t="inlineStr">
        <is>
          <t>New</t>
        </is>
      </c>
      <c r="G58" s="14" t="inlineStr">
        <is>
          <t>Not Assigned</t>
        </is>
      </c>
      <c r="H58" s="14" t="inlineStr">
        <is>
          <t>N/A (Not Assigned)</t>
        </is>
      </c>
      <c r="I58" s="14" t="inlineStr">
        <is>
          <t>-</t>
        </is>
      </c>
    </row>
    <row r="59" ht="20" customHeight="1">
      <c r="A59" s="58" t="n">
        <v>46290.80496797454</v>
      </c>
      <c r="B59" s="28" t="inlineStr">
        <is>
          <t>2. This Week (Last 7 Days)</t>
        </is>
      </c>
      <c r="C59" s="17" t="inlineStr">
        <is>
          <t>Meta Ads (NB PropertyTech Survey Ad 3108)</t>
        </is>
      </c>
      <c r="D59" s="17" t="inlineStr">
        <is>
          <t>Dr. Namrata Mehta (9033050500)</t>
        </is>
      </c>
      <c r="E59" s="17" t="inlineStr">
        <is>
          <t>Zeel Mudaliyar</t>
        </is>
      </c>
      <c r="F59" s="17" t="inlineStr">
        <is>
          <t>Sales</t>
        </is>
      </c>
      <c r="G59" s="17" t="inlineStr">
        <is>
          <t>Rakesh Jadav</t>
        </is>
      </c>
      <c r="H59" s="17" t="inlineStr">
        <is>
          <t>Re-Followup</t>
        </is>
      </c>
      <c r="I59" s="17" t="inlineStr">
        <is>
          <t>[Telecaller Key Points]: Location Gota, Vaishnodevi, Science City, Thaltej, 2 BHK, fully furnished, for family, budget 20-30 K, possession required from 15 Oct or beyond | Transfer: Location Gota, Vaishnodevi, Science City, Thaltej, 2 BHK, fully furnished, for family, budget 20-30 K, possession required from 15 Oct or beyond | Transfer Note: Location Gota, Vaishnodevi, Science City, Thaltej, 2 BHK, fully furnished, for family, budget 20-30 K, possession required from 15 Oct or beyond | Followup: 4,5 tarikh avse jova amne 15 tarikh thii joiye che | CRM: [Telecaller Key Points]: Location Gota, Vaishnodevi, Science City, Thaltej, 2 BHK, fully furnished, for family, budget 20-30 K, possession required from 15 Oct or beyond | CRM Followup: 4,5 tarikh avse jova amne 15 tarikh thii joiye che | Location Gota, Vaishnodevi, Science City, Thaltej, 2 BHK, fully furnished, for family, budget 20-30 K, possession required from 15 Oct or beyond</t>
        </is>
      </c>
    </row>
    <row r="60" ht="20" customHeight="1">
      <c r="A60" s="57" t="n">
        <v>46290.79594030092</v>
      </c>
      <c r="B60" s="29" t="inlineStr">
        <is>
          <t>2. This Week (Last 7 Days)</t>
        </is>
      </c>
      <c r="C60" s="14" t="inlineStr">
        <is>
          <t>Meta Ads (NB PropertyTech Survey Ad 3108)</t>
        </is>
      </c>
      <c r="D60" s="14" t="inlineStr">
        <is>
          <t>Rohan. (9974312429)</t>
        </is>
      </c>
      <c r="E60" s="14" t="inlineStr">
        <is>
          <t>Zeel Mudaliyar</t>
        </is>
      </c>
      <c r="F60" s="14" t="inlineStr">
        <is>
          <t>New</t>
        </is>
      </c>
      <c r="G60" s="14" t="inlineStr">
        <is>
          <t>Not Assigned</t>
        </is>
      </c>
      <c r="H60" s="14" t="inlineStr">
        <is>
          <t>N/A (Not Assigned)</t>
        </is>
      </c>
      <c r="I60" s="14" t="inlineStr">
        <is>
          <t>-</t>
        </is>
      </c>
    </row>
    <row r="61" ht="20" customHeight="1">
      <c r="A61" s="58" t="n">
        <v>46290.7924671412</v>
      </c>
      <c r="B61" s="28" t="inlineStr">
        <is>
          <t>2. This Week (Last 7 Days)</t>
        </is>
      </c>
      <c r="C61" s="17" t="inlineStr">
        <is>
          <t>Meta Ads (NB PropertyTech Survey Ad 3108)</t>
        </is>
      </c>
      <c r="D61" s="17" t="inlineStr">
        <is>
          <t>Barbie Mansuri (9157422301)</t>
        </is>
      </c>
      <c r="E61" s="17" t="inlineStr">
        <is>
          <t>Zeel Mudaliyar</t>
        </is>
      </c>
      <c r="F61" s="17" t="inlineStr">
        <is>
          <t>New</t>
        </is>
      </c>
      <c r="G61" s="17" t="inlineStr">
        <is>
          <t>Not Assigned</t>
        </is>
      </c>
      <c r="H61" s="17" t="inlineStr">
        <is>
          <t>N/A (Not Assigned)</t>
        </is>
      </c>
      <c r="I61" s="17" t="inlineStr">
        <is>
          <t>-</t>
        </is>
      </c>
    </row>
    <row r="62" ht="20" customHeight="1">
      <c r="A62" s="57" t="n">
        <v>46290.77509930555</v>
      </c>
      <c r="B62" s="29" t="inlineStr">
        <is>
          <t>2. This Week (Last 7 Days)</t>
        </is>
      </c>
      <c r="C62" s="14" t="inlineStr">
        <is>
          <t>Housing.com (Nava Vadaj)</t>
        </is>
      </c>
      <c r="D62" s="14" t="inlineStr">
        <is>
          <t>Mahesh Kumar Prajapati (6352963093)</t>
        </is>
      </c>
      <c r="E62" s="14" t="inlineStr">
        <is>
          <t>Zeel Mudaliyar</t>
        </is>
      </c>
      <c r="F62" s="14" t="inlineStr">
        <is>
          <t>Rejected / Lost</t>
        </is>
      </c>
      <c r="G62" s="14" t="inlineStr">
        <is>
          <t>Rakesh Jadav</t>
        </is>
      </c>
      <c r="H62" s="14" t="inlineStr">
        <is>
          <t>Rejected (Locality Mismatch)</t>
        </is>
      </c>
      <c r="I62" s="14" t="inlineStr">
        <is>
          <t>Transfer: Interested in Shivam Apartment, Nava Vadaj wants to see pictures budget is 15K only | Transfer Note: Interested in Shivam Apartment, Nava Vadaj wants to see pictures budget is 15K only | Followup: amna madam ne joiye che interior desine che mam single woman 15k aspas memngar gurukul ma | CRM: [Telecaller Key Points]: Interested in Shivam Apartment, Nava Vadaj wants to see pictures budget is 15K only | CRM Followup: amna madam ne joiye che interior desine che mam single woman 15k aspas memngar gurukul ma | [Telecaller Key Points]: Interested in Shivam Apartment, Nava Vadaj wants to see pictures budget is 15K only | Interested in Shivam Apartment, Nava Vadaj wants to see pictures budget is 15K only</t>
        </is>
      </c>
    </row>
    <row r="63" ht="20" customHeight="1">
      <c r="A63" s="58" t="n">
        <v>46290.76749193287</v>
      </c>
      <c r="B63" s="28" t="inlineStr">
        <is>
          <t>2. This Week (Last 7 Days)</t>
        </is>
      </c>
      <c r="C63" s="17" t="inlineStr">
        <is>
          <t>Housing.com (Science City)</t>
        </is>
      </c>
      <c r="D63" s="17" t="inlineStr">
        <is>
          <t>Ravi Lakhani (9327316884)</t>
        </is>
      </c>
      <c r="E63" s="17" t="inlineStr">
        <is>
          <t>Zeel Mudaliyar</t>
        </is>
      </c>
      <c r="F63" s="17" t="inlineStr">
        <is>
          <t>Rejected / Lost</t>
        </is>
      </c>
      <c r="G63" s="17" t="inlineStr">
        <is>
          <t>Viral Jadeja</t>
        </is>
      </c>
      <c r="H63" s="17" t="inlineStr">
        <is>
          <t>Rejected (No Requirement)</t>
        </is>
      </c>
      <c r="I63" s="17" t="inlineStr">
        <is>
          <t>Transfer: Location Sola, Science City, requires commercial property 5/7 common desk and 1 cabin, 400 sq ft carpet area, Rent budget 32K, Possession from 10 Oct | Transfer Note: Location Sola, Science City, requires commercial property 5/7 common desk and 1 cabin, 400 sq ft carpet area, Rent budget 32K, Possession from 10 Oct | CRM: [Telecaller Key Points]: Location Sola, Science City, requires commercial property 5/7 common desk and 1 cabin, 400 sq ft carpet area, Rent budget 32K, Possession from 10 Oct | [Telecaller Key Points]: Location Sola, Science City, requires commercial property 5/7 common desk and 1 cabin, 400 sq ft carpet area, Rent budget 32K, Possession from 10 Oct | Location Sola, Science City, requires commercial property 5/7 common desk and 1 cabin, 400 sq ft carpet area, Rent budget 32K, Possession from 10 Oct</t>
        </is>
      </c>
    </row>
    <row r="64" ht="20" customHeight="1">
      <c r="A64" s="57" t="n">
        <v>46290.71371074074</v>
      </c>
      <c r="B64" s="29" t="inlineStr">
        <is>
          <t>2. This Week (Last 7 Days)</t>
        </is>
      </c>
      <c r="C64" s="14" t="inlineStr">
        <is>
          <t>Housing.com (Nava Vadaj)</t>
        </is>
      </c>
      <c r="D64" s="14" t="inlineStr">
        <is>
          <t>Ashutosh Soni (9687718246)</t>
        </is>
      </c>
      <c r="E64" s="14" t="inlineStr">
        <is>
          <t>Zeel Mudaliyar</t>
        </is>
      </c>
      <c r="F64" s="14" t="inlineStr">
        <is>
          <t>New</t>
        </is>
      </c>
      <c r="G64" s="14" t="inlineStr">
        <is>
          <t>Not Assigned</t>
        </is>
      </c>
      <c r="H64" s="14" t="inlineStr">
        <is>
          <t>N/A (Not Assigned)</t>
        </is>
      </c>
      <c r="I64" s="14" t="inlineStr">
        <is>
          <t>-</t>
        </is>
      </c>
    </row>
    <row r="65" ht="20" customHeight="1">
      <c r="A65" s="58" t="n">
        <v>46290.6963465625</v>
      </c>
      <c r="B65" s="28" t="inlineStr">
        <is>
          <t>2. This Week (Last 7 Days)</t>
        </is>
      </c>
      <c r="C65" s="17" t="inlineStr">
        <is>
          <t>Housing.com (Nava Vadaj)</t>
        </is>
      </c>
      <c r="D65" s="17" t="inlineStr">
        <is>
          <t>Dipak (8000410970)</t>
        </is>
      </c>
      <c r="E65" s="17" t="inlineStr">
        <is>
          <t>Zeel Mudaliyar</t>
        </is>
      </c>
      <c r="F65" s="17" t="inlineStr">
        <is>
          <t>Sales</t>
        </is>
      </c>
      <c r="G65" s="17" t="inlineStr">
        <is>
          <t>Somel Rathod</t>
        </is>
      </c>
      <c r="H65" s="17" t="inlineStr">
        <is>
          <t>Follow-Up</t>
        </is>
      </c>
      <c r="I65" s="17" t="inlineStr">
        <is>
          <t>Transfer: Inquired for Shivam Apartment (Nava Vadaj), told to send pictures,
 2 BHK, for Family, 20K budget, possession 11/Oct, location Nava Vadaj/ New Ranip | Transfer Note: Inquired for Shivam Apartment (Nava Vadaj), told to send pictures,
 2 BHK, for Family, 20K budget, possession 11/Oct, location Nava Vadaj/ New Ranip | Followup: send to Akshay apartment sayona detail send | CRM: [Telecaller Key Points]: Inquired for Shivam Apartment (Nava Vadaj), told to send pictures,
 2 BHK, for Family, 20K budget, possession 11/Oct, location Nava Vadaj/ New Ranip | CRM Followup: send to Akshay apartment sayona detail send | [Telecaller Key Points]: Inquired for Shivam Apartment (Nava Vadaj), told to send pictures,
 2 BHK, for Family, 20K budget, possession 11/Oct, location Nava Vadaj/ New Ranip | Inquired for Shivam Apartment (Nava Vadaj), told to send pictures,
 2 BHK, for Family, 20K budget, possession 11/Oct, location Nava Vadaj/ New Ranip</t>
        </is>
      </c>
    </row>
    <row r="66" ht="20" customHeight="1">
      <c r="A66" s="57" t="n">
        <v>46290.68941019676</v>
      </c>
      <c r="B66" s="29" t="inlineStr">
        <is>
          <t>2. This Week (Last 7 Days)</t>
        </is>
      </c>
      <c r="C66" s="14" t="inlineStr">
        <is>
          <t>Meta Ads (NB PropertyTech Survey Ad 3108)</t>
        </is>
      </c>
      <c r="D66" s="14" t="inlineStr">
        <is>
          <t>Bharat (9106103075)</t>
        </is>
      </c>
      <c r="E66" s="14" t="inlineStr">
        <is>
          <t>Prexa Vithalapara</t>
        </is>
      </c>
      <c r="F66" s="14" t="inlineStr">
        <is>
          <t>New</t>
        </is>
      </c>
      <c r="G66" s="14" t="inlineStr">
        <is>
          <t>Not Assigned</t>
        </is>
      </c>
      <c r="H66" s="14" t="inlineStr">
        <is>
          <t>N/A (Not Assigned)</t>
        </is>
      </c>
      <c r="I66" s="14" t="inlineStr">
        <is>
          <t>-</t>
        </is>
      </c>
    </row>
    <row r="67" ht="20" customHeight="1">
      <c r="A67" s="58" t="n">
        <v>46290.6755196875</v>
      </c>
      <c r="B67" s="28" t="inlineStr">
        <is>
          <t>2. This Week (Last 7 Days)</t>
        </is>
      </c>
      <c r="C67" s="17" t="inlineStr">
        <is>
          <t>Meta Ads (NB PropertyTech Survey Ad 3108)</t>
        </is>
      </c>
      <c r="D67" s="17" t="inlineStr">
        <is>
          <t>Neeta Desai (9925016136)</t>
        </is>
      </c>
      <c r="E67" s="17" t="inlineStr">
        <is>
          <t>Unassigned</t>
        </is>
      </c>
      <c r="F67" s="17" t="inlineStr">
        <is>
          <t>New</t>
        </is>
      </c>
      <c r="G67" s="17" t="inlineStr">
        <is>
          <t>Not Assigned</t>
        </is>
      </c>
      <c r="H67" s="17" t="inlineStr">
        <is>
          <t>N/A (Not Assigned)</t>
        </is>
      </c>
      <c r="I67" s="17" t="inlineStr">
        <is>
          <t>-</t>
        </is>
      </c>
    </row>
    <row r="68" ht="20" customHeight="1">
      <c r="A68" s="57" t="n">
        <v>46290.65746008102</v>
      </c>
      <c r="B68" s="29" t="inlineStr">
        <is>
          <t>2. This Week (Last 7 Days)</t>
        </is>
      </c>
      <c r="C68" s="14" t="inlineStr">
        <is>
          <t>Meta Ads (NB PropertyTech Survey Ad 3108)</t>
        </is>
      </c>
      <c r="D68" s="14" t="inlineStr">
        <is>
          <t>Shashwat Singh Chouhan (8120688557)</t>
        </is>
      </c>
      <c r="E68" s="14" t="inlineStr">
        <is>
          <t>Prexa Vithalapara</t>
        </is>
      </c>
      <c r="F68" s="14" t="inlineStr">
        <is>
          <t>New</t>
        </is>
      </c>
      <c r="G68" s="14" t="inlineStr">
        <is>
          <t>Not Assigned</t>
        </is>
      </c>
      <c r="H68" s="14" t="inlineStr">
        <is>
          <t>N/A (Not Assigned)</t>
        </is>
      </c>
      <c r="I68" s="14" t="inlineStr">
        <is>
          <t>-</t>
        </is>
      </c>
    </row>
    <row r="69" ht="20" customHeight="1">
      <c r="A69" s="58" t="n">
        <v>46290.63547157407</v>
      </c>
      <c r="B69" s="28" t="inlineStr">
        <is>
          <t>2. This Week (Last 7 Days)</t>
        </is>
      </c>
      <c r="C69" s="17" t="inlineStr">
        <is>
          <t>Meta Ads (NB PropertyTech Survey Ad 3108)</t>
        </is>
      </c>
      <c r="D69" s="17" t="inlineStr">
        <is>
          <t>Abhishek Jani (9426660470)</t>
        </is>
      </c>
      <c r="E69" s="17" t="inlineStr">
        <is>
          <t>Prexa Vithalapara</t>
        </is>
      </c>
      <c r="F69" s="17" t="inlineStr">
        <is>
          <t>New</t>
        </is>
      </c>
      <c r="G69" s="17" t="inlineStr">
        <is>
          <t>Not Assigned</t>
        </is>
      </c>
      <c r="H69" s="17" t="inlineStr">
        <is>
          <t>N/A (Not Assigned)</t>
        </is>
      </c>
      <c r="I69" s="17" t="inlineStr">
        <is>
          <t>-</t>
        </is>
      </c>
    </row>
    <row r="70" ht="20" customHeight="1">
      <c r="A70" s="57" t="n">
        <v>46290.57077579861</v>
      </c>
      <c r="B70" s="29" t="inlineStr">
        <is>
          <t>2. This Week (Last 7 Days)</t>
        </is>
      </c>
      <c r="C70" s="14" t="inlineStr">
        <is>
          <t>Housing.com (Nava Vadaj)</t>
        </is>
      </c>
      <c r="D70" s="14" t="inlineStr">
        <is>
          <t>Jatin (7023534697)</t>
        </is>
      </c>
      <c r="E70" s="14" t="inlineStr">
        <is>
          <t>Zeel Mudaliyar</t>
        </is>
      </c>
      <c r="F70" s="14" t="inlineStr">
        <is>
          <t>New</t>
        </is>
      </c>
      <c r="G70" s="14" t="inlineStr">
        <is>
          <t>Not Assigned</t>
        </is>
      </c>
      <c r="H70" s="14" t="inlineStr">
        <is>
          <t>N/A (Not Assigned)</t>
        </is>
      </c>
      <c r="I70" s="14" t="inlineStr">
        <is>
          <t>-</t>
        </is>
      </c>
    </row>
    <row r="71" ht="20" customHeight="1">
      <c r="A71" s="58" t="n">
        <v>46290.55411006945</v>
      </c>
      <c r="B71" s="28" t="inlineStr">
        <is>
          <t>2. This Week (Last 7 Days)</t>
        </is>
      </c>
      <c r="C71" s="17" t="inlineStr">
        <is>
          <t>Housing.com (Ranip)</t>
        </is>
      </c>
      <c r="D71" s="17" t="inlineStr">
        <is>
          <t>Dinesh Jaypal (7201064003)</t>
        </is>
      </c>
      <c r="E71" s="17" t="inlineStr">
        <is>
          <t>Zeel Mudaliyar</t>
        </is>
      </c>
      <c r="F71" s="17" t="inlineStr">
        <is>
          <t>New</t>
        </is>
      </c>
      <c r="G71" s="17" t="inlineStr">
        <is>
          <t>Not Assigned</t>
        </is>
      </c>
      <c r="H71" s="17" t="inlineStr">
        <is>
          <t>N/A (Not Assigned)</t>
        </is>
      </c>
      <c r="I71" s="17" t="inlineStr">
        <is>
          <t>-</t>
        </is>
      </c>
    </row>
    <row r="72" ht="20" customHeight="1">
      <c r="A72" s="57" t="n">
        <v>46290.55132770833</v>
      </c>
      <c r="B72" s="29" t="inlineStr">
        <is>
          <t>2. This Week (Last 7 Days)</t>
        </is>
      </c>
      <c r="C72" s="14" t="inlineStr">
        <is>
          <t>Housing.com (Chanakyapuri)</t>
        </is>
      </c>
      <c r="D72" s="14" t="inlineStr">
        <is>
          <t>Poonam (9004110842)</t>
        </is>
      </c>
      <c r="E72" s="14" t="inlineStr">
        <is>
          <t>Unassigned</t>
        </is>
      </c>
      <c r="F72" s="14" t="inlineStr">
        <is>
          <t>New</t>
        </is>
      </c>
      <c r="G72" s="14" t="inlineStr">
        <is>
          <t>Not Assigned</t>
        </is>
      </c>
      <c r="H72" s="14" t="inlineStr">
        <is>
          <t>N/A (Not Assigned)</t>
        </is>
      </c>
      <c r="I72" s="14" t="inlineStr">
        <is>
          <t>-</t>
        </is>
      </c>
    </row>
    <row r="73" ht="20" customHeight="1">
      <c r="A73" s="58" t="n">
        <v>46290.27007552084</v>
      </c>
      <c r="B73" s="28" t="inlineStr">
        <is>
          <t>2. This Week (Last 7 Days)</t>
        </is>
      </c>
      <c r="C73" s="17" t="inlineStr">
        <is>
          <t>Housing.com (Memnagar)</t>
        </is>
      </c>
      <c r="D73" s="17" t="inlineStr">
        <is>
          <t>Dinesh Rajput (9727758705)</t>
        </is>
      </c>
      <c r="E73" s="17" t="inlineStr">
        <is>
          <t>Zeel Mudaliyar</t>
        </is>
      </c>
      <c r="F73" s="17" t="inlineStr">
        <is>
          <t>Callback Scheduled</t>
        </is>
      </c>
      <c r="G73" s="17" t="inlineStr">
        <is>
          <t>Not Assigned</t>
        </is>
      </c>
      <c r="H73" s="17" t="inlineStr">
        <is>
          <t>N/A (Not Assigned)</t>
        </is>
      </c>
      <c r="I73" s="17" t="inlineStr">
        <is>
          <t>Followup: Less budget, requires retail shop (only option available- moonlight complex -basement)</t>
        </is>
      </c>
    </row>
    <row r="74" ht="20" customHeight="1">
      <c r="A74" s="57" t="n">
        <v>46290.08116121528</v>
      </c>
      <c r="B74" s="29" t="inlineStr">
        <is>
          <t>2. This Week (Last 7 Days)</t>
        </is>
      </c>
      <c r="C74" s="14" t="inlineStr">
        <is>
          <t>Housing.com (Vaishno Devi Circle)</t>
        </is>
      </c>
      <c r="D74" s="14" t="inlineStr">
        <is>
          <t>Kaushal Darbar (8238102988)</t>
        </is>
      </c>
      <c r="E74" s="14" t="inlineStr">
        <is>
          <t>Zeel Mudaliyar</t>
        </is>
      </c>
      <c r="F74" s="14" t="inlineStr">
        <is>
          <t>Callback Scheduled</t>
        </is>
      </c>
      <c r="G74" s="14" t="inlineStr">
        <is>
          <t>Not Assigned</t>
        </is>
      </c>
      <c r="H74" s="14" t="inlineStr">
        <is>
          <t>N/A (Not Assigned)</t>
        </is>
      </c>
      <c r="I74" s="14" t="inlineStr">
        <is>
          <t>Followup: Sq ft and budget is not decided yet, will inform by tom.</t>
        </is>
      </c>
    </row>
    <row r="75" ht="20" customHeight="1">
      <c r="A75" s="58" t="n">
        <v>46289.84917277778</v>
      </c>
      <c r="B75" s="28" t="inlineStr">
        <is>
          <t>2. This Week (Last 7 Days)</t>
        </is>
      </c>
      <c r="C75" s="17" t="inlineStr">
        <is>
          <t>Housing.com (Nava Vadaj)</t>
        </is>
      </c>
      <c r="D75" s="17" t="inlineStr">
        <is>
          <t>Jayesh Maheta (9624622175)</t>
        </is>
      </c>
      <c r="E75" s="17" t="inlineStr">
        <is>
          <t>Zeel Mudaliyar</t>
        </is>
      </c>
      <c r="F75" s="17" t="inlineStr">
        <is>
          <t>CNR (Could Not Reach)</t>
        </is>
      </c>
      <c r="G75" s="17" t="inlineStr">
        <is>
          <t>Not Assigned</t>
        </is>
      </c>
      <c r="H75" s="17" t="inlineStr">
        <is>
          <t>N/A (Not Assigned)</t>
        </is>
      </c>
      <c r="I75" s="17" t="inlineStr">
        <is>
          <t>Transfer Note: Marked as CNR</t>
        </is>
      </c>
    </row>
    <row r="76" ht="20" customHeight="1">
      <c r="A76" s="57" t="n">
        <v>46289.64132870371</v>
      </c>
      <c r="B76" s="29" t="inlineStr">
        <is>
          <t>2. This Week (Last 7 Days)</t>
        </is>
      </c>
      <c r="C76" s="14" t="inlineStr">
        <is>
          <t>Housing.com (NB Pearl Heights)</t>
        </is>
      </c>
      <c r="D76" s="14" t="inlineStr">
        <is>
          <t>Housing User (8849069983)</t>
        </is>
      </c>
      <c r="E76" s="14" t="inlineStr">
        <is>
          <t>Zeel Mudaliyar</t>
        </is>
      </c>
      <c r="F76" s="14" t="inlineStr">
        <is>
          <t>Site Visit Scheduled</t>
        </is>
      </c>
      <c r="G76" s="14" t="inlineStr">
        <is>
          <t>Rakesh Jadav</t>
        </is>
      </c>
      <c r="H76" s="14" t="inlineStr">
        <is>
          <t>Re-Followup</t>
        </is>
      </c>
      <c r="I76" s="14" t="inlineStr">
        <is>
          <t>Transfer: 2 BHK, for family, unfurnished also works, location Shela, South bopal, Bopal, Rent 18K, possession asap | Transfer Note: 2 BHK, for family, unfurnished also works, location Shela, South bopal, Bopal, Rent 18K, possession asap | Followup: cnr always not responding call | CRM: [Telecaller Key Points]: 2 BHK, for family, unfurnished also works, location Shela, South bopal, Bopal, Rent 18K, possession asap | CRM Followup: cnr always not responding call | [Telecaller Key Points]: 2 BHK, for family, unfurnished also works, location Shela, South bopal, Bopal, Rent 18K, possession asap | 2 BHK, for family, unfurnished also works, location Shela, South bopal, Bopal, Rent 18K, possession asap</t>
        </is>
      </c>
    </row>
    <row r="77" ht="20" customHeight="1">
      <c r="A77" s="58" t="n">
        <v>46289.61634710648</v>
      </c>
      <c r="B77" s="28" t="inlineStr">
        <is>
          <t>2. This Week (Last 7 Days)</t>
        </is>
      </c>
      <c r="C77" s="17" t="inlineStr">
        <is>
          <t>Housing.com (South Bopal)</t>
        </is>
      </c>
      <c r="D77" s="17" t="inlineStr">
        <is>
          <t>Harsh (8733944333)</t>
        </is>
      </c>
      <c r="E77" s="17" t="inlineStr">
        <is>
          <t>Zeel Mudaliyar</t>
        </is>
      </c>
      <c r="F77" s="17" t="inlineStr">
        <is>
          <t>CNR (Could Not Reach)</t>
        </is>
      </c>
      <c r="G77" s="17" t="inlineStr">
        <is>
          <t>Not Assigned</t>
        </is>
      </c>
      <c r="H77" s="17" t="inlineStr">
        <is>
          <t>N/A (Not Assigned)</t>
        </is>
      </c>
      <c r="I77" s="17" t="inlineStr">
        <is>
          <t>Transfer Note: Marked as CNR</t>
        </is>
      </c>
    </row>
    <row r="78" ht="20" customHeight="1">
      <c r="A78" s="57" t="n">
        <v>46289.5753537963</v>
      </c>
      <c r="B78" s="29" t="inlineStr">
        <is>
          <t>2. This Week (Last 7 Days)</t>
        </is>
      </c>
      <c r="C78" s="14" t="inlineStr">
        <is>
          <t>Housing.com (Satellite)</t>
        </is>
      </c>
      <c r="D78" s="14" t="inlineStr">
        <is>
          <t>Amar Shah (8980510999)</t>
        </is>
      </c>
      <c r="E78" s="14" t="inlineStr">
        <is>
          <t>Zeel Mudaliyar</t>
        </is>
      </c>
      <c r="F78" s="14" t="inlineStr">
        <is>
          <t>New</t>
        </is>
      </c>
      <c r="G78" s="14" t="inlineStr">
        <is>
          <t>Not Assigned</t>
        </is>
      </c>
      <c r="H78" s="14" t="inlineStr">
        <is>
          <t>N/A (Not Assigned)</t>
        </is>
      </c>
      <c r="I78" s="14" t="inlineStr">
        <is>
          <t>[Telecaller Key Points]: Req satelite, jodhpur, near jainderasar, 2BHK, 20k budget, semi furnished</t>
        </is>
      </c>
    </row>
    <row r="79" ht="20" customHeight="1">
      <c r="A79" s="58" t="n">
        <v>46289.56637199074</v>
      </c>
      <c r="B79" s="28" t="inlineStr">
        <is>
          <t>2. This Week (Last 7 Days)</t>
        </is>
      </c>
      <c r="C79" s="17" t="inlineStr">
        <is>
          <t>Social Media</t>
        </is>
      </c>
      <c r="D79" s="17" t="inlineStr">
        <is>
          <t>Vijay Patel (9428671953)</t>
        </is>
      </c>
      <c r="E79" s="17" t="inlineStr">
        <is>
          <t>Unassigned</t>
        </is>
      </c>
      <c r="F79" s="17" t="inlineStr">
        <is>
          <t>Site Visit Scheduled</t>
        </is>
      </c>
      <c r="G79" s="17" t="inlineStr">
        <is>
          <t>Somel Rathod</t>
        </is>
      </c>
      <c r="H79" s="17" t="inlineStr">
        <is>
          <t>Site Visit Done</t>
        </is>
      </c>
      <c r="I79" s="17" t="inlineStr">
        <is>
          <t>Budget-20k Location- sola, new ranip - secend 2 floor sudhi ma jove che | Followup: 2 project visit done kale Akshay Apartment visit nu ke che | CRM: Budget-20k Location- sola, new ranip - secend 2 floor sudhi ma jove che | CRM Followup: 2 project visit done kale Akshay Apartment visit nu ke che | Budget-20k Location- sola, new ranip - secend 2 floor sudhi ma jove che
[24 Sep '26, 1:37 PM] Sun Real home / PH</t>
        </is>
      </c>
    </row>
    <row r="80" ht="20" customHeight="1">
      <c r="A80" s="57" t="n">
        <v>46289.56337118056</v>
      </c>
      <c r="B80" s="29" t="inlineStr">
        <is>
          <t>2. This Week (Last 7 Days)</t>
        </is>
      </c>
      <c r="C80" s="14" t="inlineStr">
        <is>
          <t>Webhook API</t>
        </is>
      </c>
      <c r="D80" s="14" t="inlineStr">
        <is>
          <t>Hetal Sapan Oza (9909929003)</t>
        </is>
      </c>
      <c r="E80" s="14" t="inlineStr">
        <is>
          <t>Zeel Mudaliyar</t>
        </is>
      </c>
      <c r="F80" s="14" t="inlineStr">
        <is>
          <t>New</t>
        </is>
      </c>
      <c r="G80" s="14" t="inlineStr">
        <is>
          <t>Not Assigned</t>
        </is>
      </c>
      <c r="H80" s="14" t="inlineStr">
        <is>
          <t>N/A (Not Assigned)</t>
        </is>
      </c>
      <c r="I80" s="14" t="inlineStr">
        <is>
          <t>20k bgt vejalpur redio mirchi aspas joiye che family che (looaction mismatch lost ) | options not available</t>
        </is>
      </c>
    </row>
    <row r="81" ht="20" customHeight="1">
      <c r="A81" s="58" t="n">
        <v>46289.56235910879</v>
      </c>
      <c r="B81" s="28" t="inlineStr">
        <is>
          <t>2. This Week (Last 7 Days)</t>
        </is>
      </c>
      <c r="C81" s="17" t="inlineStr">
        <is>
          <t>Webhook API</t>
        </is>
      </c>
      <c r="D81" s="17" t="inlineStr">
        <is>
          <t>Hetal Sapan Oza (9909929003)</t>
        </is>
      </c>
      <c r="E81" s="17" t="inlineStr">
        <is>
          <t>Prexa Vithalapara</t>
        </is>
      </c>
      <c r="F81" s="17" t="inlineStr">
        <is>
          <t>New</t>
        </is>
      </c>
      <c r="G81" s="17" t="inlineStr">
        <is>
          <t>Not Assigned</t>
        </is>
      </c>
      <c r="H81" s="17" t="inlineStr">
        <is>
          <t>N/A (Not Assigned)</t>
        </is>
      </c>
      <c r="I81" s="17" t="inlineStr">
        <is>
          <t>20k bgt vejalpur redio mirchi aspas joiye che family che (looaction mismatch lost ) | options not available</t>
        </is>
      </c>
    </row>
    <row r="82" ht="20" customHeight="1">
      <c r="A82" s="57" t="n">
        <v>46289.56223331019</v>
      </c>
      <c r="B82" s="29" t="inlineStr">
        <is>
          <t>2. This Week (Last 7 Days)</t>
        </is>
      </c>
      <c r="C82" s="14" t="inlineStr">
        <is>
          <t>Webhook API</t>
        </is>
      </c>
      <c r="D82" s="14" t="inlineStr">
        <is>
          <t>Hetal Sapan Oza (9909929003)</t>
        </is>
      </c>
      <c r="E82" s="14" t="inlineStr">
        <is>
          <t>Zeel Mudaliyar</t>
        </is>
      </c>
      <c r="F82" s="14" t="inlineStr">
        <is>
          <t>New</t>
        </is>
      </c>
      <c r="G82" s="14" t="inlineStr">
        <is>
          <t>Not Assigned</t>
        </is>
      </c>
      <c r="H82" s="14" t="inlineStr">
        <is>
          <t>N/A (Not Assigned)</t>
        </is>
      </c>
      <c r="I82" s="14" t="inlineStr">
        <is>
          <t>20k bgt vejalpur redio mirchi aspas joiye che family che (looaction mismatch lost ) | options not available</t>
        </is>
      </c>
    </row>
    <row r="83" ht="20" customHeight="1">
      <c r="A83" s="58" t="n">
        <v>46289.56181033565</v>
      </c>
      <c r="B83" s="28" t="inlineStr">
        <is>
          <t>2. This Week (Last 7 Days)</t>
        </is>
      </c>
      <c r="C83" s="17" t="inlineStr">
        <is>
          <t>Webhook API</t>
        </is>
      </c>
      <c r="D83" s="17" t="inlineStr">
        <is>
          <t>Hetal Sapan Oza (9909929003)</t>
        </is>
      </c>
      <c r="E83" s="17" t="inlineStr">
        <is>
          <t>Zeel Mudaliyar</t>
        </is>
      </c>
      <c r="F83" s="17" t="inlineStr">
        <is>
          <t>New</t>
        </is>
      </c>
      <c r="G83" s="17" t="inlineStr">
        <is>
          <t>Not Assigned</t>
        </is>
      </c>
      <c r="H83" s="17" t="inlineStr">
        <is>
          <t>N/A (Not Assigned)</t>
        </is>
      </c>
      <c r="I83" s="17" t="inlineStr">
        <is>
          <t>20k bgt vejalpur redio mirchi aspas joiye che family che (looaction mismatch lost ) | options not available</t>
        </is>
      </c>
    </row>
    <row r="84" ht="20" customHeight="1">
      <c r="A84" s="57" t="n">
        <v>46289.56002109954</v>
      </c>
      <c r="B84" s="29" t="inlineStr">
        <is>
          <t>2. This Week (Last 7 Days)</t>
        </is>
      </c>
      <c r="C84" s="14" t="inlineStr">
        <is>
          <t>Webhook API</t>
        </is>
      </c>
      <c r="D84" s="14" t="inlineStr">
        <is>
          <t>Hetal Sapan Oza (9909929003)</t>
        </is>
      </c>
      <c r="E84" s="14" t="inlineStr">
        <is>
          <t>Prexa Vithalapara</t>
        </is>
      </c>
      <c r="F84" s="14" t="inlineStr">
        <is>
          <t>New</t>
        </is>
      </c>
      <c r="G84" s="14" t="inlineStr">
        <is>
          <t>Not Assigned</t>
        </is>
      </c>
      <c r="H84" s="14" t="inlineStr">
        <is>
          <t>N/A (Not Assigned)</t>
        </is>
      </c>
      <c r="I84" s="14" t="inlineStr">
        <is>
          <t>20k bgt vejalpur redio mirchi aspas joiye che family che (looaction mismatch lost ) | options not available</t>
        </is>
      </c>
    </row>
    <row r="85" ht="20" customHeight="1">
      <c r="A85" s="58" t="n">
        <v>46289.55967423611</v>
      </c>
      <c r="B85" s="28" t="inlineStr">
        <is>
          <t>2. This Week (Last 7 Days)</t>
        </is>
      </c>
      <c r="C85" s="17" t="inlineStr">
        <is>
          <t>Webhook API</t>
        </is>
      </c>
      <c r="D85" s="17" t="inlineStr">
        <is>
          <t>Hetal Sapan Oza (9909929003)</t>
        </is>
      </c>
      <c r="E85" s="17" t="inlineStr">
        <is>
          <t>Zeel Mudaliyar</t>
        </is>
      </c>
      <c r="F85" s="17" t="inlineStr">
        <is>
          <t>New</t>
        </is>
      </c>
      <c r="G85" s="17" t="inlineStr">
        <is>
          <t>Not Assigned</t>
        </is>
      </c>
      <c r="H85" s="17" t="inlineStr">
        <is>
          <t>N/A (Not Assigned)</t>
        </is>
      </c>
      <c r="I85" s="17" t="inlineStr">
        <is>
          <t>20k bgt vejalpur redio mirchi aspas joiye che family che (looaction mismatch lost ) | options not available</t>
        </is>
      </c>
    </row>
    <row r="86" ht="20" customHeight="1">
      <c r="A86" s="57" t="n">
        <v>46289.55962967592</v>
      </c>
      <c r="B86" s="29" t="inlineStr">
        <is>
          <t>2. This Week (Last 7 Days)</t>
        </is>
      </c>
      <c r="C86" s="14" t="inlineStr">
        <is>
          <t>Webhook API</t>
        </is>
      </c>
      <c r="D86" s="14" t="inlineStr">
        <is>
          <t>Hetal Sapan Oza (9909929003)</t>
        </is>
      </c>
      <c r="E86" s="14" t="inlineStr">
        <is>
          <t>Zeel Mudaliyar</t>
        </is>
      </c>
      <c r="F86" s="14" t="inlineStr">
        <is>
          <t>New</t>
        </is>
      </c>
      <c r="G86" s="14" t="inlineStr">
        <is>
          <t>Not Assigned</t>
        </is>
      </c>
      <c r="H86" s="14" t="inlineStr">
        <is>
          <t>N/A (Not Assigned)</t>
        </is>
      </c>
      <c r="I86" s="14" t="inlineStr">
        <is>
          <t>20k bgt vejalpur redio mirchi aspas joiye che family che (looaction mismatch lost ) | options not available</t>
        </is>
      </c>
    </row>
    <row r="87" ht="20" customHeight="1">
      <c r="A87" s="58" t="n">
        <v>46289.5595896875</v>
      </c>
      <c r="B87" s="28" t="inlineStr">
        <is>
          <t>2. This Week (Last 7 Days)</t>
        </is>
      </c>
      <c r="C87" s="17" t="inlineStr">
        <is>
          <t>Webhook API</t>
        </is>
      </c>
      <c r="D87" s="17" t="inlineStr">
        <is>
          <t>Hetal Sapan Oza (9909929003)</t>
        </is>
      </c>
      <c r="E87" s="17" t="inlineStr">
        <is>
          <t>Zeel Mudaliyar</t>
        </is>
      </c>
      <c r="F87" s="17" t="inlineStr">
        <is>
          <t>New</t>
        </is>
      </c>
      <c r="G87" s="17" t="inlineStr">
        <is>
          <t>Not Assigned</t>
        </is>
      </c>
      <c r="H87" s="17" t="inlineStr">
        <is>
          <t>N/A (Not Assigned)</t>
        </is>
      </c>
      <c r="I87" s="17" t="inlineStr">
        <is>
          <t>20k bgt vejalpur redio mirchi aspas joiye che family che (looaction mismatch lost ) | options not available</t>
        </is>
      </c>
    </row>
    <row r="88" ht="20" customHeight="1">
      <c r="A88" s="57" t="n">
        <v>46289.51979096065</v>
      </c>
      <c r="B88" s="29" t="inlineStr">
        <is>
          <t>2. This Week (Last 7 Days)</t>
        </is>
      </c>
      <c r="C88" s="14" t="inlineStr">
        <is>
          <t>Housing.com (Nava Vadaj)</t>
        </is>
      </c>
      <c r="D88" s="14" t="inlineStr">
        <is>
          <t>Apurv Thakkar (7862855133)</t>
        </is>
      </c>
      <c r="E88" s="14" t="inlineStr">
        <is>
          <t>Zeel Mudaliyar</t>
        </is>
      </c>
      <c r="F88" s="14" t="inlineStr">
        <is>
          <t>Rejected (Not_Interested)</t>
        </is>
      </c>
      <c r="G88" s="14" t="inlineStr">
        <is>
          <t>Not Assigned</t>
        </is>
      </c>
      <c r="H88" s="14" t="inlineStr">
        <is>
          <t>N/A (Not Assigned)</t>
        </is>
      </c>
      <c r="I88" s="14" t="inlineStr">
        <is>
          <t>Property type and budget mismatch | Rejection: NOT_INTERESTED</t>
        </is>
      </c>
    </row>
    <row r="89" ht="20" customHeight="1">
      <c r="A89" s="58" t="n">
        <v>46289.4574596875</v>
      </c>
      <c r="B89" s="28" t="inlineStr">
        <is>
          <t>2. This Week (Last 7 Days)</t>
        </is>
      </c>
      <c r="C89" s="17" t="inlineStr">
        <is>
          <t>Housing.com (NB Pearl Heights)</t>
        </is>
      </c>
      <c r="D89" s="17" t="inlineStr">
        <is>
          <t>Seema Thakkar (8849814653)</t>
        </is>
      </c>
      <c r="E89" s="17" t="inlineStr">
        <is>
          <t>Zeel Mudaliyar</t>
        </is>
      </c>
      <c r="F89" s="17" t="inlineStr">
        <is>
          <t>Rejected (Not_Interested)</t>
        </is>
      </c>
      <c r="G89" s="17" t="inlineStr">
        <is>
          <t>Not Assigned</t>
        </is>
      </c>
      <c r="H89" s="17" t="inlineStr">
        <is>
          <t>N/A (Not Assigned)</t>
        </is>
      </c>
      <c r="I89" s="17" t="inlineStr">
        <is>
          <t>Budget is 16K | Rejection: NOT_INTERESTED</t>
        </is>
      </c>
    </row>
    <row r="90" ht="20" customHeight="1">
      <c r="A90" s="57" t="n">
        <v>46288.99350891203</v>
      </c>
      <c r="B90" s="29" t="inlineStr">
        <is>
          <t>2. This Week (Last 7 Days)</t>
        </is>
      </c>
      <c r="C90" s="14" t="inlineStr">
        <is>
          <t>Housing.com (Satellite)</t>
        </is>
      </c>
      <c r="D90" s="14" t="inlineStr">
        <is>
          <t>Helly Rajyaguru (9727944243)</t>
        </is>
      </c>
      <c r="E90" s="14" t="inlineStr">
        <is>
          <t>Zeel Mudaliyar</t>
        </is>
      </c>
      <c r="F90" s="14" t="inlineStr">
        <is>
          <t>New</t>
        </is>
      </c>
      <c r="G90" s="14" t="inlineStr">
        <is>
          <t>Not Assigned</t>
        </is>
      </c>
      <c r="H90" s="14" t="inlineStr">
        <is>
          <t>N/A (Not Assigned)</t>
        </is>
      </c>
      <c r="I90" s="14" t="inlineStr">
        <is>
          <t>-</t>
        </is>
      </c>
    </row>
    <row r="91" ht="20" customHeight="1">
      <c r="A91" s="58" t="n">
        <v>46288.78404106481</v>
      </c>
      <c r="B91" s="28" t="inlineStr">
        <is>
          <t>2. This Week (Last 7 Days)</t>
        </is>
      </c>
      <c r="C91" s="17" t="inlineStr">
        <is>
          <t>Housing.com (Nava Vadaj)</t>
        </is>
      </c>
      <c r="D91" s="17" t="inlineStr">
        <is>
          <t>Goti (9624306555)</t>
        </is>
      </c>
      <c r="E91" s="17" t="inlineStr">
        <is>
          <t>Zeel Mudaliyar</t>
        </is>
      </c>
      <c r="F91" s="17" t="inlineStr">
        <is>
          <t>Rejected (Not_Interested)</t>
        </is>
      </c>
      <c r="G91" s="17" t="inlineStr">
        <is>
          <t>Not Assigned</t>
        </is>
      </c>
      <c r="H91" s="17" t="inlineStr">
        <is>
          <t>N/A (Not Assigned)</t>
        </is>
      </c>
      <c r="I91" s="17" t="inlineStr">
        <is>
          <t>Do not wants a rental property anymore | Rejection: NOT_INTERESTED</t>
        </is>
      </c>
    </row>
    <row r="92" ht="20" customHeight="1">
      <c r="A92" s="57" t="n">
        <v>46288.71966027778</v>
      </c>
      <c r="B92" s="29" t="inlineStr">
        <is>
          <t>2. This Week (Last 7 Days)</t>
        </is>
      </c>
      <c r="C92" s="14" t="inlineStr">
        <is>
          <t>Meta Ads (Science City)</t>
        </is>
      </c>
      <c r="D92" s="14" t="inlineStr">
        <is>
          <t>Heet Shah (8320403129)</t>
        </is>
      </c>
      <c r="E92" s="14" t="inlineStr">
        <is>
          <t>Prexa Vithalapara</t>
        </is>
      </c>
      <c r="F92" s="14" t="inlineStr">
        <is>
          <t>Sales</t>
        </is>
      </c>
      <c r="G92" s="14" t="inlineStr">
        <is>
          <t>Viral Jadeja</t>
        </is>
      </c>
      <c r="H92" s="14" t="inlineStr">
        <is>
          <t>Assigned</t>
        </is>
      </c>
      <c r="I92" s="14" t="inlineStr">
        <is>
          <t>scince city near zydus , 25-30k budget, office, furnished | Transfer: scince city near zydus , 25-30k budget, office, furnished | Transfer Note: scince city near zydus , 25-30k budget, office, furnished | CRM: [Telecaller Key Points]: scince city near zydus , 25-30k budget, office, furnished | [Telecaller Key Points]: scince city near zydus , 25-30k budget, office, furnished</t>
        </is>
      </c>
    </row>
    <row r="93" ht="20" customHeight="1">
      <c r="A93" s="58" t="n">
        <v>46288.6892734838</v>
      </c>
      <c r="B93" s="28" t="inlineStr">
        <is>
          <t>2. This Week (Last 7 Days)</t>
        </is>
      </c>
      <c r="C93" s="17" t="inlineStr">
        <is>
          <t>Meta Ads (Memnagar)</t>
        </is>
      </c>
      <c r="D93" s="17" t="inlineStr">
        <is>
          <t>Ramesh Parmar (8302484799)</t>
        </is>
      </c>
      <c r="E93" s="17" t="inlineStr">
        <is>
          <t>Prexa Vithalapara</t>
        </is>
      </c>
      <c r="F93" s="17" t="inlineStr">
        <is>
          <t>Sales</t>
        </is>
      </c>
      <c r="G93" s="17" t="inlineStr">
        <is>
          <t>Viral Jadeja</t>
        </is>
      </c>
      <c r="H93" s="17" t="inlineStr">
        <is>
          <t>Assigned</t>
        </is>
      </c>
      <c r="I93" s="17" t="inlineStr">
        <is>
          <t>12000 commercial shop narnpura, memnagar | Transfer: 12000 commercial shop narnpura, memnagar | Transfer Note: 12000 commercial shop narnpura, memnagar | CRM: [Telecaller Key Points]: 12000 commercial shop narnpura, memnagar | [Telecaller Key Points]: 12000 commercial shop narnpura, memnagar</t>
        </is>
      </c>
    </row>
    <row r="94" ht="20" customHeight="1">
      <c r="A94" s="57" t="n">
        <v>46288.68400543981</v>
      </c>
      <c r="B94" s="29" t="inlineStr">
        <is>
          <t>2. This Week (Last 7 Days)</t>
        </is>
      </c>
      <c r="C94" s="14" t="inlineStr">
        <is>
          <t>Meta Ads (NB PropertyTech Survey Ad 3108)</t>
        </is>
      </c>
      <c r="D94" s="14" t="inlineStr">
        <is>
          <t>Raghvendra Jagwani (7014028389)</t>
        </is>
      </c>
      <c r="E94" s="14" t="inlineStr">
        <is>
          <t>Unassigned</t>
        </is>
      </c>
      <c r="F94" s="14" t="inlineStr">
        <is>
          <t>Interested</t>
        </is>
      </c>
      <c r="G94" s="14" t="inlineStr">
        <is>
          <t>Rajan Purani</t>
        </is>
      </c>
      <c r="H94" s="14" t="inlineStr">
        <is>
          <t>Follow-Up</t>
        </is>
      </c>
      <c r="I94" s="14" t="inlineStr">
        <is>
          <t>[Telecaller Key Points]: driving road memnagar, 24k budget, 2bhk, semi furnished, family | Transfer: driving road memnagar, 24k budget, 2bhk, semi furnished, family | Transfer Note: driving road memnagar, 24k budget, 2bhk, semi furnished, family | Followup: goyal intercity ma 5th up flat joye che 25k ma any options available share nd visit update | CRM: [Telecaller Key Points]: driving road memnagar, 24k budget, 2bhk, semi furnished, family | CRM Followup: goyal intercity ma 5th up flat joye che 25k ma any options available share nd visit update | driving road memnagar, 24k budget, 2bhk, semi furnished, family
[24 Sep '26, 2:46 PM] Goyal intercity ma 5th up flat joye che</t>
        </is>
      </c>
    </row>
    <row r="95" ht="20" customHeight="1">
      <c r="A95" s="58" t="n">
        <v>46288.58345190972</v>
      </c>
      <c r="B95" s="28" t="inlineStr">
        <is>
          <t>2. This Week (Last 7 Days)</t>
        </is>
      </c>
      <c r="C95" s="17" t="inlineStr">
        <is>
          <t>Housing.com (Nava Vadaj)</t>
        </is>
      </c>
      <c r="D95" s="17" t="inlineStr">
        <is>
          <t>M Suthar M Suthar (8160817115)</t>
        </is>
      </c>
      <c r="E95" s="17" t="inlineStr">
        <is>
          <t>Zeel Mudaliyar</t>
        </is>
      </c>
      <c r="F95" s="17" t="inlineStr">
        <is>
          <t>Rejected (Not_Interested)</t>
        </is>
      </c>
      <c r="G95" s="17" t="inlineStr">
        <is>
          <t>Not Assigned</t>
        </is>
      </c>
      <c r="H95" s="17" t="inlineStr">
        <is>
          <t>N/A (Not Assigned)</t>
        </is>
      </c>
      <c r="I95" s="17" t="inlineStr">
        <is>
          <t>--- | Rejection: NOT_INTERESTED | Transfer Note: Marked as CNR</t>
        </is>
      </c>
    </row>
    <row r="96" ht="20" customHeight="1">
      <c r="A96" s="57" t="n">
        <v>46288.51396083333</v>
      </c>
      <c r="B96" s="29" t="inlineStr">
        <is>
          <t>2. This Week (Last 7 Days)</t>
        </is>
      </c>
      <c r="C96" s="14" t="inlineStr">
        <is>
          <t>Meta Ads (NB PropertyTech Survey Ad 3108)</t>
        </is>
      </c>
      <c r="D96" s="14" t="inlineStr">
        <is>
          <t>Meghna (8690358471)</t>
        </is>
      </c>
      <c r="E96" s="14" t="inlineStr">
        <is>
          <t>Unassigned</t>
        </is>
      </c>
      <c r="F96" s="14" t="inlineStr">
        <is>
          <t>Rejected / Lost</t>
        </is>
      </c>
      <c r="G96" s="14" t="inlineStr">
        <is>
          <t>Rakesh Jadav</t>
        </is>
      </c>
      <c r="H96" s="14" t="inlineStr">
        <is>
          <t>Rejected (Budget Mismatch)</t>
        </is>
      </c>
      <c r="I96" s="14" t="inlineStr">
        <is>
          <t>[Telecaller Key Points]: sivarnji-science city, 3bhk, 24k budet, family, semi furnished, parking | Transfer: sivarnji-science city, 3bhk, 24k budet, family, semi furnished, parking | Transfer Note: sivarnji-science city, 3bhk, 24k budet, family, semi furnished, parking | Followup: scince city ma opttion work out krva | CRM: [Telecaller Key Points]: sivarnji-science city, 3bhk, 24k budet, family, semi furnished, parking | CRM Followup: scince city ma opttion work out krva | sivarnji-science city, 3bhk, 24k budet, family, semi furnished, parking</t>
        </is>
      </c>
    </row>
    <row r="97" ht="20" customHeight="1">
      <c r="A97" s="58" t="n">
        <v>46288.51127267361</v>
      </c>
      <c r="B97" s="28" t="inlineStr">
        <is>
          <t>2. This Week (Last 7 Days)</t>
        </is>
      </c>
      <c r="C97" s="17" t="inlineStr">
        <is>
          <t>Meta Ads (NB PropertyTech Survey Ad 3108)</t>
        </is>
      </c>
      <c r="D97" s="17" t="inlineStr">
        <is>
          <t>Er. Kishan Kachhadiya (9664927209)</t>
        </is>
      </c>
      <c r="E97" s="17" t="inlineStr">
        <is>
          <t>Zeel Mudaliyar</t>
        </is>
      </c>
      <c r="F97" s="17" t="inlineStr">
        <is>
          <t>Site Visit Scheduled</t>
        </is>
      </c>
      <c r="G97" s="17" t="inlineStr">
        <is>
          <t>Rakesh Jadav</t>
        </is>
      </c>
      <c r="H97" s="17" t="inlineStr">
        <is>
          <t>Re-Followup</t>
        </is>
      </c>
      <c r="I97" s="17" t="inlineStr">
        <is>
          <t>Taltej, 2bhk, 19k budget, family, semi furnished | Transfer: Taltej, 2bhk, 19k budget, family, semi furnished | Transfer Note: Taltej, 2bhk, 19k budget, family, semi furnished | Followup: amne november thi joiye cche | CRM: [Telecaller Key Points]: Taltej, 2bhk, 19k budget, family, semi furnished | CRM Followup: amne november thi joiye cche | [Telecaller Key Points]: Taltej, 2bhk, 19k budget, family, semi furnished</t>
        </is>
      </c>
    </row>
    <row r="98" ht="20" customHeight="1">
      <c r="A98" s="57" t="n">
        <v>46288.51053952546</v>
      </c>
      <c r="B98" s="29" t="inlineStr">
        <is>
          <t>2. This Week (Last 7 Days)</t>
        </is>
      </c>
      <c r="C98" s="14" t="inlineStr">
        <is>
          <t>Housing.com (Memnagar)</t>
        </is>
      </c>
      <c r="D98" s="14" t="inlineStr">
        <is>
          <t>Ramesh Parmar (8302484799)</t>
        </is>
      </c>
      <c r="E98" s="14" t="inlineStr">
        <is>
          <t>Prexa Vithalapara</t>
        </is>
      </c>
      <c r="F98" s="14" t="inlineStr">
        <is>
          <t>Sales</t>
        </is>
      </c>
      <c r="G98" s="14" t="inlineStr">
        <is>
          <t>Viral Jadeja</t>
        </is>
      </c>
      <c r="H98" s="14" t="inlineStr">
        <is>
          <t>Assigned</t>
        </is>
      </c>
      <c r="I98" s="14" t="inlineStr">
        <is>
          <t>12000 commercial shop narnpura, memnagar | Transfer: 12000 commercial shop narnpura, memnagar | Transfer Note: 12000 commercial shop narnpura, memnagar | [Telecaller Key Points]: 12000 commercial shop narnpura, memnagar</t>
        </is>
      </c>
    </row>
    <row r="99" ht="20" customHeight="1">
      <c r="A99" s="58" t="n">
        <v>46288.50844207176</v>
      </c>
      <c r="B99" s="28" t="inlineStr">
        <is>
          <t>2. This Week (Last 7 Days)</t>
        </is>
      </c>
      <c r="C99" s="17" t="inlineStr">
        <is>
          <t>Meta Ads (NB PropertyTech Survey Ad 3108)</t>
        </is>
      </c>
      <c r="D99" s="17" t="inlineStr">
        <is>
          <t>Jayesh Raval (9427209390)</t>
        </is>
      </c>
      <c r="E99" s="17" t="inlineStr">
        <is>
          <t>Zeel Mudaliyar</t>
        </is>
      </c>
      <c r="F99" s="17" t="inlineStr">
        <is>
          <t>Sales</t>
        </is>
      </c>
      <c r="G99" s="17" t="inlineStr">
        <is>
          <t>Rakesh Jadav</t>
        </is>
      </c>
      <c r="H99" s="17" t="inlineStr">
        <is>
          <t>Re-Followup</t>
        </is>
      </c>
      <c r="I99" s="17" t="inlineStr">
        <is>
          <t>3/4 BHK, 50K Budget, fully furnished (good furnishing), for family, possession required from 1 Nov, can start visiting, location Shela, Bopal, South bopal | Transfer: 3/4 BHK, 50K Budget, fully furnished (good furnishing), for family, possession required from 1 Nov, can start visiting, location Shela, Bopal, South bopal | Transfer Note: 3/4 BHK, 50K Budget, fully furnished (good furnishing), for family, possession required from 1 Nov, can start visiting, location Shela, Bopal, South bopal | Followup: cnr amne november thii joiye che | CRM: [Telecaller Key Points]: 3/4 BHK, 50K Budget, fully furnished (good furnishing), for family, possession required from 1 Nov, can start visiting, location Shela, Bopal, South bopal | CRM Followup: cnr amne november thii joiye che | [Telecaller Key Points]: 3/4 BHK, 50K Budget, fully furnished (good furnishing), for family, possession required from 1 Nov, can start visiting, location Shela, Bopal, South bopal</t>
        </is>
      </c>
    </row>
    <row r="100" ht="20" customHeight="1">
      <c r="A100" s="57" t="n">
        <v>46288.47176429398</v>
      </c>
      <c r="B100" s="29" t="inlineStr">
        <is>
          <t>2. This Week (Last 7 Days)</t>
        </is>
      </c>
      <c r="C100" s="14" t="inlineStr">
        <is>
          <t>Meta Ads (NB PropertyTech Survey Ad 3108)</t>
        </is>
      </c>
      <c r="D100" s="14" t="inlineStr">
        <is>
          <t>Raghvendra Jagwani (7014028389)</t>
        </is>
      </c>
      <c r="E100" s="14" t="inlineStr">
        <is>
          <t>Unassigned</t>
        </is>
      </c>
      <c r="F100" s="14" t="inlineStr">
        <is>
          <t>Sales</t>
        </is>
      </c>
      <c r="G100" s="14" t="inlineStr">
        <is>
          <t>Rajan Purani</t>
        </is>
      </c>
      <c r="H100" s="14" t="inlineStr">
        <is>
          <t>Follow-Up</t>
        </is>
      </c>
      <c r="I100" s="14" t="inlineStr">
        <is>
          <t>driving road memnagar, 24k budget, 2bhk, semi furnished, family | Transfer: driving road memnagar, 24k budget, 2bhk, semi furnished, family | Transfer Note: driving road memnagar, 24k budget, 2bhk, semi furnished, family | [Telecaller Key Points]: driving road memnagar, 24k budget, 2bhk, semi furnished, family</t>
        </is>
      </c>
    </row>
    <row r="101" ht="20" customHeight="1">
      <c r="A101" s="58" t="n">
        <v>46288.47176273148</v>
      </c>
      <c r="B101" s="28" t="inlineStr">
        <is>
          <t>2. This Week (Last 7 Days)</t>
        </is>
      </c>
      <c r="C101" s="17" t="inlineStr">
        <is>
          <t>Meta Ads (NB PropertyTech Survey Ad 3108)</t>
        </is>
      </c>
      <c r="D101" s="17" t="inlineStr">
        <is>
          <t>_m_lioness (9904684480)</t>
        </is>
      </c>
      <c r="E101" s="17" t="inlineStr">
        <is>
          <t>Prexa Vithalapara</t>
        </is>
      </c>
      <c r="F101" s="17" t="inlineStr">
        <is>
          <t>CNR (Could Not Reach)</t>
        </is>
      </c>
      <c r="G101" s="17" t="inlineStr">
        <is>
          <t>Not Assigned</t>
        </is>
      </c>
      <c r="H101" s="17" t="inlineStr">
        <is>
          <t>N/A (Not Assigned)</t>
        </is>
      </c>
      <c r="I101" s="17" t="inlineStr">
        <is>
          <t>Transfer Note: Marked as CNR | Followup: saturday call back</t>
        </is>
      </c>
    </row>
    <row r="102" ht="20" customHeight="1">
      <c r="A102" s="57" t="n">
        <v>46288.47176094908</v>
      </c>
      <c r="B102" s="29" t="inlineStr">
        <is>
          <t>2. This Week (Last 7 Days)</t>
        </is>
      </c>
      <c r="C102" s="14" t="inlineStr">
        <is>
          <t>Meta Ads (NB PropertyTech Survey Ad 3108)</t>
        </is>
      </c>
      <c r="D102" s="14" t="inlineStr">
        <is>
          <t>Krupa Shah (9824453252)</t>
        </is>
      </c>
      <c r="E102" s="14" t="inlineStr">
        <is>
          <t>Prexa Vithalapara</t>
        </is>
      </c>
      <c r="F102" s="14" t="inlineStr">
        <is>
          <t>Sales</t>
        </is>
      </c>
      <c r="G102" s="14" t="inlineStr">
        <is>
          <t>Rajan Purani</t>
        </is>
      </c>
      <c r="H102" s="14" t="inlineStr">
        <is>
          <t>Re-Followup</t>
        </is>
      </c>
      <c r="I102" s="14" t="inlineStr">
        <is>
          <t>[Telecaller Key Points]: vstrapur, 2-3bhk, 33k budget, semi furnished, family | Transfer: vstrapur, 2-3bhk, 33k budget, semi furnished, family | Transfer Note: vstrapur, 2-3bhk, 33k budget, semi furnished, family | Followup: re send details call for visit | CRM: [Telecaller Key Points]: vstrapur, 2-3bhk, 33k budget, semi furnished, family | CRM Followup: re send details call for visit | vstrapur, 2-3bhk, 33k budget, semi furnished, family
[25 Sep '26, 11:22 AM] 30k ma neharupark vastrapur nr ma j joye che selected soc. ma j joye che</t>
        </is>
      </c>
    </row>
    <row r="103" ht="20" customHeight="1">
      <c r="A103" s="58" t="n">
        <v>46288.47175743055</v>
      </c>
      <c r="B103" s="28" t="inlineStr">
        <is>
          <t>2. This Week (Last 7 Days)</t>
        </is>
      </c>
      <c r="C103" s="17" t="inlineStr">
        <is>
          <t>Meta Ads (NB PropertyTech Survey Ad 3108)</t>
        </is>
      </c>
      <c r="D103" s="17" t="inlineStr">
        <is>
          <t>Kashyap (8320331736)</t>
        </is>
      </c>
      <c r="E103" s="17" t="inlineStr">
        <is>
          <t>Zeel Mudaliyar</t>
        </is>
      </c>
      <c r="F103" s="17" t="inlineStr">
        <is>
          <t>CNR (Could Not Reach)</t>
        </is>
      </c>
      <c r="G103" s="17" t="inlineStr">
        <is>
          <t>Not Assigned</t>
        </is>
      </c>
      <c r="H103" s="17" t="inlineStr">
        <is>
          <t>N/A (Not Assigned)</t>
        </is>
      </c>
      <c r="I103" s="17" t="inlineStr">
        <is>
          <t>-</t>
        </is>
      </c>
    </row>
    <row r="104" ht="20" customHeight="1">
      <c r="A104" s="57" t="n">
        <v>46288.47175594907</v>
      </c>
      <c r="B104" s="29" t="inlineStr">
        <is>
          <t>2. This Week (Last 7 Days)</t>
        </is>
      </c>
      <c r="C104" s="14" t="inlineStr">
        <is>
          <t>Meta Ads (NB PropertyTech Survey Ad 3108)</t>
        </is>
      </c>
      <c r="D104" s="14" t="inlineStr">
        <is>
          <t>Meghna (8690358471)</t>
        </is>
      </c>
      <c r="E104" s="14" t="inlineStr">
        <is>
          <t>Unassigned</t>
        </is>
      </c>
      <c r="F104" s="14" t="inlineStr">
        <is>
          <t>Sales</t>
        </is>
      </c>
      <c r="G104" s="14" t="inlineStr">
        <is>
          <t>Rakesh Jadav</t>
        </is>
      </c>
      <c r="H104" s="14" t="inlineStr">
        <is>
          <t>Rejected (Budget Mismatch)</t>
        </is>
      </c>
      <c r="I104" s="14" t="inlineStr">
        <is>
          <t>sivarnji-science city, 3bhk, 24k budet, family, semi furnished, parking | Transfer: sivarnji-science city, 3bhk, 24k budet, family, semi furnished, parking | Transfer Note: sivarnji-science city, 3bhk, 24k budet, family, semi furnished, parking | [Telecaller Key Points]: sivarnji-science city, 3bhk, 24k budet, family, semi furnished, parking</t>
        </is>
      </c>
    </row>
    <row r="105" ht="20" customHeight="1">
      <c r="A105" s="58" t="n">
        <v>46288.47175454861</v>
      </c>
      <c r="B105" s="28" t="inlineStr">
        <is>
          <t>2. This Week (Last 7 Days)</t>
        </is>
      </c>
      <c r="C105" s="17" t="inlineStr">
        <is>
          <t>Meta Ads (NB PropertyTech Survey Ad 3108)</t>
        </is>
      </c>
      <c r="D105" s="17" t="inlineStr">
        <is>
          <t>Er. Kishan Kachhadiya (9664927209)</t>
        </is>
      </c>
      <c r="E105" s="17" t="inlineStr">
        <is>
          <t>Zeel Mudaliyar</t>
        </is>
      </c>
      <c r="F105" s="17" t="inlineStr">
        <is>
          <t>Sales</t>
        </is>
      </c>
      <c r="G105" s="17" t="inlineStr">
        <is>
          <t>Rakesh Jadav</t>
        </is>
      </c>
      <c r="H105" s="17" t="inlineStr">
        <is>
          <t>Re-Followup</t>
        </is>
      </c>
      <c r="I105" s="17" t="inlineStr">
        <is>
          <t>Taltej, 2bhk, 19k budget, family, semi furnished | Transfer: Taltej, 2bhk, 19k budget, family, semi furnished | Transfer Note: Taltej, 2bhk, 19k budget, family, semi furnished | [Telecaller Key Points]: Taltej, 2bhk, 19k budget, family, semi furnished</t>
        </is>
      </c>
    </row>
    <row r="106" ht="20" customHeight="1">
      <c r="A106" s="57" t="n">
        <v>46288.47175309028</v>
      </c>
      <c r="B106" s="29" t="inlineStr">
        <is>
          <t>2. This Week (Last 7 Days)</t>
        </is>
      </c>
      <c r="C106" s="14" t="inlineStr">
        <is>
          <t>Meta Ads (NB PropertyTech Survey Ad 3108)</t>
        </is>
      </c>
      <c r="D106" s="14" t="inlineStr">
        <is>
          <t>Jayesh Raval (9427209390)</t>
        </is>
      </c>
      <c r="E106" s="14" t="inlineStr">
        <is>
          <t>Zeel Mudaliyar</t>
        </is>
      </c>
      <c r="F106" s="14" t="inlineStr">
        <is>
          <t>Sales</t>
        </is>
      </c>
      <c r="G106" s="14" t="inlineStr">
        <is>
          <t>Rakesh Jadav</t>
        </is>
      </c>
      <c r="H106" s="14" t="inlineStr">
        <is>
          <t>Re-Followup</t>
        </is>
      </c>
      <c r="I106" s="14" t="inlineStr">
        <is>
          <t>3/4 BHK, 50K Budget, fully furnished (good furnishing), for family, possession required from 1 Nov, can start visiting, location Shela, Bopal, South bopal | Transfer: 3/4 BHK, 50K Budget, fully furnished (good furnishing), for family, possession required from 1 Nov, can start visiting, location Shela, Bopal, South bopal | Transfer Note: 3/4 BHK, 50K Budget, fully furnished (good furnishing), for family, possession required from 1 Nov, can start visiting, location Shela, Bopal, South bopal | [Telecaller Key Points]: 3/4 BHK, 50K Budget, fully furnished (good furnishing), for family, possession required from 1 Nov, can start visiting, location Shela, Bopal, South bopal</t>
        </is>
      </c>
    </row>
    <row r="107" ht="20" customHeight="1">
      <c r="A107" s="58" t="n">
        <v>46288.47175133102</v>
      </c>
      <c r="B107" s="28" t="inlineStr">
        <is>
          <t>2. This Week (Last 7 Days)</t>
        </is>
      </c>
      <c r="C107" s="17" t="inlineStr">
        <is>
          <t>Meta Ads (NB PropertyTech Survey Ad 3108)</t>
        </is>
      </c>
      <c r="D107" s="17" t="inlineStr">
        <is>
          <t>Anil Kumar Thakar (9825521655)</t>
        </is>
      </c>
      <c r="E107" s="17" t="inlineStr">
        <is>
          <t>Zeel Mudaliyar</t>
        </is>
      </c>
      <c r="F107" s="17" t="inlineStr">
        <is>
          <t>Rejected (Not_Interested)</t>
        </is>
      </c>
      <c r="G107" s="17" t="inlineStr">
        <is>
          <t>Not Assigned</t>
        </is>
      </c>
      <c r="H107" s="17" t="inlineStr">
        <is>
          <t>N/A (Not Assigned)</t>
        </is>
      </c>
      <c r="I107" s="17" t="inlineStr">
        <is>
          <t>Required 1 BHK | Rejection: NOT_INTERESTED | Followup: CNR</t>
        </is>
      </c>
    </row>
    <row r="108" ht="20" customHeight="1">
      <c r="A108" s="57" t="n">
        <v>46288.46183322916</v>
      </c>
      <c r="B108" s="29" t="inlineStr">
        <is>
          <t>2. This Week (Last 7 Days)</t>
        </is>
      </c>
      <c r="C108" s="14" t="inlineStr">
        <is>
          <t>Meta Ads (Nava Vadaj)</t>
        </is>
      </c>
      <c r="D108" s="14" t="inlineStr">
        <is>
          <t>Ruby Chemical (9558227829)</t>
        </is>
      </c>
      <c r="E108" s="14" t="inlineStr">
        <is>
          <t>Zeel Mudaliyar</t>
        </is>
      </c>
      <c r="F108" s="14" t="inlineStr">
        <is>
          <t>Sales</t>
        </is>
      </c>
      <c r="G108" s="14" t="inlineStr">
        <is>
          <t>Rakesh Jadav</t>
        </is>
      </c>
      <c r="H108" s="14" t="inlineStr">
        <is>
          <t>Rejected (Others)</t>
        </is>
      </c>
      <c r="I108" s="14" t="inlineStr">
        <is>
          <t>Vadaj, 2bhk, semi furnished, 20k budget, bechlor | Transfer: Vadaj, 2bhk, semi furnished, 20k budget, bechlor | Transfer Note: Vadaj, 2bhk, semi furnished, 20k budget, bechlor | CRM: [Telecaller Key Points]: Vadaj, 2bhk, semi furnished, 20k budget, bechlor | [Telecaller Key Points]: Vadaj, 2bhk, semi furnished, 20k budget, bechlor</t>
        </is>
      </c>
    </row>
    <row r="109" ht="20" customHeight="1">
      <c r="A109" s="58" t="n">
        <v>46288.44803481481</v>
      </c>
      <c r="B109" s="28" t="inlineStr">
        <is>
          <t>2. This Week (Last 7 Days)</t>
        </is>
      </c>
      <c r="C109" s="17" t="inlineStr">
        <is>
          <t>Housing.com (Nava Vadaj)</t>
        </is>
      </c>
      <c r="D109" s="17" t="inlineStr">
        <is>
          <t>Ruby Chemical (9558227829)</t>
        </is>
      </c>
      <c r="E109" s="17" t="inlineStr">
        <is>
          <t>Zeel Mudaliyar</t>
        </is>
      </c>
      <c r="F109" s="17" t="inlineStr">
        <is>
          <t>Sales</t>
        </is>
      </c>
      <c r="G109" s="17" t="inlineStr">
        <is>
          <t>Rakesh Jadav</t>
        </is>
      </c>
      <c r="H109" s="17" t="inlineStr">
        <is>
          <t>Rejected (Others)</t>
        </is>
      </c>
      <c r="I109" s="17" t="inlineStr">
        <is>
          <t>Vadaj, 2bhk, semi furnished, 20k budget, bechlor | Transfer: Vadaj, 2bhk, semi furnished, 20k budget, bechlor | Transfer Note: Vadaj, 2bhk, semi furnished, 20k budget, bechlor | [Telecaller Key Points]: Vadaj, 2bhk, semi furnished, 20k budget, bechlor</t>
        </is>
      </c>
    </row>
    <row r="110" ht="20" customHeight="1">
      <c r="A110" s="57" t="n">
        <v>46287.98969924769</v>
      </c>
      <c r="B110" s="29" t="inlineStr">
        <is>
          <t>2. This Week (Last 7 Days)</t>
        </is>
      </c>
      <c r="C110" s="14" t="inlineStr">
        <is>
          <t>Housing.com (South Bopal)</t>
        </is>
      </c>
      <c r="D110" s="14" t="inlineStr">
        <is>
          <t>Mohd Kausar (8470840834)</t>
        </is>
      </c>
      <c r="E110" s="14" t="inlineStr">
        <is>
          <t>Zeel Mudaliyar</t>
        </is>
      </c>
      <c r="F110" s="14" t="inlineStr">
        <is>
          <t>Rejected / Lost</t>
        </is>
      </c>
      <c r="G110" s="14" t="inlineStr">
        <is>
          <t>Not Assigned</t>
        </is>
      </c>
      <c r="H110" s="14" t="inlineStr">
        <is>
          <t>N/A (Not Assigned)</t>
        </is>
      </c>
      <c r="I110" s="14" t="inlineStr">
        <is>
          <t>-</t>
        </is>
      </c>
    </row>
    <row r="111" ht="20" customHeight="1">
      <c r="A111" s="58" t="n">
        <v>46287.71040039352</v>
      </c>
      <c r="B111" s="28" t="inlineStr">
        <is>
          <t>2. This Week (Last 7 Days)</t>
        </is>
      </c>
      <c r="C111" s="17" t="inlineStr">
        <is>
          <t>Meta Ads (South Bopal)</t>
        </is>
      </c>
      <c r="D111" s="17" t="inlineStr">
        <is>
          <t>Gaurav (8780028636)</t>
        </is>
      </c>
      <c r="E111" s="17" t="inlineStr">
        <is>
          <t>Zeel Mudaliyar</t>
        </is>
      </c>
      <c r="F111" s="17" t="inlineStr">
        <is>
          <t>Sales</t>
        </is>
      </c>
      <c r="G111" s="17" t="inlineStr">
        <is>
          <t>Viral Jadeja</t>
        </is>
      </c>
      <c r="H111" s="17" t="inlineStr">
        <is>
          <t>Assigned</t>
        </is>
      </c>
      <c r="I111" s="17" t="inlineStr">
        <is>
          <t>Locations- Bopal, Paldi or Satellite (nearby), 10/10 sq ft, Rent budget 25 K (negotiable), wants ready to move | Transfer: Locations- Bopal, Paldi or Satellite (nearby), 10/10 sq ft, Rent budget 25 K (negotiable), wants ready to move | Transfer Note: Locations- Bopal, Paldi or Satellite (nearby), 10/10 sq ft, Rent budget 25 K (negotiable), wants ready to move | CRM: [Telecaller Key Points]: Locations- Bopal, Paldi or Satellite (nearby), 10/10 sq ft, Rent budget 25 K (negotiable), wants ready to move | [Telecaller Key Points]: Locations- Bopal, Paldi or Satellite (nearby), 10/10 sq ft, Rent budget 25 K (negotiable), wants ready to move</t>
        </is>
      </c>
    </row>
    <row r="112" ht="20" customHeight="1">
      <c r="A112" s="57" t="n">
        <v>46287.70236240741</v>
      </c>
      <c r="B112" s="29" t="inlineStr">
        <is>
          <t>2. This Week (Last 7 Days)</t>
        </is>
      </c>
      <c r="C112" s="14" t="inlineStr">
        <is>
          <t>Meta Ads (Gota)</t>
        </is>
      </c>
      <c r="D112" s="14" t="inlineStr">
        <is>
          <t>Rekha (9274849877)</t>
        </is>
      </c>
      <c r="E112" s="14" t="inlineStr">
        <is>
          <t>Zeel Mudaliyar</t>
        </is>
      </c>
      <c r="F112" s="14" t="inlineStr">
        <is>
          <t>Sales</t>
        </is>
      </c>
      <c r="G112" s="14" t="inlineStr">
        <is>
          <t>Somel Rathod</t>
        </is>
      </c>
      <c r="H112" s="14" t="inlineStr">
        <is>
          <t>Rejected (Budget Mismatch)</t>
        </is>
      </c>
      <c r="I112" s="14" t="inlineStr">
        <is>
          <t>2 BHK, Tenament (most preffered)/ apartment, location Gota, Vaishnodevi or other 18K, for famil, possession asap | Transfer: 2 BHK, Tenament (most preffered)/ apartment, location Gota, Vaishnodevi or other 18K, for famil, possession asap | Transfer Note: 2 BHK, Tenament (most preffered)/ apartment, location Gota, Vaishnodevi or other 18K, for famil, possession asap | CRM: [Telecaller Key Points]: 2 BHK, Tenament (most preffered)/ apartment, location Gota, Vaishnodevi or other 18K, for famil, possession asap | [Telecaller Key Points]: 2 BHK, Tenament (most preffered)/ apartment, location Gota, Vaishnodevi or other 18K, for famil, possession asap</t>
        </is>
      </c>
    </row>
    <row r="113" ht="20" customHeight="1">
      <c r="A113" s="58" t="n">
        <v>46287.69490586805</v>
      </c>
      <c r="B113" s="28" t="inlineStr">
        <is>
          <t>2. This Week (Last 7 Days)</t>
        </is>
      </c>
      <c r="C113" s="17" t="inlineStr">
        <is>
          <t>Meta Ads (Memnagar)</t>
        </is>
      </c>
      <c r="D113" s="17" t="inlineStr">
        <is>
          <t>Vikas Jadav (9558373115)</t>
        </is>
      </c>
      <c r="E113" s="17" t="inlineStr">
        <is>
          <t>Prexa Vithalapara</t>
        </is>
      </c>
      <c r="F113" s="17" t="inlineStr">
        <is>
          <t>Sales</t>
        </is>
      </c>
      <c r="G113" s="17" t="inlineStr">
        <is>
          <t>Viral Jadeja</t>
        </is>
      </c>
      <c r="H113" s="17" t="inlineStr">
        <is>
          <t>Assigned</t>
        </is>
      </c>
      <c r="I113" s="17" t="inlineStr">
        <is>
          <t>Commercial property, area required 180-200 sq ft, possession within 1 week, Location - any location will work, Rent budget minimum 15K. | Transfer: Commercial property, area required 180-200 sq ft, possession within 1 week, Location - any location will work, Rent budget minimum 15K. | Transfer Note: Commercial property, area required 180-200 sq ft, possession within 1 week, Location - any location will work, Rent budget minimum 15K. | CRM: [Telecaller Key Points]: Commercial property, area required 180-200 sq ft, possession within 1 week, Location - any location will work, Rent budget minimum 15K. | [Telecaller Key Points]: Commercial property, area required 180-200 sq ft, possession within 1 week, Location - any location will work, Rent budget minimum 15K.</t>
        </is>
      </c>
    </row>
    <row r="114" ht="20" customHeight="1">
      <c r="A114" s="57" t="n">
        <v>46287.68761653936</v>
      </c>
      <c r="B114" s="29" t="inlineStr">
        <is>
          <t>2. This Week (Last 7 Days)</t>
        </is>
      </c>
      <c r="C114" s="14" t="inlineStr">
        <is>
          <t>Housing.com (Science City)</t>
        </is>
      </c>
      <c r="D114" s="14" t="inlineStr">
        <is>
          <t>Mehul Chauhan (9328159916)</t>
        </is>
      </c>
      <c r="E114" s="14" t="inlineStr">
        <is>
          <t>Zeel Mudaliyar</t>
        </is>
      </c>
      <c r="F114" s="14" t="inlineStr">
        <is>
          <t>Rejected / Lost</t>
        </is>
      </c>
      <c r="G114" s="14" t="inlineStr">
        <is>
          <t>Not Assigned</t>
        </is>
      </c>
      <c r="H114" s="14" t="inlineStr">
        <is>
          <t>N/A (Not Assigned)</t>
        </is>
      </c>
      <c r="I114" s="14" t="inlineStr">
        <is>
          <t>-</t>
        </is>
      </c>
    </row>
    <row r="115" ht="20" customHeight="1">
      <c r="A115" s="58" t="n">
        <v>46287.67719568287</v>
      </c>
      <c r="B115" s="28" t="inlineStr">
        <is>
          <t>2. This Week (Last 7 Days)</t>
        </is>
      </c>
      <c r="C115" s="17" t="inlineStr">
        <is>
          <t>Housing.com (Gota)</t>
        </is>
      </c>
      <c r="D115" s="17" t="inlineStr">
        <is>
          <t>Piyush Chauhan (6356327172)</t>
        </is>
      </c>
      <c r="E115" s="17" t="inlineStr">
        <is>
          <t>Prexa Vithalapara</t>
        </is>
      </c>
      <c r="F115" s="17" t="inlineStr">
        <is>
          <t>Sales</t>
        </is>
      </c>
      <c r="G115" s="17" t="inlineStr">
        <is>
          <t>Rakesh Jadav</t>
        </is>
      </c>
      <c r="H115" s="17" t="inlineStr">
        <is>
          <t>Re-Followup</t>
        </is>
      </c>
      <c r="I115" s="17" t="inlineStr">
        <is>
          <t>[Telecaller Key Points]: Bopal shela bhadaj ,2bhk, semi furnished, family, 18k budget | Transfer: Bopal ,2bhk, semi furnished, family, 18k budget | Transfer Note: Bopal ,2bhk, semi furnished, family, 18k budget | Followup: bhadaj ring road option work out kri option apva | CRM: [Telecaller Key Points]: Bopal shela bhadaj ,2bhk, semi furnished, family, 18k budget | CRM Followup: bhadaj ring road option work out kri option apva | Bopal ,2bhk, semi furnished, family, 18k budget</t>
        </is>
      </c>
    </row>
    <row r="116" ht="20" customHeight="1">
      <c r="A116" s="57" t="n">
        <v>46287.6096596412</v>
      </c>
      <c r="B116" s="29" t="inlineStr">
        <is>
          <t>2. This Week (Last 7 Days)</t>
        </is>
      </c>
      <c r="C116" s="14" t="inlineStr">
        <is>
          <t>Meta Ads (Naranpura)</t>
        </is>
      </c>
      <c r="D116" s="14" t="inlineStr">
        <is>
          <t>Hemant Tukdiwala (9869039508)</t>
        </is>
      </c>
      <c r="E116" s="14" t="inlineStr">
        <is>
          <t>Prexa Vithalapara</t>
        </is>
      </c>
      <c r="F116" s="14" t="inlineStr">
        <is>
          <t>Sales</t>
        </is>
      </c>
      <c r="G116" s="14" t="inlineStr">
        <is>
          <t>Rajan Purani</t>
        </is>
      </c>
      <c r="H116" s="14" t="inlineStr">
        <is>
          <t>Follow-Up</t>
        </is>
      </c>
      <c r="I116" s="14" t="inlineStr">
        <is>
          <t>Location preferrences Vadaj, Nava Vadaj, Shashtrinagar, Narangpura, 2 BHK, Rent Budget 20K, Semi furnished for family, Possession required as soon as possible | Transfer: Location preferrences Vadaj, Nava Vadaj, Shashtrinagar, Narangpura, 2 BHK, Rent Budget 20K, Semi furnished for family, Possession required as soon as possible | Transfer Note: Location preferrences Vadaj, Nava Vadaj, Shashtrinagar, Narangpura, 2 BHK, Rent Budget 20K, Semi furnished for family, Possession required as soon as possible | Followup: Options not available searching and share 20k options | CRM: Location preferrences Vadaj, Nava Vadaj, Shashtrinagar, Narangpura, 2 BHK, Rent Budget 20K, Semi furnished for family, Possession required as soon as possible | CRM Followup: Options not available searching and share 20k options</t>
        </is>
      </c>
    </row>
    <row r="117" ht="20" customHeight="1">
      <c r="A117" s="58" t="n">
        <v>46287.60428143518</v>
      </c>
      <c r="B117" s="28" t="inlineStr">
        <is>
          <t>2. This Week (Last 7 Days)</t>
        </is>
      </c>
      <c r="C117" s="17" t="inlineStr">
        <is>
          <t>Housing.com (South Bopal)</t>
        </is>
      </c>
      <c r="D117" s="17" t="inlineStr">
        <is>
          <t>Gaurav (8780028636)</t>
        </is>
      </c>
      <c r="E117" s="17" t="inlineStr">
        <is>
          <t>Zeel Mudaliyar</t>
        </is>
      </c>
      <c r="F117" s="17" t="inlineStr">
        <is>
          <t>Sales</t>
        </is>
      </c>
      <c r="G117" s="17" t="inlineStr">
        <is>
          <t>Viral Jadeja</t>
        </is>
      </c>
      <c r="H117" s="17" t="inlineStr">
        <is>
          <t>Assigned</t>
        </is>
      </c>
      <c r="I117" s="17" t="inlineStr">
        <is>
          <t>Locations- Bopal, Paldi or Satellite (nearby), 10/10 sq ft, Rent budget 25 K (negotiable), wants ready to move | Transfer: Locations- Bopal, Paldi or Satellite (nearby), 10/10 sq ft, Rent budget 25 K (negotiable), wants ready to move | Transfer Note: Locations- Bopal, Paldi or Satellite (nearby), 10/10 sq ft, Rent budget 25 K (negotiable), wants ready to move | [Telecaller Key Points]: Locations- Bopal, Paldi or Satellite (nearby), 10/10 sq ft, Rent budget 25 K (negotiable), wants ready to move</t>
        </is>
      </c>
    </row>
    <row r="118" ht="20" customHeight="1">
      <c r="A118" s="57" t="n">
        <v>46287.58914819444</v>
      </c>
      <c r="B118" s="29" t="inlineStr">
        <is>
          <t>2. This Week (Last 7 Days)</t>
        </is>
      </c>
      <c r="C118" s="14" t="inlineStr">
        <is>
          <t>Meta Ads (Silver Nest)</t>
        </is>
      </c>
      <c r="D118" s="14" t="inlineStr">
        <is>
          <t>Falu (9157371671)</t>
        </is>
      </c>
      <c r="E118" s="14" t="inlineStr">
        <is>
          <t>Zeel Mudaliyar</t>
        </is>
      </c>
      <c r="F118" s="14" t="inlineStr">
        <is>
          <t>Sales</t>
        </is>
      </c>
      <c r="G118" s="14" t="inlineStr">
        <is>
          <t>Somel Rathod</t>
        </is>
      </c>
      <c r="H118" s="14" t="inlineStr">
        <is>
          <t>Assigned</t>
        </is>
      </c>
      <c r="I118" s="14" t="inlineStr">
        <is>
          <t>2/3 BHK, Semi or fully furnished, Budget 25-30 K, Possession 1 Oct, For Family, Location Gota, Shela, Ghatlodia, Vaishnodevi | Transfer: 2/3 BHK, Semi or fully furnished, Budget 25-30 K, Possession 1 Oct, For Family, Location Gota, Shela, Ghatlodia, Vaishnodevi | Transfer Note: 2/3 BHK, Semi or fully furnished, Budget 25-30 K, Possession 1 Oct, For Family, Location Gota, Shela, Ghatlodia, Vaishnodevi | CRM: [Telecaller Key Points]: 2/3 BHK, Semi or fully furnished, Budget 25-30 K, Possession 1 Oct, For Family, Location Gota, Shela, Ghatlodia, Vaishnodevi | [Telecaller Key Points]: 2/3 BHK, Semi or fully furnished, Budget 25-30 K, Possession 1 Oct, For Family, Location Gota, Shela, Ghatlodia, Vaishnodevi</t>
        </is>
      </c>
    </row>
    <row r="119" ht="20" customHeight="1">
      <c r="A119" s="58" t="n">
        <v>46287.55219555555</v>
      </c>
      <c r="B119" s="28" t="inlineStr">
        <is>
          <t>2. This Week (Last 7 Days)</t>
        </is>
      </c>
      <c r="C119" s="17" t="inlineStr">
        <is>
          <t>Housing.com (NB Pearl Heights)</t>
        </is>
      </c>
      <c r="D119" s="17" t="inlineStr">
        <is>
          <t>Vrunda Thakkar (6354072378)</t>
        </is>
      </c>
      <c r="E119" s="17" t="inlineStr">
        <is>
          <t>Zeel Mudaliyar</t>
        </is>
      </c>
      <c r="F119" s="17" t="inlineStr">
        <is>
          <t>Rejected / Lost</t>
        </is>
      </c>
      <c r="G119" s="17" t="inlineStr">
        <is>
          <t>Rakesh Jadav</t>
        </is>
      </c>
      <c r="H119" s="17" t="inlineStr">
        <is>
          <t>Rejected (Budget Mismatch)</t>
        </is>
      </c>
      <c r="I119" s="17" t="inlineStr">
        <is>
          <t>[Telecaller Key Points]: Looking around Science City, 2 BHK, Rent 22K max, for family, AC and RO required, possession this month (requested to text instead of call) | Transfer: Looking around Science City, 2 BHK, Rent 22K max, for family, AC and RO required, possession this month (requested to text instead of call) | Transfer Note: Looking around Science City, 2 BHK, Rent 22K max, for family, AC and RO required, possession this month (requested to text instead of call) | Followup: cnr | CRM: [Telecaller Key Points]: Looking around Science City, 2 BHK, Rent 22K max, for family, AC and RO required, possession this month (requested to text instead of call) | CRM Followup: cnr | Looking around Science City, 2 BHK, Rent 22K max, for family, AC and RO required, possession this month (requested to text instead of call)
[25 Sep '26, 12:42 PM] low budget che</t>
        </is>
      </c>
    </row>
    <row r="120" ht="20" customHeight="1">
      <c r="A120" s="57" t="n">
        <v>46287.3542772338</v>
      </c>
      <c r="B120" s="29" t="inlineStr">
        <is>
          <t>2. This Week (Last 7 Days)</t>
        </is>
      </c>
      <c r="C120" s="14" t="inlineStr">
        <is>
          <t>Housing.com (NB Pearl Heights)</t>
        </is>
      </c>
      <c r="D120" s="14" t="inlineStr">
        <is>
          <t>Bharti Rajput Insurance Advisor (7984383981)</t>
        </is>
      </c>
      <c r="E120" s="14" t="inlineStr">
        <is>
          <t>Zeel Mudaliyar</t>
        </is>
      </c>
      <c r="F120" s="14" t="inlineStr">
        <is>
          <t>CNR (Could Not Reach)</t>
        </is>
      </c>
      <c r="G120" s="14" t="inlineStr">
        <is>
          <t>Not Assigned</t>
        </is>
      </c>
      <c r="H120" s="14" t="inlineStr">
        <is>
          <t>N/A (Not Assigned)</t>
        </is>
      </c>
      <c r="I120" s="14" t="inlineStr">
        <is>
          <t>-</t>
        </is>
      </c>
    </row>
    <row r="121" ht="20" customHeight="1">
      <c r="A121" s="58" t="n">
        <v>46287.01052497685</v>
      </c>
      <c r="B121" s="28" t="inlineStr">
        <is>
          <t>2. This Week (Last 7 Days)</t>
        </is>
      </c>
      <c r="C121" s="17" t="inlineStr">
        <is>
          <t>Housing.com (Gota)</t>
        </is>
      </c>
      <c r="D121" s="17" t="inlineStr">
        <is>
          <t>Rekha (9274849877)</t>
        </is>
      </c>
      <c r="E121" s="17" t="inlineStr">
        <is>
          <t>Zeel Mudaliyar</t>
        </is>
      </c>
      <c r="F121" s="17" t="inlineStr">
        <is>
          <t>Sales</t>
        </is>
      </c>
      <c r="G121" s="17" t="inlineStr">
        <is>
          <t>Somel Rathod</t>
        </is>
      </c>
      <c r="H121" s="17" t="inlineStr">
        <is>
          <t>Rejected (Budget Mismatch)</t>
        </is>
      </c>
      <c r="I121" s="17" t="inlineStr">
        <is>
          <t>2 BHK, Tenament (most preffered)/ apartment, location Gota, Vaishnodevi or other 18K, for famil, possession asap | Transfer: 2 BHK, Tenament (most preffered)/ apartment, location Gota, Vaishnodevi or other 18K, for famil, possession asap | Transfer Note: 2 BHK, Tenament (most preffered)/ apartment, location Gota, Vaishnodevi or other 18K, for famil, possession asap | [Telecaller Key Points]: 2 BHK, Tenament (most preffered)/ apartment, location Gota, Vaishnodevi or other 18K, for famil, possession asap</t>
        </is>
      </c>
    </row>
    <row r="122" ht="20" customHeight="1">
      <c r="A122" s="57" t="n">
        <v>46286.88045938657</v>
      </c>
      <c r="B122" s="29" t="inlineStr">
        <is>
          <t>2. This Week (Last 7 Days)</t>
        </is>
      </c>
      <c r="C122" s="14" t="inlineStr">
        <is>
          <t>Webhook API (NB PropertyTech Rental Ad 0408)</t>
        </is>
      </c>
      <c r="D122" s="14" t="inlineStr">
        <is>
          <t>Nirmal Hadiya (9662200711)</t>
        </is>
      </c>
      <c r="E122" s="14" t="inlineStr">
        <is>
          <t>Prexa Vithalapara</t>
        </is>
      </c>
      <c r="F122" s="14" t="inlineStr">
        <is>
          <t>Rejected / Lost</t>
        </is>
      </c>
      <c r="G122" s="14" t="inlineStr">
        <is>
          <t>Rajan Purani</t>
        </is>
      </c>
      <c r="H122" s="14" t="inlineStr">
        <is>
          <t>Rejected (No Requirement)</t>
        </is>
      </c>
      <c r="I122" s="14" t="inlineStr">
        <is>
          <t>[Telecaller Key Points]: Navrangpura, 2bhk, furnishhed, budget no issue, bechlour | Transfer: Navrangpura, 2bhk, furnishhed, budget no issue, bechlour | Transfer Note: Navrangpura, 2bhk, furnishhed, budget no issue, bechlour | CRM: [Telecaller Key Points]: Navrangpura, 2bhk, furnishhed, budget no issue, bechlour | Navrangpura, 2bhk, furnishhed, budget no issue, bechlour
[24 Sep '26, 2:38 PM] bechlour ma works nathi karta</t>
        </is>
      </c>
    </row>
    <row r="123" ht="20" customHeight="1">
      <c r="A123" s="58" t="n">
        <v>46286.80219163194</v>
      </c>
      <c r="B123" s="28" t="inlineStr">
        <is>
          <t>2. This Week (Last 7 Days)</t>
        </is>
      </c>
      <c r="C123" s="17" t="inlineStr">
        <is>
          <t>Housing.com (Vaishno Devi Circle)</t>
        </is>
      </c>
      <c r="D123" s="17" t="inlineStr">
        <is>
          <t>Jyotika Jadhav (9823520174)</t>
        </is>
      </c>
      <c r="E123" s="17" t="inlineStr">
        <is>
          <t>Prexa Vithalapara</t>
        </is>
      </c>
      <c r="F123" s="17" t="inlineStr">
        <is>
          <t>Rejected / Lost</t>
        </is>
      </c>
      <c r="G123" s="17" t="inlineStr">
        <is>
          <t>Not Assigned</t>
        </is>
      </c>
      <c r="H123" s="17" t="inlineStr">
        <is>
          <t>N/A (Not Assigned)</t>
        </is>
      </c>
      <c r="I123" s="17" t="inlineStr">
        <is>
          <t>-</t>
        </is>
      </c>
    </row>
    <row r="124" ht="20" customHeight="1">
      <c r="A124" s="57" t="n">
        <v>46286.76052384259</v>
      </c>
      <c r="B124" s="29" t="inlineStr">
        <is>
          <t>2. This Week (Last 7 Days)</t>
        </is>
      </c>
      <c r="C124" s="14" t="inlineStr">
        <is>
          <t>Housing.com (Naranpura)</t>
        </is>
      </c>
      <c r="D124" s="14" t="inlineStr">
        <is>
          <t>Hemant Tukdiwala (9869039508)</t>
        </is>
      </c>
      <c r="E124" s="14" t="inlineStr">
        <is>
          <t>Prexa Vithalapara</t>
        </is>
      </c>
      <c r="F124" s="14" t="inlineStr">
        <is>
          <t>Sales</t>
        </is>
      </c>
      <c r="G124" s="14" t="inlineStr">
        <is>
          <t>Rajan Purani</t>
        </is>
      </c>
      <c r="H124" s="14" t="inlineStr">
        <is>
          <t>Follow-Up</t>
        </is>
      </c>
      <c r="I124" s="14" t="inlineStr">
        <is>
          <t>Location preferrences Vadaj, Nava Vadaj, Shashtrinagar, Narangpura, 2 BHK, Rent Budget 20K, Semi furnished for family, Possession required as soon as possible | Transfer: Location preferrences Vadaj, Nava Vadaj, Shashtrinagar, Narangpura, 2 BHK, Rent Budget 20K, Semi furnished for family, Possession required as soon as possible | Transfer Note: Location preferrences Vadaj, Nava Vadaj, Shashtrinagar, Narangpura, 2 BHK, Rent Budget 20K, Semi furnished for family, Possession required as soon as possible</t>
        </is>
      </c>
    </row>
    <row r="125" ht="20" customHeight="1">
      <c r="A125" s="58" t="n">
        <v>46286.73969452547</v>
      </c>
      <c r="B125" s="19" t="inlineStr">
        <is>
          <t>3. This Month (Sep 2026)</t>
        </is>
      </c>
      <c r="C125" s="17" t="inlineStr">
        <is>
          <t>Housing.com (Memnagar)</t>
        </is>
      </c>
      <c r="D125" s="17" t="inlineStr">
        <is>
          <t>Vikas Jadav (9558373115)</t>
        </is>
      </c>
      <c r="E125" s="17" t="inlineStr">
        <is>
          <t>Prexa Vithalapara</t>
        </is>
      </c>
      <c r="F125" s="17" t="inlineStr">
        <is>
          <t>Sales</t>
        </is>
      </c>
      <c r="G125" s="17" t="inlineStr">
        <is>
          <t>Viral Jadeja</t>
        </is>
      </c>
      <c r="H125" s="17" t="inlineStr">
        <is>
          <t>Assigned</t>
        </is>
      </c>
      <c r="I125" s="17" t="inlineStr">
        <is>
          <t>Commercial property, area required 180-200 sq ft, possession within 1 week, Location - any location will work, Rent budget minimum 15K. | Transfer: Commercial property, area required 180-200 sq ft, possession within 1 week, Location - any location will work, Rent budget minimum 15K. | Transfer Note: Commercial property, area required 180-200 sq ft, possession within 1 week, Location - any location will work, Rent budget minimum 15K. | [Telecaller Key Points]: Commercial property, area required 180-200 sq ft, possession within 1 week, Location - any location will work, Rent budget minimum 15K.</t>
        </is>
      </c>
    </row>
    <row r="126" ht="20" customHeight="1">
      <c r="A126" s="57" t="n">
        <v>46286.73969017361</v>
      </c>
      <c r="B126" s="16" t="inlineStr">
        <is>
          <t>3. This Month (Sep 2026)</t>
        </is>
      </c>
      <c r="C126" s="14" t="inlineStr">
        <is>
          <t>Housing.com (Silver Nest)</t>
        </is>
      </c>
      <c r="D126" s="14" t="inlineStr">
        <is>
          <t>Falu (9157371671)</t>
        </is>
      </c>
      <c r="E126" s="14" t="inlineStr">
        <is>
          <t>Zeel Mudaliyar</t>
        </is>
      </c>
      <c r="F126" s="14" t="inlineStr">
        <is>
          <t>Sales</t>
        </is>
      </c>
      <c r="G126" s="14" t="inlineStr">
        <is>
          <t>Somel Rathod</t>
        </is>
      </c>
      <c r="H126" s="14" t="inlineStr">
        <is>
          <t>Assigned</t>
        </is>
      </c>
      <c r="I126" s="14" t="inlineStr">
        <is>
          <t>2/3 BHK, Semi or fully furnished, Budget 25-30 K, Possession 1 Oct, For Family, Location Gota, Shela, Ghatlodia, Vaishnodevi | Transfer: 2/3 BHK, Semi or fully furnished, Budget 25-30 K, Possession 1 Oct, For Family, Location Gota, Shela, Ghatlodia, Vaishnodevi | Transfer Note: 2/3 BHK, Semi or fully furnished, Budget 25-30 K, Possession 1 Oct, For Family, Location Gota, Shela, Ghatlodia, Vaishnodevi | [Telecaller Key Points]: 2/3 BHK, Semi or fully furnished, Budget 25-30 K, Possession 1 Oct, For Family, Location Gota, Shela, Ghatlodia, Vaishnodevi</t>
        </is>
      </c>
    </row>
    <row r="127" ht="20" customHeight="1">
      <c r="A127" s="58" t="n">
        <v>46286.73098394676</v>
      </c>
      <c r="B127" s="19" t="inlineStr">
        <is>
          <t>3. This Month (Sep 2026)</t>
        </is>
      </c>
      <c r="C127" s="17" t="inlineStr">
        <is>
          <t>Direct / Manual</t>
        </is>
      </c>
      <c r="D127" s="17" t="inlineStr">
        <is>
          <t>Manisha Upadhyay (9409715092)</t>
        </is>
      </c>
      <c r="E127" s="17" t="inlineStr">
        <is>
          <t>Unassigned</t>
        </is>
      </c>
      <c r="F127" s="17" t="inlineStr">
        <is>
          <t>Deal Won</t>
        </is>
      </c>
      <c r="G127" s="17" t="inlineStr">
        <is>
          <t>Rajan Purani</t>
        </is>
      </c>
      <c r="H127" s="17" t="inlineStr">
        <is>
          <t>Deal Won</t>
        </is>
      </c>
      <c r="I127" s="17" t="inlineStr">
        <is>
          <t>2 BHK semi furnished flat joye che, chinmay tower, sarjan tower | Followup: today visit done chinmay tower, sarjan tower akash residency out said broker property she interested chinmay tower repeat visit tomorrow morning | CRM: 2 BHK semi furnished flat joye che, chinmay tower, sarjan tower | CRM Followup: today visit done chinmay tower, sarjan tower akash residency out said broker property she interested chinmay tower repeat visit tomorrow morning | [21 Sep '26, 5:42 PM] visit done chinmay tower and sarjan tower call tomorror repeat visit chinamay tower with family
[21 Sep '26, 5:50 PM] tomorrow visit chinmay tower and shanti apartment
[21 Sep '26, 5:53 PM] visit done chinmay tower sarjan tower
[26 Sep '26, 2:11 PM] today token done 31000 cash akash 2 apartment vastrapur</t>
        </is>
      </c>
    </row>
    <row r="128" ht="20" customHeight="1">
      <c r="A128" s="57" t="n">
        <v>46286.72889168982</v>
      </c>
      <c r="B128" s="16" t="inlineStr">
        <is>
          <t>3. This Month (Sep 2026)</t>
        </is>
      </c>
      <c r="C128" s="14" t="inlineStr">
        <is>
          <t>Meta Ads (South Bopal)</t>
        </is>
      </c>
      <c r="D128" s="14" t="inlineStr">
        <is>
          <t>Akil Vohra (9327769003)</t>
        </is>
      </c>
      <c r="E128" s="14" t="inlineStr">
        <is>
          <t>Prexa Vithalapara</t>
        </is>
      </c>
      <c r="F128" s="14" t="inlineStr">
        <is>
          <t>Sales</t>
        </is>
      </c>
      <c r="G128" s="14" t="inlineStr">
        <is>
          <t>Viral Jadeja</t>
        </is>
      </c>
      <c r="H128" s="14" t="inlineStr">
        <is>
          <t>Assigned</t>
        </is>
      </c>
      <c r="I128" s="14" t="inlineStr">
        <is>
          <t>satelite, bopal, shop, 600sq, 30-35k budget | Transfer: satelite, bopal, shop, 600sq, 30-35k budget | Transfer Note: satelite, bopal, shop, 600sq, 30-35k budget | CRM: [Telecaller Key Points]: satelite, bopal, shop, 600sq, 30-35k budget | [Telecaller Key Points]: satelite, bopal, shop, 600sq, 30-35k budget</t>
        </is>
      </c>
    </row>
    <row r="129" ht="20" customHeight="1">
      <c r="A129" s="58" t="n">
        <v>46286.69946835648</v>
      </c>
      <c r="B129" s="19" t="inlineStr">
        <is>
          <t>3. This Month (Sep 2026)</t>
        </is>
      </c>
      <c r="C129" s="17" t="inlineStr">
        <is>
          <t>Meta Ads (NB PropertyTech Survey Ad 3108)</t>
        </is>
      </c>
      <c r="D129" s="17" t="inlineStr">
        <is>
          <t>$wet@_ (9712449012)</t>
        </is>
      </c>
      <c r="E129" s="17" t="inlineStr">
        <is>
          <t>Zeel Mudaliyar</t>
        </is>
      </c>
      <c r="F129" s="17" t="inlineStr">
        <is>
          <t>Sales</t>
        </is>
      </c>
      <c r="G129" s="17" t="inlineStr">
        <is>
          <t>Somel Rathod</t>
        </is>
      </c>
      <c r="H129" s="17" t="inlineStr">
        <is>
          <t>Re-Followup</t>
        </is>
      </c>
      <c r="I129" s="17" t="inlineStr">
        <is>
          <t>Sola gota, 3bhk, 20-30k budget, furnished, family | Transfer: Sola gota, 3bhk, 20-30k budget, furnished, family | Transfer Note: Sola gota, 3bhk, 20-30k budget, furnished, family | Followup: send to suyash status 3bhk 35k sci | CRM: [Telecaller Key Points]: Sola gota, 3bhk, 20-30k budget, furnished, family | CRM Followup: send to suyash status 3bhk 35k sci | [Telecaller Key Points]: Sola gota, 3bhk, 20-30k budget, furnished, family</t>
        </is>
      </c>
    </row>
    <row r="130" ht="20" customHeight="1">
      <c r="A130" s="57" t="n">
        <v>46286.69609246528</v>
      </c>
      <c r="B130" s="16" t="inlineStr">
        <is>
          <t>3. This Month (Sep 2026)</t>
        </is>
      </c>
      <c r="C130" s="14" t="inlineStr">
        <is>
          <t>Meta Ads (NB PropertyTech Survey Ad 3108)</t>
        </is>
      </c>
      <c r="D130" s="14" t="inlineStr">
        <is>
          <t>Sanjay Kanani (9925988881)</t>
        </is>
      </c>
      <c r="E130" s="14" t="inlineStr">
        <is>
          <t>Zeel Mudaliyar</t>
        </is>
      </c>
      <c r="F130" s="14" t="inlineStr">
        <is>
          <t>Sales</t>
        </is>
      </c>
      <c r="G130" s="14" t="inlineStr">
        <is>
          <t>Rakesh Jadav</t>
        </is>
      </c>
      <c r="H130" s="14" t="inlineStr">
        <is>
          <t>Re-Followup</t>
        </is>
      </c>
      <c r="I130" s="14" t="inlineStr">
        <is>
          <t>South bopal, shela, 2bhk, 30k budget, ac, fridge,  furnished | Transfer: South bopal, shela, 2bhk, 30k budget, ac, fridge,  furnished | Transfer Note: South bopal, shela, 2bhk, 30k budget, ac, fridge,  furnished | Followup: cnr | CRM: [Telecaller Key Points]: South bopal, shela, 2bhk, 30k budget, ac, fridge,  furnished | CRM Followup: cnr | [Telecaller Key Points]: South bopal, shela, 2bhk, 30k budget, ac, fridge,  furnished</t>
        </is>
      </c>
    </row>
    <row r="131" ht="20" customHeight="1">
      <c r="A131" s="58" t="n">
        <v>46286.6918431713</v>
      </c>
      <c r="B131" s="19" t="inlineStr">
        <is>
          <t>3. This Month (Sep 2026)</t>
        </is>
      </c>
      <c r="C131" s="17" t="inlineStr">
        <is>
          <t>Meta Ads (NB PropertyTech Survey Ad 3108)</t>
        </is>
      </c>
      <c r="D131" s="17" t="inlineStr">
        <is>
          <t>Tushar Vara (9824053050)</t>
        </is>
      </c>
      <c r="E131" s="17" t="inlineStr">
        <is>
          <t>Prexa Vithalapara</t>
        </is>
      </c>
      <c r="F131" s="17" t="inlineStr">
        <is>
          <t>Sales</t>
        </is>
      </c>
      <c r="G131" s="17" t="inlineStr">
        <is>
          <t>Somel Rathod</t>
        </is>
      </c>
      <c r="H131" s="17" t="inlineStr">
        <is>
          <t>Assigned</t>
        </is>
      </c>
      <c r="I131" s="17" t="inlineStr">
        <is>
          <t>Vaishanvdevi,zundal,tragad, 2bhk, up to 25k, furnished, family | Transfer: Vaishanvdevi,zundal,tragad, 2bhk, up to 25k, furnished, family | Transfer Note: Vaishanvdevi,zundal,tragad, 2bhk, up to 25k, furnished, family | CRM: [Telecaller Key Points]: Vaishanvdevi,zundal,tragad, 2bhk, up to 25k, furnished, family | [Telecaller Key Points]: Vaishanvdevi,zundal,tragad, 2bhk, up to 25k, furnished, family</t>
        </is>
      </c>
    </row>
    <row r="132" ht="20" customHeight="1">
      <c r="A132" s="57" t="n">
        <v>46286.6870008449</v>
      </c>
      <c r="B132" s="16" t="inlineStr">
        <is>
          <t>3. This Month (Sep 2026)</t>
        </is>
      </c>
      <c r="C132" s="14" t="inlineStr">
        <is>
          <t>Meta Ads (NB PropertyTech Survey Ad 3108)</t>
        </is>
      </c>
      <c r="D132" s="14" t="inlineStr">
        <is>
          <t>Aruna Pandya (8141159909)</t>
        </is>
      </c>
      <c r="E132" s="14" t="inlineStr">
        <is>
          <t>Zeel Mudaliyar</t>
        </is>
      </c>
      <c r="F132" s="14" t="inlineStr">
        <is>
          <t>Deal Won</t>
        </is>
      </c>
      <c r="G132" s="14" t="inlineStr">
        <is>
          <t>Rakesh Jadav</t>
        </is>
      </c>
      <c r="H132" s="14" t="inlineStr">
        <is>
          <t>Deal Won</t>
        </is>
      </c>
      <c r="I132" s="14" t="inlineStr">
        <is>
          <t>[Telecaller Key Points]: bhadaj, 4bhk, 50k budget, | Transfer: bhadaj, 4bhk, 50k budget, | Transfer Note: bhadaj, 4bhk, 50k budget, | Followup: bhadaj ma 4 5 bhk bunglow ke flaate joiye che | CRM: [Telecaller Key Points]: bhadaj, 4bhk, 50k budget, | CRM Followup: bhadaj ma 4 5 bhk bunglow ke flaate joiye che | bhadaj, 4bhk, 50k budget,</t>
        </is>
      </c>
    </row>
    <row r="133" ht="20" customHeight="1">
      <c r="A133" s="58" t="n">
        <v>46286.67770714121</v>
      </c>
      <c r="B133" s="19" t="inlineStr">
        <is>
          <t>3. This Month (Sep 2026)</t>
        </is>
      </c>
      <c r="C133" s="17" t="inlineStr">
        <is>
          <t>Meta Ads (NB PropertyTech Survey Ad 3108)</t>
        </is>
      </c>
      <c r="D133" s="17" t="inlineStr">
        <is>
          <t>Anshika Yadav (7017558527)</t>
        </is>
      </c>
      <c r="E133" s="17" t="inlineStr">
        <is>
          <t>Unassigned</t>
        </is>
      </c>
      <c r="F133" s="17" t="inlineStr">
        <is>
          <t>Sales</t>
        </is>
      </c>
      <c r="G133" s="17" t="inlineStr">
        <is>
          <t>Rakesh Jadav</t>
        </is>
      </c>
      <c r="H133" s="17" t="inlineStr">
        <is>
          <t>Re-Followup</t>
        </is>
      </c>
      <c r="I133" s="17" t="inlineStr">
        <is>
          <t>[Telecaller Key Points]: South bopal, 2bhk, 20k budget, semi furnished | Transfer: South bopal, 2bhk, 20k budget, semi furnished | Transfer Note: South bopal, 2bhk, 20k budget, semi furnished | Followup: shilaj anclave no option send karyo che | CRM: [Telecaller Key Points]: South bopal, 2bhk, 20k budget, semi furnished | CRM Followup: shilaj anclave no option send karyo che | South bopal, 2bhk, 20k budget, semi furnished
[25 Sep '26, 12:59 PM] option work Krva prefrence south bopal</t>
        </is>
      </c>
    </row>
    <row r="134" ht="20" customHeight="1">
      <c r="A134" s="57" t="n">
        <v>46286.63371582176</v>
      </c>
      <c r="B134" s="16" t="inlineStr">
        <is>
          <t>3. This Month (Sep 2026)</t>
        </is>
      </c>
      <c r="C134" s="14" t="inlineStr">
        <is>
          <t>Meta Ads (NB PropertyTech Survey Ad 3108)</t>
        </is>
      </c>
      <c r="D134" s="14" t="inlineStr">
        <is>
          <t>Aashish (9427923443)</t>
        </is>
      </c>
      <c r="E134" s="14" t="inlineStr">
        <is>
          <t>Prexa Vithalapara</t>
        </is>
      </c>
      <c r="F134" s="14" t="inlineStr">
        <is>
          <t>Rejected / Lost</t>
        </is>
      </c>
      <c r="G134" s="14" t="inlineStr">
        <is>
          <t>Not Assigned</t>
        </is>
      </c>
      <c r="H134" s="14" t="inlineStr">
        <is>
          <t>N/A (Not Assigned)</t>
        </is>
      </c>
      <c r="I134" s="14" t="inlineStr">
        <is>
          <t>-</t>
        </is>
      </c>
    </row>
    <row r="135" ht="20" customHeight="1">
      <c r="A135" s="58" t="n">
        <v>46286.6337146875</v>
      </c>
      <c r="B135" s="19" t="inlineStr">
        <is>
          <t>3. This Month (Sep 2026)</t>
        </is>
      </c>
      <c r="C135" s="17" t="inlineStr">
        <is>
          <t>Meta Ads (NB PropertyTech Survey Ad 3108)</t>
        </is>
      </c>
      <c r="D135" s="17" t="inlineStr">
        <is>
          <t>Ajaykumar Shrimali (7984203383)</t>
        </is>
      </c>
      <c r="E135" s="17" t="inlineStr">
        <is>
          <t>Zeel Mudaliyar</t>
        </is>
      </c>
      <c r="F135" s="17" t="inlineStr">
        <is>
          <t>Rejected / Lost</t>
        </is>
      </c>
      <c r="G135" s="17" t="inlineStr">
        <is>
          <t>Not Assigned</t>
        </is>
      </c>
      <c r="H135" s="17" t="inlineStr">
        <is>
          <t>N/A (Not Assigned)</t>
        </is>
      </c>
      <c r="I135" s="17" t="inlineStr">
        <is>
          <t>-</t>
        </is>
      </c>
    </row>
    <row r="136" ht="20" customHeight="1">
      <c r="A136" s="57" t="n">
        <v>46286.63371344908</v>
      </c>
      <c r="B136" s="16" t="inlineStr">
        <is>
          <t>3. This Month (Sep 2026)</t>
        </is>
      </c>
      <c r="C136" s="14" t="inlineStr">
        <is>
          <t>Meta Ads (NB PropertyTech Survey Ad 3108)</t>
        </is>
      </c>
      <c r="D136" s="14" t="inlineStr">
        <is>
          <t>Vaishali Mugutwala (9893513841)</t>
        </is>
      </c>
      <c r="E136" s="14" t="inlineStr">
        <is>
          <t>Zeel Mudaliyar</t>
        </is>
      </c>
      <c r="F136" s="14" t="inlineStr">
        <is>
          <t>CNR (Could Not Reach)</t>
        </is>
      </c>
      <c r="G136" s="14" t="inlineStr">
        <is>
          <t>Not Assigned</t>
        </is>
      </c>
      <c r="H136" s="14" t="inlineStr">
        <is>
          <t>N/A (Not Assigned)</t>
        </is>
      </c>
      <c r="I136" s="14" t="inlineStr">
        <is>
          <t>-</t>
        </is>
      </c>
    </row>
    <row r="137" ht="20" customHeight="1">
      <c r="A137" s="58" t="n">
        <v>46286.633711875</v>
      </c>
      <c r="B137" s="19" t="inlineStr">
        <is>
          <t>3. This Month (Sep 2026)</t>
        </is>
      </c>
      <c r="C137" s="17" t="inlineStr">
        <is>
          <t>Meta Ads (NB PropertyTech Survey Ad 3108)</t>
        </is>
      </c>
      <c r="D137" s="17" t="inlineStr">
        <is>
          <t>$wet@_ (9712449012)</t>
        </is>
      </c>
      <c r="E137" s="17" t="inlineStr">
        <is>
          <t>Zeel Mudaliyar</t>
        </is>
      </c>
      <c r="F137" s="17" t="inlineStr">
        <is>
          <t>Sales</t>
        </is>
      </c>
      <c r="G137" s="17" t="inlineStr">
        <is>
          <t>Somel Rathod</t>
        </is>
      </c>
      <c r="H137" s="17" t="inlineStr">
        <is>
          <t>Re-Followup</t>
        </is>
      </c>
      <c r="I137" s="17" t="inlineStr">
        <is>
          <t>Sola gota, 3bhk, 20-30k budget, furnished, family | Transfer: Sola gota, 3bhk, 20-30k budget, furnished, family | Transfer Note: Sola gota, 3bhk, 20-30k budget, furnished, family | [Telecaller Key Points]: Sola gota, 3bhk, 20-30k budget, furnished, family</t>
        </is>
      </c>
    </row>
    <row r="138" ht="20" customHeight="1">
      <c r="A138" s="57" t="n">
        <v>46286.63371061342</v>
      </c>
      <c r="B138" s="16" t="inlineStr">
        <is>
          <t>3. This Month (Sep 2026)</t>
        </is>
      </c>
      <c r="C138" s="14" t="inlineStr">
        <is>
          <t>Meta Ads (NB PropertyTech Survey Ad 3108)</t>
        </is>
      </c>
      <c r="D138" s="14" t="inlineStr">
        <is>
          <t>Rakesh (9869303604)</t>
        </is>
      </c>
      <c r="E138" s="14" t="inlineStr">
        <is>
          <t>Zeel Mudaliyar</t>
        </is>
      </c>
      <c r="F138" s="14" t="inlineStr">
        <is>
          <t>Rejected / Lost</t>
        </is>
      </c>
      <c r="G138" s="14" t="inlineStr">
        <is>
          <t>Not Assigned</t>
        </is>
      </c>
      <c r="H138" s="14" t="inlineStr">
        <is>
          <t>N/A (Not Assigned)</t>
        </is>
      </c>
      <c r="I138" s="14" t="inlineStr">
        <is>
          <t>Followup: busy so after call back</t>
        </is>
      </c>
    </row>
    <row r="139" ht="20" customHeight="1">
      <c r="A139" s="58" t="n">
        <v>46286.63370929398</v>
      </c>
      <c r="B139" s="19" t="inlineStr">
        <is>
          <t>3. This Month (Sep 2026)</t>
        </is>
      </c>
      <c r="C139" s="17" t="inlineStr">
        <is>
          <t>Meta Ads (NB PropertyTech Survey Ad 3108)</t>
        </is>
      </c>
      <c r="D139" s="17" t="inlineStr">
        <is>
          <t>Sanjay Kanani (9925988881)</t>
        </is>
      </c>
      <c r="E139" s="17" t="inlineStr">
        <is>
          <t>Zeel Mudaliyar</t>
        </is>
      </c>
      <c r="F139" s="17" t="inlineStr">
        <is>
          <t>Sales</t>
        </is>
      </c>
      <c r="G139" s="17" t="inlineStr">
        <is>
          <t>Rakesh Jadav</t>
        </is>
      </c>
      <c r="H139" s="17" t="inlineStr">
        <is>
          <t>Re-Followup</t>
        </is>
      </c>
      <c r="I139" s="17" t="inlineStr">
        <is>
          <t>South bopal, shela, 2bhk, 30k budget, ac, fridge,  furnished | Transfer: South bopal, shela, 2bhk, 30k budget, ac, fridge,  furnished | Transfer Note: South bopal, shela, 2bhk, 30k budget, ac, fridge,  furnished | [Telecaller Key Points]: South bopal, shela, 2bhk, 30k budget, ac, fridge,  furnished</t>
        </is>
      </c>
    </row>
    <row r="140" ht="20" customHeight="1">
      <c r="A140" s="57" t="n">
        <v>46286.63370783564</v>
      </c>
      <c r="B140" s="16" t="inlineStr">
        <is>
          <t>3. This Month (Sep 2026)</t>
        </is>
      </c>
      <c r="C140" s="14" t="inlineStr">
        <is>
          <t>Meta Ads (NB PropertyTech Survey Ad 3108)</t>
        </is>
      </c>
      <c r="D140" s="14" t="inlineStr">
        <is>
          <t>Tushar Vara (9824053050)</t>
        </is>
      </c>
      <c r="E140" s="14" t="inlineStr">
        <is>
          <t>Prexa Vithalapara</t>
        </is>
      </c>
      <c r="F140" s="14" t="inlineStr">
        <is>
          <t>Sales</t>
        </is>
      </c>
      <c r="G140" s="14" t="inlineStr">
        <is>
          <t>Somel Rathod</t>
        </is>
      </c>
      <c r="H140" s="14" t="inlineStr">
        <is>
          <t>Assigned</t>
        </is>
      </c>
      <c r="I140" s="14" t="inlineStr">
        <is>
          <t>Vaishanvdevi,zundal,tragad, 2bhk, up to 25k, furnished, family | Transfer: Vaishanvdevi,zundal,tragad, 2bhk, up to 25k, furnished, family | Transfer Note: Vaishanvdevi,zundal,tragad, 2bhk, up to 25k, furnished, family | [Telecaller Key Points]: Vaishanvdevi,zundal,tragad, 2bhk, up to 25k, furnished, family</t>
        </is>
      </c>
    </row>
    <row r="141" ht="20" customHeight="1">
      <c r="A141" s="58" t="n">
        <v>46286.63370668981</v>
      </c>
      <c r="B141" s="19" t="inlineStr">
        <is>
          <t>3. This Month (Sep 2026)</t>
        </is>
      </c>
      <c r="C141" s="17" t="inlineStr">
        <is>
          <t>Meta Ads (NB PropertyTech Survey Ad 3108)</t>
        </is>
      </c>
      <c r="D141" s="17" t="inlineStr">
        <is>
          <t>Aruna Pandya (8141159909)</t>
        </is>
      </c>
      <c r="E141" s="17" t="inlineStr">
        <is>
          <t>Zeel Mudaliyar</t>
        </is>
      </c>
      <c r="F141" s="17" t="inlineStr">
        <is>
          <t>Sales</t>
        </is>
      </c>
      <c r="G141" s="17" t="inlineStr">
        <is>
          <t>Rakesh Jadav</t>
        </is>
      </c>
      <c r="H141" s="17" t="inlineStr">
        <is>
          <t>Deal Won</t>
        </is>
      </c>
      <c r="I141" s="17" t="inlineStr">
        <is>
          <t>bhadaj, 4bhk, 50k budget, | Transfer: bhadaj, 4bhk, 50k budget, | Transfer Note: bhadaj, 4bhk, 50k budget, | [Telecaller Key Points]: bhadaj, 4bhk, 50k budget,</t>
        </is>
      </c>
    </row>
    <row r="142" ht="20" customHeight="1">
      <c r="A142" s="57" t="n">
        <v>46286.6337050463</v>
      </c>
      <c r="B142" s="16" t="inlineStr">
        <is>
          <t>3. This Month (Sep 2026)</t>
        </is>
      </c>
      <c r="C142" s="14" t="inlineStr">
        <is>
          <t>Meta Ads (NB PropertyTech Survey Ad 3108)</t>
        </is>
      </c>
      <c r="D142" s="14" t="inlineStr">
        <is>
          <t>Aadarsh (9998285797)</t>
        </is>
      </c>
      <c r="E142" s="14" t="inlineStr">
        <is>
          <t>Zeel Mudaliyar</t>
        </is>
      </c>
      <c r="F142" s="14" t="inlineStr">
        <is>
          <t>Rejected / Lost</t>
        </is>
      </c>
      <c r="G142" s="14" t="inlineStr">
        <is>
          <t>Not Assigned</t>
        </is>
      </c>
      <c r="H142" s="14" t="inlineStr">
        <is>
          <t>N/A (Not Assigned)</t>
        </is>
      </c>
      <c r="I142" s="14" t="inlineStr">
        <is>
          <t>-</t>
        </is>
      </c>
    </row>
    <row r="143" ht="20" customHeight="1">
      <c r="A143" s="58" t="n">
        <v>46286.63370295139</v>
      </c>
      <c r="B143" s="19" t="inlineStr">
        <is>
          <t>3. This Month (Sep 2026)</t>
        </is>
      </c>
      <c r="C143" s="17" t="inlineStr">
        <is>
          <t>Meta Ads (NB PropertyTech Survey Ad 3108)</t>
        </is>
      </c>
      <c r="D143" s="17" t="inlineStr">
        <is>
          <t>Anshika Yadav (7017558527)</t>
        </is>
      </c>
      <c r="E143" s="17" t="inlineStr">
        <is>
          <t>Unassigned</t>
        </is>
      </c>
      <c r="F143" s="17" t="inlineStr">
        <is>
          <t>Sales</t>
        </is>
      </c>
      <c r="G143" s="17" t="inlineStr">
        <is>
          <t>Rajan Purani</t>
        </is>
      </c>
      <c r="H143" s="17" t="inlineStr">
        <is>
          <t>Re-Followup</t>
        </is>
      </c>
      <c r="I143" s="17" t="inlineStr">
        <is>
          <t>South bopal, 2bhk, 20k budget, semi furnished | Transfer: South bopal, 2bhk, 20k budget, semi furnished | Transfer Note: South bopal, 2bhk, 20k budget, semi furnished | [Telecaller Key Points]: South bopal, 2bhk, 20k budget, semi furnished</t>
        </is>
      </c>
    </row>
    <row r="144" ht="20" customHeight="1">
      <c r="A144" s="57" t="n">
        <v>46286.63370119213</v>
      </c>
      <c r="B144" s="16" t="inlineStr">
        <is>
          <t>3. This Month (Sep 2026)</t>
        </is>
      </c>
      <c r="C144" s="14" t="inlineStr">
        <is>
          <t>Meta Ads (NB PropertyTech Survey Ad 3108)</t>
        </is>
      </c>
      <c r="D144" s="14" t="inlineStr">
        <is>
          <t>Amit Shah (8511327278)</t>
        </is>
      </c>
      <c r="E144" s="14" t="inlineStr">
        <is>
          <t>Prexa Vithalapara</t>
        </is>
      </c>
      <c r="F144" s="14" t="inlineStr">
        <is>
          <t>CNR (Could Not Reach)</t>
        </is>
      </c>
      <c r="G144" s="14" t="inlineStr">
        <is>
          <t>Not Assigned</t>
        </is>
      </c>
      <c r="H144" s="14" t="inlineStr">
        <is>
          <t>N/A (Not Assigned)</t>
        </is>
      </c>
      <c r="I144" s="14" t="inlineStr">
        <is>
          <t>Transfer Note: Marked as CNR</t>
        </is>
      </c>
    </row>
    <row r="145" ht="20" customHeight="1">
      <c r="A145" s="58" t="n">
        <v>46286.6336990162</v>
      </c>
      <c r="B145" s="19" t="inlineStr">
        <is>
          <t>3. This Month (Sep 2026)</t>
        </is>
      </c>
      <c r="C145" s="17" t="inlineStr">
        <is>
          <t>Meta Ads (NB PropertyTech Survey Ad 3108)</t>
        </is>
      </c>
      <c r="D145" s="17" t="inlineStr">
        <is>
          <t>Pooja Undaviya (9725673617)</t>
        </is>
      </c>
      <c r="E145" s="17" t="inlineStr">
        <is>
          <t>Zeel Mudaliyar</t>
        </is>
      </c>
      <c r="F145" s="17" t="inlineStr">
        <is>
          <t>Rejected / Lost</t>
        </is>
      </c>
      <c r="G145" s="17" t="inlineStr">
        <is>
          <t>Not Assigned</t>
        </is>
      </c>
      <c r="H145" s="17" t="inlineStr">
        <is>
          <t>N/A (Not Assigned)</t>
        </is>
      </c>
      <c r="I145" s="17" t="inlineStr">
        <is>
          <t>-</t>
        </is>
      </c>
    </row>
    <row r="146" ht="20" customHeight="1">
      <c r="A146" s="57" t="n">
        <v>46286.63369711806</v>
      </c>
      <c r="B146" s="16" t="inlineStr">
        <is>
          <t>3. This Month (Sep 2026)</t>
        </is>
      </c>
      <c r="C146" s="14" t="inlineStr">
        <is>
          <t>Meta Ads (NB PropertyTech Survey Ad 3108)</t>
        </is>
      </c>
      <c r="D146" s="14" t="inlineStr">
        <is>
          <t>Fakhruddin Latiwala (9825209952)</t>
        </is>
      </c>
      <c r="E146" s="14" t="inlineStr">
        <is>
          <t>Zeel Mudaliyar</t>
        </is>
      </c>
      <c r="F146" s="14" t="inlineStr">
        <is>
          <t>CNR (Could Not Reach)</t>
        </is>
      </c>
      <c r="G146" s="14" t="inlineStr">
        <is>
          <t>Not Assigned</t>
        </is>
      </c>
      <c r="H146" s="14" t="inlineStr">
        <is>
          <t>N/A (Not Assigned)</t>
        </is>
      </c>
      <c r="I146" s="14" t="inlineStr">
        <is>
          <t>-</t>
        </is>
      </c>
    </row>
    <row r="147" ht="20" customHeight="1">
      <c r="A147" s="58" t="n">
        <v>46286.58601197917</v>
      </c>
      <c r="B147" s="19" t="inlineStr">
        <is>
          <t>3. This Month (Sep 2026)</t>
        </is>
      </c>
      <c r="C147" s="17" t="inlineStr">
        <is>
          <t>Meta Ads (Memnagar)</t>
        </is>
      </c>
      <c r="D147" s="17" t="inlineStr">
        <is>
          <t>Nirav Rawat (9714425754)</t>
        </is>
      </c>
      <c r="E147" s="17" t="inlineStr">
        <is>
          <t>Zeel Mudaliyar</t>
        </is>
      </c>
      <c r="F147" s="17" t="inlineStr">
        <is>
          <t>Sales</t>
        </is>
      </c>
      <c r="G147" s="17" t="inlineStr">
        <is>
          <t>Viral Jadeja</t>
        </is>
      </c>
      <c r="H147" s="17" t="inlineStr">
        <is>
          <t>Assigned</t>
        </is>
      </c>
      <c r="I147" s="17" t="inlineStr">
        <is>
          <t>narayanpura, shop, 25k budget | Transfer: narayanpura, shop, 25k budget | Transfer Note: narayanpura, shop, 25k budget | CRM: [Telecaller Key Points]: narayanpura, shop, 25k budget | [Telecaller Key Points]: narayanpura, shop, 25k budget</t>
        </is>
      </c>
    </row>
    <row r="148" ht="20" customHeight="1">
      <c r="A148" s="57" t="n">
        <v>46286.57657359954</v>
      </c>
      <c r="B148" s="16" t="inlineStr">
        <is>
          <t>3. This Month (Sep 2026)</t>
        </is>
      </c>
      <c r="C148" s="14" t="inlineStr">
        <is>
          <t>Meta Ads (Sarkhej)</t>
        </is>
      </c>
      <c r="D148" s="14" t="inlineStr">
        <is>
          <t>Tanvir (9904555449)</t>
        </is>
      </c>
      <c r="E148" s="14" t="inlineStr">
        <is>
          <t>Zeel Mudaliyar</t>
        </is>
      </c>
      <c r="F148" s="14" t="inlineStr">
        <is>
          <t>Sales</t>
        </is>
      </c>
      <c r="G148" s="14" t="inlineStr">
        <is>
          <t>Viral Jadeja</t>
        </is>
      </c>
      <c r="H148" s="14" t="inlineStr">
        <is>
          <t>Assigned</t>
        </is>
      </c>
      <c r="I148" s="14" t="inlineStr">
        <is>
          <t>sarkhej, ready to use office, 20k budget | Transfer: sarkhej, ready to use office, 20k budget | Transfer Note: sarkhej, ready to use office, 20k budget | CRM: [Telecaller Key Points]: sarkhej, ready to use office, 20k budget | [Telecaller Key Points]: sarkhej, ready to use office, 20k budget</t>
        </is>
      </c>
    </row>
    <row r="149" ht="20" customHeight="1">
      <c r="A149" s="58" t="n">
        <v>46286.5760358912</v>
      </c>
      <c r="B149" s="19" t="inlineStr">
        <is>
          <t>3. This Month (Sep 2026)</t>
        </is>
      </c>
      <c r="C149" s="17" t="inlineStr">
        <is>
          <t>Meta Ads (Vastrapur)</t>
        </is>
      </c>
      <c r="D149" s="17" t="inlineStr">
        <is>
          <t>Kk (9773497204)</t>
        </is>
      </c>
      <c r="E149" s="17" t="inlineStr">
        <is>
          <t>Unassigned</t>
        </is>
      </c>
      <c r="F149" s="17" t="inlineStr">
        <is>
          <t>Rejected / Lost</t>
        </is>
      </c>
      <c r="G149" s="17" t="inlineStr">
        <is>
          <t>Rajan Purani</t>
        </is>
      </c>
      <c r="H149" s="17" t="inlineStr">
        <is>
          <t>Rejected (Budget Mismatch)</t>
        </is>
      </c>
      <c r="I149" s="17" t="inlineStr">
        <is>
          <t>[Telecaller Key Points]: vastrapur, 2bhk, semi furnished, 25k budget, bechlour | Transfer: vastrapur, 2bhk, semi furnished, 25k budget, bechlour | Transfer Note: vastrapur, 2bhk, semi furnished, 25k budget, bechlour | Followup: The call is not responding call back again | CRM: [Telecaller Key Points]: vastrapur, 2bhk, semi furnished, 25k budget, bechlour | CRM Followup: The call is not responding call back again | vastrapur, 2bhk, semi furnished, 25k budget, bechlour
[24 Sep '26, 2:51 PM] The call is not responding call back again
[26 Sep '26, 3:55 PM] bechlour ma work nathi karto so close</t>
        </is>
      </c>
    </row>
    <row r="150" ht="20" customHeight="1">
      <c r="A150" s="57" t="n">
        <v>46286.57095817129</v>
      </c>
      <c r="B150" s="16" t="inlineStr">
        <is>
          <t>3. This Month (Sep 2026)</t>
        </is>
      </c>
      <c r="C150" s="14" t="inlineStr">
        <is>
          <t>Meta Ads (Satellite)</t>
        </is>
      </c>
      <c r="D150" s="14" t="inlineStr">
        <is>
          <t>Sarika Soni (8320319142)</t>
        </is>
      </c>
      <c r="E150" s="14" t="inlineStr">
        <is>
          <t>Prexa Vithalapara</t>
        </is>
      </c>
      <c r="F150" s="14" t="inlineStr">
        <is>
          <t>Sales</t>
        </is>
      </c>
      <c r="G150" s="14" t="inlineStr">
        <is>
          <t>Rajan Purani</t>
        </is>
      </c>
      <c r="H150" s="14" t="inlineStr">
        <is>
          <t>Follow-Up</t>
        </is>
      </c>
      <c r="I150" s="14" t="inlineStr">
        <is>
          <t>satelite, 3bhk, 27k budget , family, semi furnished anand nagar ni najik ma j joye che | Transfer: satelite, 3bhk, 27k budget , family, semi furnished | Transfer Note: satelite, 3bhk, 27k budget , family, semi furnished | Followup: anand nagar ni ajubaju ma 27k around furnished option joye che bungalow chale but owner niche na rehta hova joye | CRM: satelite, 3bhk, 27k budget , family, semi furnished anand nagar ni najik ma j joye che | CRM Followup: anand nagar ni ajubaju ma 27k around furnished option joye che bungalow chale but owner niche na rehta hova joye | satelite, 3bhk, 27k budget , family, semi furnished
[24 Sep '26, 3:24 PM] anand nagar ni ajubaju ma 27k around furnished option joye che bungalow chale but owner niche na rehta hova joye</t>
        </is>
      </c>
    </row>
    <row r="151" ht="20" customHeight="1">
      <c r="A151" s="58" t="n">
        <v>46286.56261390046</v>
      </c>
      <c r="B151" s="19" t="inlineStr">
        <is>
          <t>3. This Month (Sep 2026)</t>
        </is>
      </c>
      <c r="C151" s="17" t="inlineStr">
        <is>
          <t>Housing.com (Sarkhej)</t>
        </is>
      </c>
      <c r="D151" s="17" t="inlineStr">
        <is>
          <t>Tanvir (9904555449)</t>
        </is>
      </c>
      <c r="E151" s="17" t="inlineStr">
        <is>
          <t>Zeel Mudaliyar</t>
        </is>
      </c>
      <c r="F151" s="17" t="inlineStr">
        <is>
          <t>Sales</t>
        </is>
      </c>
      <c r="G151" s="17" t="inlineStr">
        <is>
          <t>Viral Jadeja</t>
        </is>
      </c>
      <c r="H151" s="17" t="inlineStr">
        <is>
          <t>Assigned</t>
        </is>
      </c>
      <c r="I151" s="17" t="inlineStr">
        <is>
          <t>sarkhej, ready to use office, 20k budget | Transfer: sarkhej, ready to use office, 20k budget | Transfer Note: sarkhej, ready to use office, 20k budget | Followup: sarkhej, ready to use office , 20k budget | [Telecaller Key Points]: sarkhej, ready to use office, 20k budget</t>
        </is>
      </c>
    </row>
    <row r="152" ht="20" customHeight="1">
      <c r="A152" s="57" t="n">
        <v>46286.56260758102</v>
      </c>
      <c r="B152" s="16" t="inlineStr">
        <is>
          <t>3. This Month (Sep 2026)</t>
        </is>
      </c>
      <c r="C152" s="14" t="inlineStr">
        <is>
          <t>Housing.com (Satellite)</t>
        </is>
      </c>
      <c r="D152" s="14" t="inlineStr">
        <is>
          <t>Sarika Soni (8320319142)</t>
        </is>
      </c>
      <c r="E152" s="14" t="inlineStr">
        <is>
          <t>Prexa Vithalapara</t>
        </is>
      </c>
      <c r="F152" s="14" t="inlineStr">
        <is>
          <t>Sales</t>
        </is>
      </c>
      <c r="G152" s="14" t="inlineStr">
        <is>
          <t>Rajan Purani</t>
        </is>
      </c>
      <c r="H152" s="14" t="inlineStr">
        <is>
          <t>Follow-Up</t>
        </is>
      </c>
      <c r="I152" s="14" t="inlineStr">
        <is>
          <t>satelite, 3bhk, 27k budget , family, semi furnished | Transfer: satelite, 3bhk, 27k budget , family, semi furnished | Transfer Note: satelite, 3bhk, 27k budget , family, semi furnished | satelite, 3bhk, 27k budget , family, semi furnished anand nagar ni najik ma j joye che</t>
        </is>
      </c>
    </row>
    <row r="153" ht="20" customHeight="1">
      <c r="A153" s="58" t="n">
        <v>46286.55219204861</v>
      </c>
      <c r="B153" s="19" t="inlineStr">
        <is>
          <t>3. This Month (Sep 2026)</t>
        </is>
      </c>
      <c r="C153" s="17" t="inlineStr">
        <is>
          <t>Housing.com (Sarkhej)</t>
        </is>
      </c>
      <c r="D153" s="17" t="inlineStr">
        <is>
          <t>Ghoghari Adil (9033363978)</t>
        </is>
      </c>
      <c r="E153" s="17" t="inlineStr">
        <is>
          <t>Prexa Vithalapara</t>
        </is>
      </c>
      <c r="F153" s="17" t="inlineStr">
        <is>
          <t>Rejected / Lost</t>
        </is>
      </c>
      <c r="G153" s="17" t="inlineStr">
        <is>
          <t>Not Assigned</t>
        </is>
      </c>
      <c r="H153" s="17" t="inlineStr">
        <is>
          <t>N/A (Not Assigned)</t>
        </is>
      </c>
      <c r="I153" s="17" t="inlineStr">
        <is>
          <t>-</t>
        </is>
      </c>
    </row>
    <row r="154" ht="20" customHeight="1">
      <c r="A154" s="57" t="n">
        <v>46286.54177332176</v>
      </c>
      <c r="B154" s="16" t="inlineStr">
        <is>
          <t>3. This Month (Sep 2026)</t>
        </is>
      </c>
      <c r="C154" s="14" t="inlineStr">
        <is>
          <t>Housing.com (Vastrapur)</t>
        </is>
      </c>
      <c r="D154" s="14" t="inlineStr">
        <is>
          <t>Kk (9773497204)</t>
        </is>
      </c>
      <c r="E154" s="14" t="inlineStr">
        <is>
          <t>Unassigned</t>
        </is>
      </c>
      <c r="F154" s="14" t="inlineStr">
        <is>
          <t>Sales</t>
        </is>
      </c>
      <c r="G154" s="14" t="inlineStr">
        <is>
          <t>Rajan Purani</t>
        </is>
      </c>
      <c r="H154" s="14" t="inlineStr">
        <is>
          <t>Rejected (Budget Mismatch)</t>
        </is>
      </c>
      <c r="I154" s="14" t="inlineStr">
        <is>
          <t>vastrapur, 2bhk, semi furnished, 25k budget, bechlour | Transfer: vastrapur, 2bhk, semi furnished, 25k budget, bechlour | Transfer Note: vastrapur, 2bhk, semi furnished, 25k budget, bechlour | [Telecaller Key Points]: vastrapur, 2bhk, semi furnished, 25k budget, bechlour</t>
        </is>
      </c>
    </row>
    <row r="155" ht="20" customHeight="1">
      <c r="A155" s="58" t="n">
        <v>46286.51201158565</v>
      </c>
      <c r="B155" s="19" t="inlineStr">
        <is>
          <t>3. This Month (Sep 2026)</t>
        </is>
      </c>
      <c r="C155" s="17" t="inlineStr">
        <is>
          <t>Meta Ads (Gota)</t>
        </is>
      </c>
      <c r="D155" s="17" t="inlineStr">
        <is>
          <t>Mahashkti (7211141355)</t>
        </is>
      </c>
      <c r="E155" s="17" t="inlineStr">
        <is>
          <t>Zeel Mudaliyar</t>
        </is>
      </c>
      <c r="F155" s="17" t="inlineStr">
        <is>
          <t>Rejected / Lost</t>
        </is>
      </c>
      <c r="G155" s="17" t="inlineStr">
        <is>
          <t>Rakesh Jadav</t>
        </is>
      </c>
      <c r="H155" s="17" t="inlineStr">
        <is>
          <t>Rejected (Locality Mismatch)</t>
        </is>
      </c>
      <c r="I155" s="17" t="inlineStr">
        <is>
          <t>Looking for 2bhk in Gota,Sola,New Ranip, Science city. Budget is 30k | Transfer: Looking for 2bhk in Gota,Sola,New Ranip, Science city. Budget is 30k | Transfer Note: Looking for 2bhk in Gota,Sola,New Ranip, Science city. Budget is 30k | Followup: akshar valo option send kryo che | CRM: 1,2 nd flore prefrence only sola scince ccity and raanip locatin as per market buget | CRM Followup: akshar valo option send kryo che | 1,2 nd flore prefrence only sola scince ccity and raanip locatin as per market buget</t>
        </is>
      </c>
    </row>
    <row r="156" ht="20" customHeight="1">
      <c r="A156" s="57" t="n">
        <v>46286.50816520833</v>
      </c>
      <c r="B156" s="16" t="inlineStr">
        <is>
          <t>3. This Month (Sep 2026)</t>
        </is>
      </c>
      <c r="C156" s="14" t="inlineStr">
        <is>
          <t>Meta Ads (NB Pearl Heights)</t>
        </is>
      </c>
      <c r="D156" s="14" t="inlineStr">
        <is>
          <t>Sumeet (7769851426)</t>
        </is>
      </c>
      <c r="E156" s="14" t="inlineStr">
        <is>
          <t>Zeel Mudaliyar</t>
        </is>
      </c>
      <c r="F156" s="14" t="inlineStr">
        <is>
          <t>Rejected / Lost</t>
        </is>
      </c>
      <c r="G156" s="14" t="inlineStr">
        <is>
          <t>Rakesh Jadav</t>
        </is>
      </c>
      <c r="H156" s="14" t="inlineStr">
        <is>
          <t>Rejected (Already Rented)</t>
        </is>
      </c>
      <c r="I156" s="14" t="inlineStr">
        <is>
          <t>Interested for NB Pearl Heights | Transfer: Interested for NB Pearl Heights | Transfer Note: Interested for NB Pearl Heights | Followup: amne pearl hight nidetail send kari che samethi kese visit mate 1 2 divas ma | CRM: [Telecaller Key Points]: Interested for NB Pearl Heights | CRM Followup: amne pearl hight nidetail send kari che samethi kese visit mate 1 2 divas ma | [Telecaller Key Points]: Interested for NB Pearl Heights</t>
        </is>
      </c>
    </row>
    <row r="157" ht="20" customHeight="1">
      <c r="A157" s="58" t="n">
        <v>46286.50361233796</v>
      </c>
      <c r="B157" s="19" t="inlineStr">
        <is>
          <t>3. This Month (Sep 2026)</t>
        </is>
      </c>
      <c r="C157" s="17" t="inlineStr">
        <is>
          <t>Direct / Manual</t>
        </is>
      </c>
      <c r="D157" s="17" t="inlineStr">
        <is>
          <t>Manisha Upadhyay (9409715092)</t>
        </is>
      </c>
      <c r="E157" s="17" t="inlineStr">
        <is>
          <t>Unassigned</t>
        </is>
      </c>
      <c r="F157" s="17" t="inlineStr">
        <is>
          <t>Sales</t>
        </is>
      </c>
      <c r="G157" s="17" t="inlineStr">
        <is>
          <t>Rajan Purani</t>
        </is>
      </c>
      <c r="H157" s="17" t="inlineStr">
        <is>
          <t>New</t>
        </is>
      </c>
      <c r="I157" s="17" t="inlineStr">
        <is>
          <t>2 BHK semi furnished joye che vastrapur memnagar budget 25k | CRM: 2 BHK semi furnished joye che vastrapur memnagar budget 25k | 2 BHK semi furnished flat joye che, chinmay tower, sarjan tower</t>
        </is>
      </c>
    </row>
    <row r="158" ht="20" customHeight="1">
      <c r="A158" s="57" t="n">
        <v>46286.49588046296</v>
      </c>
      <c r="B158" s="16" t="inlineStr">
        <is>
          <t>3. This Month (Sep 2026)</t>
        </is>
      </c>
      <c r="C158" s="14" t="inlineStr">
        <is>
          <t>Meta Ads (Naranpura)</t>
        </is>
      </c>
      <c r="D158" s="14" t="inlineStr">
        <is>
          <t>Sumit (7838936628)</t>
        </is>
      </c>
      <c r="E158" s="14" t="inlineStr">
        <is>
          <t>Zeel Mudaliyar</t>
        </is>
      </c>
      <c r="F158" s="14" t="inlineStr">
        <is>
          <t>Sales</t>
        </is>
      </c>
      <c r="G158" s="14" t="inlineStr">
        <is>
          <t>Somel Rathod</t>
        </is>
      </c>
      <c r="H158" s="14" t="inlineStr">
        <is>
          <t>Deal Won</t>
        </is>
      </c>
      <c r="I158" s="14" t="inlineStr">
        <is>
          <t>commercial lead
[21 Sep '26, 12:20 PM] visit &amp; Deal done - 19/09/2026 | Transfer: commercial lead | Transfer Note: commercial lead | CRM: [Telecaller Key Points]: commercial lead | [Telecaller Key Points]: commercial lead</t>
        </is>
      </c>
    </row>
    <row r="159" ht="20" customHeight="1">
      <c r="A159" s="58" t="n">
        <v>46286.479275625</v>
      </c>
      <c r="B159" s="19" t="inlineStr">
        <is>
          <t>3. This Month (Sep 2026)</t>
        </is>
      </c>
      <c r="C159" s="17" t="inlineStr">
        <is>
          <t>Housing.com (Science City)</t>
        </is>
      </c>
      <c r="D159" s="17" t="inlineStr">
        <is>
          <t>Yogesh (9998772430)</t>
        </is>
      </c>
      <c r="E159" s="17" t="inlineStr">
        <is>
          <t>Zeel Mudaliyar</t>
        </is>
      </c>
      <c r="F159" s="17" t="inlineStr">
        <is>
          <t>CNR (Could Not Reach)</t>
        </is>
      </c>
      <c r="G159" s="17" t="inlineStr">
        <is>
          <t>Not Assigned</t>
        </is>
      </c>
      <c r="H159" s="17" t="inlineStr">
        <is>
          <t>N/A (Not Assigned)</t>
        </is>
      </c>
      <c r="I159" s="17" t="inlineStr">
        <is>
          <t>-</t>
        </is>
      </c>
    </row>
    <row r="160" ht="20" customHeight="1">
      <c r="A160" s="57" t="n">
        <v>46285.94802086805</v>
      </c>
      <c r="B160" s="16" t="inlineStr">
        <is>
          <t>3. This Month (Sep 2026)</t>
        </is>
      </c>
      <c r="C160" s="14" t="inlineStr">
        <is>
          <t>Housing.com (NB Pearl Heights)</t>
        </is>
      </c>
      <c r="D160" s="14" t="inlineStr">
        <is>
          <t>Sumeet (7769851426)</t>
        </is>
      </c>
      <c r="E160" s="14" t="inlineStr">
        <is>
          <t>Zeel Mudaliyar</t>
        </is>
      </c>
      <c r="F160" s="14" t="inlineStr">
        <is>
          <t>Sales</t>
        </is>
      </c>
      <c r="G160" s="14" t="inlineStr">
        <is>
          <t>Rakesh Jadav</t>
        </is>
      </c>
      <c r="H160" s="14" t="inlineStr">
        <is>
          <t>Rejected (Already Rented)</t>
        </is>
      </c>
      <c r="I160" s="14" t="inlineStr">
        <is>
          <t>Interested for NB Pearl Heights | Transfer: Interested for NB Pearl Heights | Transfer Note: Interested for NB Pearl Heights | [Telecaller Key Points]: Interested for NB Pearl Heights</t>
        </is>
      </c>
    </row>
    <row r="161" ht="20" customHeight="1">
      <c r="A161" s="58" t="n">
        <v>46285.87510356482</v>
      </c>
      <c r="B161" s="19" t="inlineStr">
        <is>
          <t>3. This Month (Sep 2026)</t>
        </is>
      </c>
      <c r="C161" s="17" t="inlineStr">
        <is>
          <t>Housing.com (Gota)</t>
        </is>
      </c>
      <c r="D161" s="17" t="inlineStr">
        <is>
          <t>Mahashkti (7211141355)</t>
        </is>
      </c>
      <c r="E161" s="17" t="inlineStr">
        <is>
          <t>Zeel Mudaliyar</t>
        </is>
      </c>
      <c r="F161" s="17" t="inlineStr">
        <is>
          <t>Sales</t>
        </is>
      </c>
      <c r="G161" s="17" t="inlineStr">
        <is>
          <t>Rakesh Jadav</t>
        </is>
      </c>
      <c r="H161" s="17" t="inlineStr">
        <is>
          <t>Rejected (Locality Mismatch)</t>
        </is>
      </c>
      <c r="I161" s="17" t="inlineStr">
        <is>
          <t>Looking for 2bhk in Gota,Sola,New Ranip, Science city. Budget is 30k | Transfer: Looking for 2bhk in Gota,Sola,New Ranip, Science city. Budget is 30k | Transfer Note: Looking for 2bhk in Gota,Sola,New Ranip, Science city. Budget is 30k | 1,2 nd flore prefrence only sola scince ccity and raanip locatin as per market buget</t>
        </is>
      </c>
    </row>
    <row r="162" ht="20" customHeight="1">
      <c r="A162" s="57" t="n">
        <v>46285.72926721065</v>
      </c>
      <c r="B162" s="16" t="inlineStr">
        <is>
          <t>3. This Month (Sep 2026)</t>
        </is>
      </c>
      <c r="C162" s="14" t="inlineStr">
        <is>
          <t>Housing.com (Sharanya Altura)</t>
        </is>
      </c>
      <c r="D162" s="14" t="inlineStr">
        <is>
          <t>Rujuta (9403041611)</t>
        </is>
      </c>
      <c r="E162" s="14" t="inlineStr">
        <is>
          <t>Zeel Mudaliyar</t>
        </is>
      </c>
      <c r="F162" s="14" t="inlineStr">
        <is>
          <t>Rejected (Not_Interested)</t>
        </is>
      </c>
      <c r="G162" s="14" t="inlineStr">
        <is>
          <t>Not Assigned</t>
        </is>
      </c>
      <c r="H162" s="14" t="inlineStr">
        <is>
          <t>N/A (Not Assigned)</t>
        </is>
      </c>
      <c r="I162" s="14" t="inlineStr">
        <is>
          <t>Bought elsewhere | Rejection: NOT_INTERESTED | Followup: office hai so after call</t>
        </is>
      </c>
    </row>
    <row r="163" ht="20" customHeight="1">
      <c r="A163" s="58" t="n">
        <v>46285.64593768519</v>
      </c>
      <c r="B163" s="19" t="inlineStr">
        <is>
          <t>3. This Month (Sep 2026)</t>
        </is>
      </c>
      <c r="C163" s="17" t="inlineStr">
        <is>
          <t>Housing.com (South Bopal)</t>
        </is>
      </c>
      <c r="D163" s="17" t="inlineStr">
        <is>
          <t>Husen Paraliya (9106014689)</t>
        </is>
      </c>
      <c r="E163" s="17" t="inlineStr">
        <is>
          <t>Zeel Mudaliyar</t>
        </is>
      </c>
      <c r="F163" s="17" t="inlineStr">
        <is>
          <t>CNR (Could Not Reach)</t>
        </is>
      </c>
      <c r="G163" s="17" t="inlineStr">
        <is>
          <t>Not Assigned</t>
        </is>
      </c>
      <c r="H163" s="17" t="inlineStr">
        <is>
          <t>N/A (Not Assigned)</t>
        </is>
      </c>
      <c r="I163" s="17" t="inlineStr">
        <is>
          <t>-</t>
        </is>
      </c>
    </row>
    <row r="164" ht="20" customHeight="1">
      <c r="A164" s="57" t="n">
        <v>46285.63551774305</v>
      </c>
      <c r="B164" s="16" t="inlineStr">
        <is>
          <t>3. This Month (Sep 2026)</t>
        </is>
      </c>
      <c r="C164" s="14" t="inlineStr">
        <is>
          <t>Housing.com (Palash Prime)</t>
        </is>
      </c>
      <c r="D164" s="14" t="inlineStr">
        <is>
          <t>Vishwa Shingadia (9904556210)</t>
        </is>
      </c>
      <c r="E164" s="14" t="inlineStr">
        <is>
          <t>Zeel Mudaliyar</t>
        </is>
      </c>
      <c r="F164" s="14" t="inlineStr">
        <is>
          <t>CNR (Could Not Reach)</t>
        </is>
      </c>
      <c r="G164" s="14" t="inlineStr">
        <is>
          <t>Not Assigned</t>
        </is>
      </c>
      <c r="H164" s="14" t="inlineStr">
        <is>
          <t>N/A (Not Assigned)</t>
        </is>
      </c>
      <c r="I164" s="14" t="inlineStr">
        <is>
          <t>-</t>
        </is>
      </c>
    </row>
    <row r="165" ht="20" customHeight="1">
      <c r="A165" s="58" t="n">
        <v>46285.58343715277</v>
      </c>
      <c r="B165" s="19" t="inlineStr">
        <is>
          <t>3. This Month (Sep 2026)</t>
        </is>
      </c>
      <c r="C165" s="17" t="inlineStr">
        <is>
          <t>Housing.com (Memnagar)</t>
        </is>
      </c>
      <c r="D165" s="17" t="inlineStr">
        <is>
          <t>Nirav Rawat (9714425754)</t>
        </is>
      </c>
      <c r="E165" s="17" t="inlineStr">
        <is>
          <t>Zeel Mudaliyar</t>
        </is>
      </c>
      <c r="F165" s="17" t="inlineStr">
        <is>
          <t>Sales</t>
        </is>
      </c>
      <c r="G165" s="17" t="inlineStr">
        <is>
          <t>Viral Jadeja</t>
        </is>
      </c>
      <c r="H165" s="17" t="inlineStr">
        <is>
          <t>Assigned</t>
        </is>
      </c>
      <c r="I165" s="17" t="inlineStr">
        <is>
          <t>narayanpura, shop, 25k budget | Transfer: narayanpura, shop, 25k budget | Transfer Note: narayanpura, shop, 25k budget | [Telecaller Key Points]: narayanpura, shop, 25k budget</t>
        </is>
      </c>
    </row>
    <row r="166" ht="20" customHeight="1">
      <c r="A166" s="57" t="n">
        <v>46285.46565175926</v>
      </c>
      <c r="B166" s="16" t="inlineStr">
        <is>
          <t>3. This Month (Sep 2026)</t>
        </is>
      </c>
      <c r="C166" s="14" t="inlineStr">
        <is>
          <t>Meta Ads (NB PropertyTech Survey Ad 3108)</t>
        </is>
      </c>
      <c r="D166" s="14" t="inlineStr">
        <is>
          <t>Rima Miglani (9825562302)</t>
        </is>
      </c>
      <c r="E166" s="14" t="inlineStr">
        <is>
          <t>Zeel Mudaliyar</t>
        </is>
      </c>
      <c r="F166" s="14" t="inlineStr">
        <is>
          <t>CNR (Could Not Reach)</t>
        </is>
      </c>
      <c r="G166" s="14" t="inlineStr">
        <is>
          <t>Not Assigned</t>
        </is>
      </c>
      <c r="H166" s="14" t="inlineStr">
        <is>
          <t>N/A (Not Assigned)</t>
        </is>
      </c>
      <c r="I166" s="14" t="inlineStr">
        <is>
          <t>-</t>
        </is>
      </c>
    </row>
    <row r="167" ht="20" customHeight="1">
      <c r="A167" s="58" t="n">
        <v>46285.46565040509</v>
      </c>
      <c r="B167" s="19" t="inlineStr">
        <is>
          <t>3. This Month (Sep 2026)</t>
        </is>
      </c>
      <c r="C167" s="17" t="inlineStr">
        <is>
          <t>Meta Ads (NB PropertyTech Survey Ad 3108)</t>
        </is>
      </c>
      <c r="D167" s="17" t="inlineStr">
        <is>
          <t>Samirsinh (9023359664)</t>
        </is>
      </c>
      <c r="E167" s="17" t="inlineStr">
        <is>
          <t>Zeel Mudaliyar</t>
        </is>
      </c>
      <c r="F167" s="17" t="inlineStr">
        <is>
          <t>CNR (Could Not Reach)</t>
        </is>
      </c>
      <c r="G167" s="17" t="inlineStr">
        <is>
          <t>Not Assigned</t>
        </is>
      </c>
      <c r="H167" s="17" t="inlineStr">
        <is>
          <t>N/A (Not Assigned)</t>
        </is>
      </c>
      <c r="I167" s="17" t="inlineStr">
        <is>
          <t>-</t>
        </is>
      </c>
    </row>
    <row r="168" ht="20" customHeight="1">
      <c r="A168" s="57" t="n">
        <v>46285.46564890046</v>
      </c>
      <c r="B168" s="16" t="inlineStr">
        <is>
          <t>3. This Month (Sep 2026)</t>
        </is>
      </c>
      <c r="C168" s="14" t="inlineStr">
        <is>
          <t>Meta Ads (NB PropertyTech Survey Ad 3108)</t>
        </is>
      </c>
      <c r="D168" s="14" t="inlineStr">
        <is>
          <t>Maitree Yadav (9104915966)</t>
        </is>
      </c>
      <c r="E168" s="14" t="inlineStr">
        <is>
          <t>Prexa Vithalapara</t>
        </is>
      </c>
      <c r="F168" s="14" t="inlineStr">
        <is>
          <t>Rejected (Not_Interested)</t>
        </is>
      </c>
      <c r="G168" s="14" t="inlineStr">
        <is>
          <t>Not Assigned</t>
        </is>
      </c>
      <c r="H168" s="14" t="inlineStr">
        <is>
          <t>N/A (Not Assigned)</t>
        </is>
      </c>
      <c r="I168" s="14" t="inlineStr">
        <is>
          <t>Req 1BHK | Rejection: NOT_INTERESTED</t>
        </is>
      </c>
    </row>
    <row r="169" ht="20" customHeight="1">
      <c r="A169" s="58" t="n">
        <v>46285.46564696759</v>
      </c>
      <c r="B169" s="19" t="inlineStr">
        <is>
          <t>3. This Month (Sep 2026)</t>
        </is>
      </c>
      <c r="C169" s="17" t="inlineStr">
        <is>
          <t>Meta Ads (NB PropertyTech Survey Ad 3108)</t>
        </is>
      </c>
      <c r="D169" s="17" t="inlineStr">
        <is>
          <t>Brindaba Rathod (7490083888)</t>
        </is>
      </c>
      <c r="E169" s="17" t="inlineStr">
        <is>
          <t>Zeel Mudaliyar</t>
        </is>
      </c>
      <c r="F169" s="17" t="inlineStr">
        <is>
          <t>Rejected (Not_Interested)</t>
        </is>
      </c>
      <c r="G169" s="17" t="inlineStr">
        <is>
          <t>Not Assigned</t>
        </is>
      </c>
      <c r="H169" s="17" t="inlineStr">
        <is>
          <t>N/A (Not Assigned)</t>
        </is>
      </c>
      <c r="I169" s="17" t="inlineStr">
        <is>
          <t>Not required | Rejection: NOT_INTERESTED | Followup: South Bopal,25-30k budget, furnished, family</t>
        </is>
      </c>
    </row>
    <row r="170" ht="20" customHeight="1">
      <c r="A170" s="57" t="n">
        <v>46285.46564547453</v>
      </c>
      <c r="B170" s="16" t="inlineStr">
        <is>
          <t>3. This Month (Sep 2026)</t>
        </is>
      </c>
      <c r="C170" s="14" t="inlineStr">
        <is>
          <t>Meta Ads (NB PropertyTech Survey Ad 3108)</t>
        </is>
      </c>
      <c r="D170" s="14" t="inlineStr">
        <is>
          <t>Bakul Shah (9825337437)</t>
        </is>
      </c>
      <c r="E170" s="14" t="inlineStr">
        <is>
          <t>Zeel Mudaliyar</t>
        </is>
      </c>
      <c r="F170" s="14" t="inlineStr">
        <is>
          <t>CNR (Could Not Reach)</t>
        </is>
      </c>
      <c r="G170" s="14" t="inlineStr">
        <is>
          <t>Not Assigned</t>
        </is>
      </c>
      <c r="H170" s="14" t="inlineStr">
        <is>
          <t>N/A (Not Assigned)</t>
        </is>
      </c>
      <c r="I170" s="14" t="inlineStr">
        <is>
          <t>-</t>
        </is>
      </c>
    </row>
    <row r="171" ht="20" customHeight="1">
      <c r="A171" s="58" t="n">
        <v>46285.46564408565</v>
      </c>
      <c r="B171" s="19" t="inlineStr">
        <is>
          <t>3. This Month (Sep 2026)</t>
        </is>
      </c>
      <c r="C171" s="17" t="inlineStr">
        <is>
          <t>Meta Ads (NB PropertyTech Survey Ad 3108)</t>
        </is>
      </c>
      <c r="D171" s="17" t="inlineStr">
        <is>
          <t>Sumit (9950645574)</t>
        </is>
      </c>
      <c r="E171" s="17" t="inlineStr">
        <is>
          <t>Zeel Mudaliyar</t>
        </is>
      </c>
      <c r="F171" s="17" t="inlineStr">
        <is>
          <t>CNR (Could Not Reach)</t>
        </is>
      </c>
      <c r="G171" s="17" t="inlineStr">
        <is>
          <t>Not Assigned</t>
        </is>
      </c>
      <c r="H171" s="17" t="inlineStr">
        <is>
          <t>N/A (Not Assigned)</t>
        </is>
      </c>
      <c r="I171" s="17" t="inlineStr">
        <is>
          <t>-</t>
        </is>
      </c>
    </row>
    <row r="172" ht="20" customHeight="1">
      <c r="A172" s="57" t="n">
        <v>46285.45880837963</v>
      </c>
      <c r="B172" s="16" t="inlineStr">
        <is>
          <t>3. This Month (Sep 2026)</t>
        </is>
      </c>
      <c r="C172" s="14" t="inlineStr">
        <is>
          <t>Meta Ads (NB PropertyTech Survey Ad 3108)</t>
        </is>
      </c>
      <c r="D172" s="14" t="inlineStr">
        <is>
          <t>Jayesh Pandya (8780584456)</t>
        </is>
      </c>
      <c r="E172" s="14" t="inlineStr">
        <is>
          <t>Prexa Vithalapara</t>
        </is>
      </c>
      <c r="F172" s="14" t="inlineStr">
        <is>
          <t>Sales</t>
        </is>
      </c>
      <c r="G172" s="14" t="inlineStr">
        <is>
          <t>Viral Jadeja</t>
        </is>
      </c>
      <c r="H172" s="14" t="inlineStr">
        <is>
          <t>Assigned</t>
        </is>
      </c>
      <c r="I172" s="14" t="inlineStr">
        <is>
          <t>Req bodkavev panjrapod aambavadi vstrapur,2BHK, semifurnished, 20k budget, family | Transfer: Req bodkavev panjrapod aambavadi vstrapur,2BHK, semifurnished, 20k budget, family | Transfer Note: Req bodkavev panjrapod aambavadi vstrapur,2BHK, semifurnished, 20k budget, family | CRM: [Telecaller Key Points]: Req bodkavev panjrapod aambavadi vstrapur,2BHK, semifurnished, 20k budget, family | [Telecaller Key Points]: Req bodkavev panjrapod aambavadi vstrapur,2BHK, semifurnished, 20k budget, family</t>
        </is>
      </c>
    </row>
    <row r="173" ht="20" customHeight="1">
      <c r="A173" s="58" t="n">
        <v>46285.45554233796</v>
      </c>
      <c r="B173" s="19" t="inlineStr">
        <is>
          <t>3. This Month (Sep 2026)</t>
        </is>
      </c>
      <c r="C173" s="17" t="inlineStr">
        <is>
          <t>Direct / Manual</t>
        </is>
      </c>
      <c r="D173" s="17" t="inlineStr">
        <is>
          <t>Samir Raval (8128499419)</t>
        </is>
      </c>
      <c r="E173" s="17" t="inlineStr">
        <is>
          <t>Unassigned</t>
        </is>
      </c>
      <c r="F173" s="17" t="inlineStr">
        <is>
          <t>Site Visit Scheduled</t>
        </is>
      </c>
      <c r="G173" s="17" t="inlineStr">
        <is>
          <t>Rajan Purani</t>
        </is>
      </c>
      <c r="H173" s="17" t="inlineStr">
        <is>
          <t>Site Visit Done</t>
        </is>
      </c>
      <c r="I173" s="17" t="inlineStr">
        <is>
          <t>[20 Sep '26, 1:12 PM] Visit done 4 BHk Bungalow sahjanand status and heritage bungalow bija options batava gota  vaishnodevi said pan chale 50k sundhi ma joye che furnished
[20 Sep '26, 1:13 PM] options search kari ne visit karavi amne diwali ma amnu bungalow renovated kare che toh ana 1 mnth  pahela joye che
[20 Sep '26, 1:14 PM] options search kari ne visit karavi amne diwali ma amnu bungalow renovated kare che toh ana 1 mnth  pahela joye che | Followup: Today visit sahjanand status bungalow | CRM: 3,4 BHK fully furnished flat joye che 50k ma all ready add my connected | CRM Followup: Today visit sahjanand status bungalow | 3,4 BHK fully furnished flat joye che 50k ma all ready add my connected</t>
        </is>
      </c>
    </row>
    <row r="174" ht="20" customHeight="1">
      <c r="A174" s="57" t="n">
        <v>46285.37510189815</v>
      </c>
      <c r="B174" s="16" t="inlineStr">
        <is>
          <t>3. This Month (Sep 2026)</t>
        </is>
      </c>
      <c r="C174" s="14" t="inlineStr">
        <is>
          <t>Housing.com (Gota)</t>
        </is>
      </c>
      <c r="D174" s="14" t="inlineStr">
        <is>
          <t>Suraj Silawat (9201412943)</t>
        </is>
      </c>
      <c r="E174" s="14" t="inlineStr">
        <is>
          <t>Zeel Mudaliyar</t>
        </is>
      </c>
      <c r="F174" s="14" t="inlineStr">
        <is>
          <t>CNR (Could Not Reach)</t>
        </is>
      </c>
      <c r="G174" s="14" t="inlineStr">
        <is>
          <t>Not Assigned</t>
        </is>
      </c>
      <c r="H174" s="14" t="inlineStr">
        <is>
          <t>N/A (Not Assigned)</t>
        </is>
      </c>
      <c r="I174" s="14" t="inlineStr">
        <is>
          <t>-</t>
        </is>
      </c>
    </row>
    <row r="175" ht="20" customHeight="1">
      <c r="A175" s="58" t="n">
        <v>46284.90634994213</v>
      </c>
      <c r="B175" s="19" t="inlineStr">
        <is>
          <t>3. This Month (Sep 2026)</t>
        </is>
      </c>
      <c r="C175" s="17" t="inlineStr">
        <is>
          <t>Housing.com (Naranpura)</t>
        </is>
      </c>
      <c r="D175" s="17" t="inlineStr">
        <is>
          <t>Valaki Gopal (8799138083)</t>
        </is>
      </c>
      <c r="E175" s="17" t="inlineStr">
        <is>
          <t>Zeel Mudaliyar</t>
        </is>
      </c>
      <c r="F175" s="17" t="inlineStr">
        <is>
          <t>Rejected / Lost</t>
        </is>
      </c>
      <c r="G175" s="17" t="inlineStr">
        <is>
          <t>Not Assigned</t>
        </is>
      </c>
      <c r="H175" s="17" t="inlineStr">
        <is>
          <t>N/A (Not Assigned)</t>
        </is>
      </c>
      <c r="I175" s="17" t="inlineStr">
        <is>
          <t>-</t>
        </is>
      </c>
    </row>
    <row r="176" ht="20" customHeight="1">
      <c r="A176" s="57" t="n">
        <v>46284.85426623843</v>
      </c>
      <c r="B176" s="16" t="inlineStr">
        <is>
          <t>3. This Month (Sep 2026)</t>
        </is>
      </c>
      <c r="C176" s="14" t="inlineStr">
        <is>
          <t>Housing.com (South Bopal)</t>
        </is>
      </c>
      <c r="D176" s="14" t="inlineStr">
        <is>
          <t>Akil Vohra (9327769003)</t>
        </is>
      </c>
      <c r="E176" s="14" t="inlineStr">
        <is>
          <t>Prexa Vithalapara</t>
        </is>
      </c>
      <c r="F176" s="14" t="inlineStr">
        <is>
          <t>Sales</t>
        </is>
      </c>
      <c r="G176" s="14" t="inlineStr">
        <is>
          <t>Viral Jadeja</t>
        </is>
      </c>
      <c r="H176" s="14" t="inlineStr">
        <is>
          <t>Assigned</t>
        </is>
      </c>
      <c r="I176" s="14" t="inlineStr">
        <is>
          <t>satelite, bopal, shop, 600sq, 30-35k budget | Transfer: satelite, bopal, shop, 600sq, 30-35k budget | Transfer Note: satelite, bopal, shop, 600sq, 30-35k budget | [Telecaller Key Points]: satelite, bopal, shop, 600sq, 30-35k budget</t>
        </is>
      </c>
    </row>
    <row r="177" ht="20" customHeight="1">
      <c r="A177" s="58" t="n">
        <v>46284.78135070602</v>
      </c>
      <c r="B177" s="19" t="inlineStr">
        <is>
          <t>3. This Month (Sep 2026)</t>
        </is>
      </c>
      <c r="C177" s="17" t="inlineStr">
        <is>
          <t>Housing.com (Nava Vadaj)</t>
        </is>
      </c>
      <c r="D177" s="17" t="inlineStr">
        <is>
          <t>Rajendra (9824080888)</t>
        </is>
      </c>
      <c r="E177" s="17" t="inlineStr">
        <is>
          <t>Zeel Mudaliyar</t>
        </is>
      </c>
      <c r="F177" s="17" t="inlineStr">
        <is>
          <t>CNR (Could Not Reach)</t>
        </is>
      </c>
      <c r="G177" s="17" t="inlineStr">
        <is>
          <t>Not Assigned</t>
        </is>
      </c>
      <c r="H177" s="17" t="inlineStr">
        <is>
          <t>N/A (Not Assigned)</t>
        </is>
      </c>
      <c r="I177" s="17" t="inlineStr">
        <is>
          <t>-</t>
        </is>
      </c>
    </row>
    <row r="178" ht="20" customHeight="1">
      <c r="A178" s="57" t="n">
        <v>46284.63586800926</v>
      </c>
      <c r="B178" s="16" t="inlineStr">
        <is>
          <t>3. This Month (Sep 2026)</t>
        </is>
      </c>
      <c r="C178" s="14" t="inlineStr">
        <is>
          <t>Direct / Manual</t>
        </is>
      </c>
      <c r="D178" s="14" t="inlineStr">
        <is>
          <t>Jenith Bhai (7621834494)</t>
        </is>
      </c>
      <c r="E178" s="14" t="inlineStr">
        <is>
          <t>Unassigned</t>
        </is>
      </c>
      <c r="F178" s="14" t="inlineStr">
        <is>
          <t>Rejected / Lost</t>
        </is>
      </c>
      <c r="G178" s="14" t="inlineStr">
        <is>
          <t>Rajan Purani</t>
        </is>
      </c>
      <c r="H178" s="14" t="inlineStr">
        <is>
          <t>Rejected (No Requirement)</t>
        </is>
      </c>
      <c r="I178" s="14" t="inlineStr">
        <is>
          <t>[20 Sep '26, 1:14 PM] today visit schadual but jenitha bhai call is not responding wp msg drop
[21 Sep '26, 12:02 PM] amne rent par lai lidhu che | CRM: 2 BHK semi furnished apartment joyee rahya che 22k ma | 2 BHK semi furnished apartment joyee rahya che 22k ma</t>
        </is>
      </c>
    </row>
    <row r="179" ht="20" customHeight="1">
      <c r="A179" s="58" t="n">
        <v>46284.61331817129</v>
      </c>
      <c r="B179" s="19" t="inlineStr">
        <is>
          <t>3. This Month (Sep 2026)</t>
        </is>
      </c>
      <c r="C179" s="17" t="inlineStr">
        <is>
          <t>Direct / Manual</t>
        </is>
      </c>
      <c r="D179" s="17" t="inlineStr">
        <is>
          <t>Megha Gaurav Radia (8450920927)</t>
        </is>
      </c>
      <c r="E179" s="17" t="inlineStr">
        <is>
          <t>Unassigned</t>
        </is>
      </c>
      <c r="F179" s="17" t="inlineStr">
        <is>
          <t>Sales</t>
        </is>
      </c>
      <c r="G179" s="17" t="inlineStr">
        <is>
          <t>Rakesh Jadav</t>
        </is>
      </c>
      <c r="H179" s="17" t="inlineStr">
        <is>
          <t>Re-Followup</t>
        </is>
      </c>
      <c r="I179" s="17" t="inlineStr">
        <is>
          <t>2 Bhk, Rent 20k, for family, requires as soon, semi furnished, Shilaj and 5-7 km radius | Followup: amne silver vibraant 1 no option send kryo che | CRM: 2 Bhk, Rent 20k, for family, requires as soon, semi furnished, Shilaj and 5-7 km radius | CRM Followup: amne silver vibraant 1 no option send kryo che</t>
        </is>
      </c>
    </row>
    <row r="180" ht="20" customHeight="1">
      <c r="A180" s="57" t="n">
        <v>46284.59866443287</v>
      </c>
      <c r="B180" s="16" t="inlineStr">
        <is>
          <t>3. This Month (Sep 2026)</t>
        </is>
      </c>
      <c r="C180" s="14" t="inlineStr">
        <is>
          <t>Meta Ads (NB PropertyTech Survey Ad 3108)</t>
        </is>
      </c>
      <c r="D180" s="14" t="inlineStr">
        <is>
          <t>Jayesh Pandya (8780584456)</t>
        </is>
      </c>
      <c r="E180" s="14" t="inlineStr">
        <is>
          <t>Prexa Vithalapara</t>
        </is>
      </c>
      <c r="F180" s="14" t="inlineStr">
        <is>
          <t>Sales</t>
        </is>
      </c>
      <c r="G180" s="14" t="inlineStr">
        <is>
          <t>Viral Jadeja</t>
        </is>
      </c>
      <c r="H180" s="14" t="inlineStr">
        <is>
          <t>Assigned</t>
        </is>
      </c>
      <c r="I180" s="14" t="inlineStr">
        <is>
          <t>Req bodkavev panjrapod aambavadi vstrapur,2BHK, semifurnished, 20k budget, family | Transfer: Req bodkavev panjrapod aambavadi vstrapur,2BHK, semifurnished, 20k budget, family | Transfer Note: Req bodkavev panjrapod aambavadi vstrapur,2BHK, semifurnished, 20k budget, family | [Telecaller Key Points]: Req bodkavev panjrapod aambavadi vstrapur,2BHK, semifurnished, 20k budget, family</t>
        </is>
      </c>
    </row>
    <row r="181" ht="20" customHeight="1">
      <c r="A181" s="58" t="n">
        <v>46284.58645943287</v>
      </c>
      <c r="B181" s="19" t="inlineStr">
        <is>
          <t>3. This Month (Sep 2026)</t>
        </is>
      </c>
      <c r="C181" s="17" t="inlineStr">
        <is>
          <t>Meta Ads (NB PropertyTech Survey Ad 3108)</t>
        </is>
      </c>
      <c r="D181" s="17" t="inlineStr">
        <is>
          <t>Rk Message First (9909988314)</t>
        </is>
      </c>
      <c r="E181" s="17" t="inlineStr">
        <is>
          <t>Zeel Mudaliyar</t>
        </is>
      </c>
      <c r="F181" s="17" t="inlineStr">
        <is>
          <t>Sales</t>
        </is>
      </c>
      <c r="G181" s="17" t="inlineStr">
        <is>
          <t>Rajan Purani</t>
        </is>
      </c>
      <c r="H181" s="17" t="inlineStr">
        <is>
          <t>Rejected (Budget Mismatch)</t>
        </is>
      </c>
      <c r="I181" s="17" t="inlineStr">
        <is>
          <t>Req pakvan, 2BHK, 20k budget, furnished, family
[19 Sep '26, 2:16 PM] 2 bhk 20k ma joye new property joye che bodakdev satellite ma, so close | Transfer: Req pakvan, 2BHK, 20k budget, furnished, family | Transfer Note: Req pakvan, 2BHK, 20k budget, furnished, family | Followup: 2 BHK fully furnished flat joye che new scheme ma bodakdev pakwan said budget 20k | CRM: [Telecaller Key Points]: Req pakvan, 2BHK, 20k budget, furnished, family | CRM Followup: 2 BHK fully furnished flat joye che new scheme ma bodakdev pakwan said budget 20k | [Telecaller Key Points]: Req pakvan, 2BHK, 20k budget, furnished, family</t>
        </is>
      </c>
    </row>
    <row r="182" ht="20" customHeight="1">
      <c r="A182" s="57" t="n">
        <v>46284.58640155093</v>
      </c>
      <c r="B182" s="16" t="inlineStr">
        <is>
          <t>3. This Month (Sep 2026)</t>
        </is>
      </c>
      <c r="C182" s="14" t="inlineStr">
        <is>
          <t>Meta Ads (Chanakyapuri)</t>
        </is>
      </c>
      <c r="D182" s="14" t="inlineStr">
        <is>
          <t>Housing User (7621834494)</t>
        </is>
      </c>
      <c r="E182" s="14" t="inlineStr">
        <is>
          <t>Prexa Vithalapara</t>
        </is>
      </c>
      <c r="F182" s="14" t="inlineStr">
        <is>
          <t>Sales</t>
        </is>
      </c>
      <c r="G182" s="14" t="inlineStr">
        <is>
          <t>Rakesh Jadav</t>
        </is>
      </c>
      <c r="H182" s="14" t="inlineStr">
        <is>
          <t>Rejected (No Requirement)</t>
        </is>
      </c>
      <c r="I182" s="14" t="inlineStr">
        <is>
          <t>Interested for the Madri Apartment memnagar want to visit as soon as possible after 06:00 pm . | Transfer: Interested for the Madri Apartment memnagar want to visit as soon as possible after 06:00 pm . | Transfer Note: Interested for the Madri Apartment memnagar want to visit as soon as possible after 06:00 pm . | Followup: cnr | CRM: [Telecaller Key Points]: Interested for the Madri Apartment memnagar want to visit as soon as possible after 06:00 pm . | CRM Followup: cnr | [Telecaller Key Points]: Interested for the Madri Apartment memnagar want to visit as soon as possible after 06:00 pm . | 2 BHK semi furnished apartment joyee rahya che 22k ma</t>
        </is>
      </c>
    </row>
    <row r="183" ht="20" customHeight="1">
      <c r="A183" s="58" t="n">
        <v>46284.54465809028</v>
      </c>
      <c r="B183" s="19" t="inlineStr">
        <is>
          <t>3. This Month (Sep 2026)</t>
        </is>
      </c>
      <c r="C183" s="17" t="inlineStr">
        <is>
          <t>Housing.com (Chanakyapuri)</t>
        </is>
      </c>
      <c r="D183" s="17" t="inlineStr">
        <is>
          <t>Housing User (7621834494)</t>
        </is>
      </c>
      <c r="E183" s="17" t="inlineStr">
        <is>
          <t>Prexa Vithalapara</t>
        </is>
      </c>
      <c r="F183" s="17" t="inlineStr">
        <is>
          <t>Sales</t>
        </is>
      </c>
      <c r="G183" s="17" t="inlineStr">
        <is>
          <t>Rakesh Jadav</t>
        </is>
      </c>
      <c r="H183" s="17" t="inlineStr">
        <is>
          <t>Rejected (No Requirement)</t>
        </is>
      </c>
      <c r="I183" s="17" t="inlineStr">
        <is>
          <t>Interested for the Madri Apartment memnagar want to visit as soon as possible after 06:00 pm . | Transfer: Interested for the Madri Apartment memnagar want to visit as soon as possible after 06:00 pm . | Transfer Note: Interested for the Madri Apartment memnagar want to visit as soon as possible after 06:00 pm . | 2 BHK semi furnished apartment joyee rahya che 22k ma</t>
        </is>
      </c>
    </row>
    <row r="184" ht="20" customHeight="1">
      <c r="A184" s="57" t="n">
        <v>46284.52075678241</v>
      </c>
      <c r="B184" s="16" t="inlineStr">
        <is>
          <t>3. This Month (Sep 2026)</t>
        </is>
      </c>
      <c r="C184" s="14" t="inlineStr">
        <is>
          <t>Meta Ads (Gota)</t>
        </is>
      </c>
      <c r="D184" s="14" t="inlineStr">
        <is>
          <t>Housing User (7874796623)</t>
        </is>
      </c>
      <c r="E184" s="14" t="inlineStr">
        <is>
          <t>Zeel Mudaliyar</t>
        </is>
      </c>
      <c r="F184" s="14" t="inlineStr">
        <is>
          <t>Sales</t>
        </is>
      </c>
      <c r="G184" s="14" t="inlineStr">
        <is>
          <t>Rajan Purani</t>
        </is>
      </c>
      <c r="H184" s="14" t="inlineStr">
        <is>
          <t>Rejected (Budget Mismatch)</t>
        </is>
      </c>
      <c r="I184" s="14" t="inlineStr">
        <is>
          <t>Client want property in Gota interested for Nirman Homes | Transfer: Client want property in Gota interested for Nirman Homes | Transfer Note: Client want property in Gota interested for Nirman Homes | CRM: [Telecaller Key Points]: Client want property in Gota interested for Nirman Homes | [Telecaller Key Points]: Client want property in Gota interested for Nirman Homes</t>
        </is>
      </c>
    </row>
    <row r="185" ht="20" customHeight="1">
      <c r="A185" s="58" t="n">
        <v>46284.51703076389</v>
      </c>
      <c r="B185" s="19" t="inlineStr">
        <is>
          <t>3. This Month (Sep 2026)</t>
        </is>
      </c>
      <c r="C185" s="17" t="inlineStr">
        <is>
          <t>Webhook API (NB PropertyTech Rental Ad 0408)</t>
        </is>
      </c>
      <c r="D185" s="17" t="inlineStr">
        <is>
          <t>Umang Bathani (8469017687)</t>
        </is>
      </c>
      <c r="E185" s="17" t="inlineStr">
        <is>
          <t>Prexa Vithalapara</t>
        </is>
      </c>
      <c r="F185" s="17" t="inlineStr">
        <is>
          <t>Sales</t>
        </is>
      </c>
      <c r="G185" s="17" t="inlineStr">
        <is>
          <t>Rakesh Jadav</t>
        </is>
      </c>
      <c r="H185" s="17" t="inlineStr">
        <is>
          <t>Follow-Up</t>
        </is>
      </c>
      <c r="I185" s="17" t="inlineStr">
        <is>
          <t>[Telecaller Key Points]: South bopal sela, 2bhk, 20-22k budget, furnished, family | Transfer: South bopal sela, 2bhk, 20-22k budget, furnished, family | Transfer Note: South bopal sela, 2bhk, 20-22k budget, furnished, family | Followup: amne December thi joiye to December ma passesetion male ava option apva | CRM: [Telecaller Key Points]: South bopal sela, 2bhk, 20-22k budget, furnished, family | CRM Followup: amne December thi joiye to December ma passesetion male ava option apva | South bopal sela, 2bhk, 20-22k budget, furnished, family</t>
        </is>
      </c>
    </row>
    <row r="186" ht="20" customHeight="1">
      <c r="A186" s="57" t="n">
        <v>46284.50092643518</v>
      </c>
      <c r="B186" s="16" t="inlineStr">
        <is>
          <t>3. This Month (Sep 2026)</t>
        </is>
      </c>
      <c r="C186" s="14" t="inlineStr">
        <is>
          <t>Meta Ads (NB PropertyTech Survey Ad 3108)</t>
        </is>
      </c>
      <c r="D186" s="14" t="inlineStr">
        <is>
          <t>Shashi Srivastava (9975114558)</t>
        </is>
      </c>
      <c r="E186" s="14" t="inlineStr">
        <is>
          <t>Prexa Vithalapara</t>
        </is>
      </c>
      <c r="F186" s="14" t="inlineStr">
        <is>
          <t>Site Visit Scheduled</t>
        </is>
      </c>
      <c r="G186" s="14" t="inlineStr">
        <is>
          <t>Rakesh Jadav</t>
        </is>
      </c>
      <c r="H186" s="14" t="inlineStr">
        <is>
          <t>Re-Followup</t>
        </is>
      </c>
      <c r="I186" s="14" t="inlineStr">
        <is>
          <t>[Telecaller Key Points]: Req south Bopal,sela,silaj , 2BHK, 18-22k budget, semi furnished, family | Transfer: Req south Bopal,sela,silaj , 2BHK, 18-22k budget, semi furnished, family | Transfer Note: Req south Bopal,sela,silaj , 2BHK, 18-22k budget, semi furnished, family | Followup: visit done maheer home 5 sun footprint and more | CRM: [Telecaller Key Points]: Req south Bopal,sela,silaj , 2BHK, 18-22k budget, semi furnished, family | CRM Followup: visit done maheer home 5 sun footprint and more | Req south Bopal,sela,silaj , 2BHK, 18-22k budget, semi furnished, family
[28 Sep '26, 5:06 PM] shela south bopal ma 6-7 option visit kaaraya 2 time viisit done</t>
        </is>
      </c>
    </row>
    <row r="187" ht="20" customHeight="1">
      <c r="A187" s="58" t="n">
        <v>46284.48295452546</v>
      </c>
      <c r="B187" s="19" t="inlineStr">
        <is>
          <t>3. This Month (Sep 2026)</t>
        </is>
      </c>
      <c r="C187" s="17" t="inlineStr">
        <is>
          <t>Direct / Manual</t>
        </is>
      </c>
      <c r="D187" s="17" t="inlineStr">
        <is>
          <t>Sugam Singh (7069265309)</t>
        </is>
      </c>
      <c r="E187" s="17" t="inlineStr">
        <is>
          <t>Unassigned</t>
        </is>
      </c>
      <c r="F187" s="17" t="inlineStr">
        <is>
          <t>Sales</t>
        </is>
      </c>
      <c r="G187" s="17" t="inlineStr">
        <is>
          <t>Rakesh Jadav</t>
        </is>
      </c>
      <c r="H187" s="17" t="inlineStr">
        <is>
          <t>Re-Followup</t>
        </is>
      </c>
      <c r="I187" s="17" t="inlineStr">
        <is>
          <t>2 bhk joiye semi furnished bed sofa ac joiye wardrop no electronic | Followup: cnr cnr option apva visit ma avse | CRM: 2 bhk joiye semi furnished bed sofa ac joiye wardrop no electronic | CRM Followup: cnr cnr option apva visit ma avse</t>
        </is>
      </c>
    </row>
    <row r="188" ht="20" customHeight="1">
      <c r="A188" s="57" t="n">
        <v>46284.47659729166</v>
      </c>
      <c r="B188" s="16" t="inlineStr">
        <is>
          <t>3. This Month (Sep 2026)</t>
        </is>
      </c>
      <c r="C188" s="14" t="inlineStr">
        <is>
          <t>Meta Ads (NB PropertyTech Survey Ad 3108)</t>
        </is>
      </c>
      <c r="D188" s="14" t="inlineStr">
        <is>
          <t>Panth Mehta (9033025292)</t>
        </is>
      </c>
      <c r="E188" s="14" t="inlineStr">
        <is>
          <t>Prexa Vithalapara</t>
        </is>
      </c>
      <c r="F188" s="14" t="inlineStr">
        <is>
          <t>CNR (Could Not Reach)</t>
        </is>
      </c>
      <c r="G188" s="14" t="inlineStr">
        <is>
          <t>Not Assigned</t>
        </is>
      </c>
      <c r="H188" s="14" t="inlineStr">
        <is>
          <t>N/A (Not Assigned)</t>
        </is>
      </c>
      <c r="I188" s="14" t="inlineStr">
        <is>
          <t>Transfer Note: Marked as CNR</t>
        </is>
      </c>
    </row>
    <row r="189" ht="20" customHeight="1">
      <c r="A189" s="58" t="n">
        <v>46284.47659613426</v>
      </c>
      <c r="B189" s="19" t="inlineStr">
        <is>
          <t>3. This Month (Sep 2026)</t>
        </is>
      </c>
      <c r="C189" s="17" t="inlineStr">
        <is>
          <t>Meta Ads (NB PropertyTech Survey Ad 3108)</t>
        </is>
      </c>
      <c r="D189" s="17" t="inlineStr">
        <is>
          <t>Drhani Chaudhary (9408182478)</t>
        </is>
      </c>
      <c r="E189" s="17" t="inlineStr">
        <is>
          <t>Prexa Vithalapara</t>
        </is>
      </c>
      <c r="F189" s="17" t="inlineStr">
        <is>
          <t>CNR (Could Not Reach)</t>
        </is>
      </c>
      <c r="G189" s="17" t="inlineStr">
        <is>
          <t>Not Assigned</t>
        </is>
      </c>
      <c r="H189" s="17" t="inlineStr">
        <is>
          <t>N/A (Not Assigned)</t>
        </is>
      </c>
      <c r="I189" s="17" t="inlineStr">
        <is>
          <t>Transfer Note: Marked as CNR</t>
        </is>
      </c>
    </row>
    <row r="190" ht="20" customHeight="1">
      <c r="A190" s="57" t="n">
        <v>46284.47659502314</v>
      </c>
      <c r="B190" s="16" t="inlineStr">
        <is>
          <t>3. This Month (Sep 2026)</t>
        </is>
      </c>
      <c r="C190" s="14" t="inlineStr">
        <is>
          <t>Meta Ads (NB PropertyTech Survey Ad 3108)</t>
        </is>
      </c>
      <c r="D190" s="14" t="inlineStr">
        <is>
          <t>Rk Message First (9909988314)</t>
        </is>
      </c>
      <c r="E190" s="14" t="inlineStr">
        <is>
          <t>Zeel Mudaliyar</t>
        </is>
      </c>
      <c r="F190" s="14" t="inlineStr">
        <is>
          <t>Sales</t>
        </is>
      </c>
      <c r="G190" s="14" t="inlineStr">
        <is>
          <t>Rajan Purani</t>
        </is>
      </c>
      <c r="H190" s="14" t="inlineStr">
        <is>
          <t>Rejected (Budget Mismatch)</t>
        </is>
      </c>
      <c r="I190" s="14" t="inlineStr">
        <is>
          <t>Req pakvan, 2BHK, 20k budget, furnished, family | Transfer: Req pakvan, 2BHK, 20k budget, furnished, family | Transfer Note: Req pakvan, 2BHK, 20k budget, furnished, family | [Telecaller Key Points]: Req pakvan, 2BHK, 20k budget, furnished, family</t>
        </is>
      </c>
    </row>
    <row r="191" ht="20" customHeight="1">
      <c r="A191" s="58" t="n">
        <v>46284.47659377315</v>
      </c>
      <c r="B191" s="19" t="inlineStr">
        <is>
          <t>3. This Month (Sep 2026)</t>
        </is>
      </c>
      <c r="C191" s="17" t="inlineStr">
        <is>
          <t>Meta Ads (NB PropertyTech Survey Ad 3108)</t>
        </is>
      </c>
      <c r="D191" s="17" t="inlineStr">
        <is>
          <t>Shital (9408888119)</t>
        </is>
      </c>
      <c r="E191" s="17" t="inlineStr">
        <is>
          <t>Zeel Mudaliyar</t>
        </is>
      </c>
      <c r="F191" s="17" t="inlineStr">
        <is>
          <t>CNR (Could Not Reach)</t>
        </is>
      </c>
      <c r="G191" s="17" t="inlineStr">
        <is>
          <t>Not Assigned</t>
        </is>
      </c>
      <c r="H191" s="17" t="inlineStr">
        <is>
          <t>N/A (Not Assigned)</t>
        </is>
      </c>
      <c r="I191" s="17" t="inlineStr">
        <is>
          <t>-</t>
        </is>
      </c>
    </row>
    <row r="192" ht="20" customHeight="1">
      <c r="A192" s="57" t="n">
        <v>46284.47659267361</v>
      </c>
      <c r="B192" s="16" t="inlineStr">
        <is>
          <t>3. This Month (Sep 2026)</t>
        </is>
      </c>
      <c r="C192" s="14" t="inlineStr">
        <is>
          <t>Meta Ads (NB PropertyTech Survey Ad 3108)</t>
        </is>
      </c>
      <c r="D192" s="14" t="inlineStr">
        <is>
          <t>Vivek Gupta (9983323399)</t>
        </is>
      </c>
      <c r="E192" s="14" t="inlineStr">
        <is>
          <t>Prexa Vithalapara</t>
        </is>
      </c>
      <c r="F192" s="14" t="inlineStr">
        <is>
          <t>CNR (Could Not Reach)</t>
        </is>
      </c>
      <c r="G192" s="14" t="inlineStr">
        <is>
          <t>Not Assigned</t>
        </is>
      </c>
      <c r="H192" s="14" t="inlineStr">
        <is>
          <t>N/A (Not Assigned)</t>
        </is>
      </c>
      <c r="I192" s="14" t="inlineStr">
        <is>
          <t>Transfer Note: Marked as CNR</t>
        </is>
      </c>
    </row>
    <row r="193" ht="20" customHeight="1">
      <c r="A193" s="58" t="n">
        <v>46284.47659137732</v>
      </c>
      <c r="B193" s="19" t="inlineStr">
        <is>
          <t>3. This Month (Sep 2026)</t>
        </is>
      </c>
      <c r="C193" s="17" t="inlineStr">
        <is>
          <t>Meta Ads (NB PropertyTech Survey Ad 3108)</t>
        </is>
      </c>
      <c r="D193" s="17" t="inlineStr">
        <is>
          <t>Deepti Pal (7905497455)</t>
        </is>
      </c>
      <c r="E193" s="17" t="inlineStr">
        <is>
          <t>Prexa Vithalapara</t>
        </is>
      </c>
      <c r="F193" s="17" t="inlineStr">
        <is>
          <t>CNR (Could Not Reach)</t>
        </is>
      </c>
      <c r="G193" s="17" t="inlineStr">
        <is>
          <t>Not Assigned</t>
        </is>
      </c>
      <c r="H193" s="17" t="inlineStr">
        <is>
          <t>N/A (Not Assigned)</t>
        </is>
      </c>
      <c r="I193" s="17" t="inlineStr">
        <is>
          <t>Transfer Note: Marked as CNR | Followup: call cut</t>
        </is>
      </c>
    </row>
    <row r="194" ht="20" customHeight="1">
      <c r="A194" s="57" t="n">
        <v>46284.47659003472</v>
      </c>
      <c r="B194" s="16" t="inlineStr">
        <is>
          <t>3. This Month (Sep 2026)</t>
        </is>
      </c>
      <c r="C194" s="14" t="inlineStr">
        <is>
          <t>Meta Ads (NB PropertyTech Survey Ad 3108)</t>
        </is>
      </c>
      <c r="D194" s="14" t="inlineStr">
        <is>
          <t>Sangita Raval (9429132428)</t>
        </is>
      </c>
      <c r="E194" s="14" t="inlineStr">
        <is>
          <t>Zeel Mudaliyar</t>
        </is>
      </c>
      <c r="F194" s="14" t="inlineStr">
        <is>
          <t>CNR (Could Not Reach)</t>
        </is>
      </c>
      <c r="G194" s="14" t="inlineStr">
        <is>
          <t>Not Assigned</t>
        </is>
      </c>
      <c r="H194" s="14" t="inlineStr">
        <is>
          <t>N/A (Not Assigned)</t>
        </is>
      </c>
      <c r="I194" s="14" t="inlineStr">
        <is>
          <t>[Telecaller Key Points]: Vstrapur, 3BHK, 25k budget, furnished, family</t>
        </is>
      </c>
    </row>
    <row r="195" ht="20" customHeight="1">
      <c r="A195" s="58" t="n">
        <v>46284.47658864583</v>
      </c>
      <c r="B195" s="19" t="inlineStr">
        <is>
          <t>3. This Month (Sep 2026)</t>
        </is>
      </c>
      <c r="C195" s="17" t="inlineStr">
        <is>
          <t>Meta Ads (NB PropertyTech Survey Ad 3108)</t>
        </is>
      </c>
      <c r="D195" s="17" t="inlineStr">
        <is>
          <t>Kinnar N Shah (9426709768)</t>
        </is>
      </c>
      <c r="E195" s="17" t="inlineStr">
        <is>
          <t>Prexa Vithalapara</t>
        </is>
      </c>
      <c r="F195" s="17" t="inlineStr">
        <is>
          <t>CNR (Could Not Reach)</t>
        </is>
      </c>
      <c r="G195" s="17" t="inlineStr">
        <is>
          <t>Not Assigned</t>
        </is>
      </c>
      <c r="H195" s="17" t="inlineStr">
        <is>
          <t>N/A (Not Assigned)</t>
        </is>
      </c>
      <c r="I195" s="17" t="inlineStr">
        <is>
          <t>Transfer Note: Marked as CNR</t>
        </is>
      </c>
    </row>
    <row r="196" ht="20" customHeight="1">
      <c r="A196" s="57" t="n">
        <v>46284.47658716435</v>
      </c>
      <c r="B196" s="16" t="inlineStr">
        <is>
          <t>3. This Month (Sep 2026)</t>
        </is>
      </c>
      <c r="C196" s="14" t="inlineStr">
        <is>
          <t>Meta Ads (NB PropertyTech Survey Ad 3108)</t>
        </is>
      </c>
      <c r="D196" s="14" t="inlineStr">
        <is>
          <t>Mathematicalcricket (9049671673)</t>
        </is>
      </c>
      <c r="E196" s="14" t="inlineStr">
        <is>
          <t>Prexa Vithalapara</t>
        </is>
      </c>
      <c r="F196" s="14" t="inlineStr">
        <is>
          <t>CNR (Could Not Reach)</t>
        </is>
      </c>
      <c r="G196" s="14" t="inlineStr">
        <is>
          <t>Not Assigned</t>
        </is>
      </c>
      <c r="H196" s="14" t="inlineStr">
        <is>
          <t>N/A (Not Assigned)</t>
        </is>
      </c>
      <c r="I196" s="14" t="inlineStr">
        <is>
          <t>-</t>
        </is>
      </c>
    </row>
    <row r="197" ht="20" customHeight="1">
      <c r="A197" s="58" t="n">
        <v>46284.47658605324</v>
      </c>
      <c r="B197" s="19" t="inlineStr">
        <is>
          <t>3. This Month (Sep 2026)</t>
        </is>
      </c>
      <c r="C197" s="17" t="inlineStr">
        <is>
          <t>Meta Ads (NB PropertyTech Survey Ad 3108)</t>
        </is>
      </c>
      <c r="D197" s="17" t="inlineStr">
        <is>
          <t>Aaryannnn…  (8200374242)</t>
        </is>
      </c>
      <c r="E197" s="17" t="inlineStr">
        <is>
          <t>Prexa Vithalapara</t>
        </is>
      </c>
      <c r="F197" s="17" t="inlineStr">
        <is>
          <t>CNR (Could Not Reach)</t>
        </is>
      </c>
      <c r="G197" s="17" t="inlineStr">
        <is>
          <t>Not Assigned</t>
        </is>
      </c>
      <c r="H197" s="17" t="inlineStr">
        <is>
          <t>N/A (Not Assigned)</t>
        </is>
      </c>
      <c r="I197" s="17" t="inlineStr">
        <is>
          <t>-</t>
        </is>
      </c>
    </row>
    <row r="198" ht="20" customHeight="1">
      <c r="A198" s="57" t="n">
        <v>46284.47658471065</v>
      </c>
      <c r="B198" s="16" t="inlineStr">
        <is>
          <t>3. This Month (Sep 2026)</t>
        </is>
      </c>
      <c r="C198" s="14" t="inlineStr">
        <is>
          <t>Meta Ads (NB PropertyTech Survey Ad 3108)</t>
        </is>
      </c>
      <c r="D198" s="14" t="inlineStr">
        <is>
          <t>Rajesh Kumar (7779049007)</t>
        </is>
      </c>
      <c r="E198" s="14" t="inlineStr">
        <is>
          <t>Prexa Vithalapara</t>
        </is>
      </c>
      <c r="F198" s="14" t="inlineStr">
        <is>
          <t>CNR (Could Not Reach)</t>
        </is>
      </c>
      <c r="G198" s="14" t="inlineStr">
        <is>
          <t>Not Assigned</t>
        </is>
      </c>
      <c r="H198" s="14" t="inlineStr">
        <is>
          <t>N/A (Not Assigned)</t>
        </is>
      </c>
      <c r="I198" s="14" t="inlineStr">
        <is>
          <t>-</t>
        </is>
      </c>
    </row>
    <row r="199" ht="20" customHeight="1">
      <c r="A199" s="58" t="n">
        <v>46284.47658362269</v>
      </c>
      <c r="B199" s="19" t="inlineStr">
        <is>
          <t>3. This Month (Sep 2026)</t>
        </is>
      </c>
      <c r="C199" s="17" t="inlineStr">
        <is>
          <t>Meta Ads (NB PropertyTech Survey Ad 3108)</t>
        </is>
      </c>
      <c r="D199" s="17" t="inlineStr">
        <is>
          <t>Industrial Agencies (9825701297)</t>
        </is>
      </c>
      <c r="E199" s="17" t="inlineStr">
        <is>
          <t>Zeel Mudaliyar</t>
        </is>
      </c>
      <c r="F199" s="17" t="inlineStr">
        <is>
          <t>CNR (Could Not Reach)</t>
        </is>
      </c>
      <c r="G199" s="17" t="inlineStr">
        <is>
          <t>Not Assigned</t>
        </is>
      </c>
      <c r="H199" s="17" t="inlineStr">
        <is>
          <t>N/A (Not Assigned)</t>
        </is>
      </c>
      <c r="I199" s="17" t="inlineStr">
        <is>
          <t>-</t>
        </is>
      </c>
    </row>
    <row r="200" ht="20" customHeight="1">
      <c r="A200" s="57" t="n">
        <v>46284.47658109954</v>
      </c>
      <c r="B200" s="16" t="inlineStr">
        <is>
          <t>3. This Month (Sep 2026)</t>
        </is>
      </c>
      <c r="C200" s="14" t="inlineStr">
        <is>
          <t>Meta Ads (NB PropertyTech Survey Ad 3108)</t>
        </is>
      </c>
      <c r="D200" s="14" t="inlineStr">
        <is>
          <t>Ashiyana Malek (8320322556)</t>
        </is>
      </c>
      <c r="E200" s="14" t="inlineStr">
        <is>
          <t>Prexa Vithalapara</t>
        </is>
      </c>
      <c r="F200" s="14" t="inlineStr">
        <is>
          <t>CNR (Could Not Reach)</t>
        </is>
      </c>
      <c r="G200" s="14" t="inlineStr">
        <is>
          <t>Not Assigned</t>
        </is>
      </c>
      <c r="H200" s="14" t="inlineStr">
        <is>
          <t>N/A (Not Assigned)</t>
        </is>
      </c>
      <c r="I200" s="14" t="inlineStr">
        <is>
          <t>-</t>
        </is>
      </c>
    </row>
    <row r="201" ht="20" customHeight="1">
      <c r="A201" s="58" t="n">
        <v>46284.47657995371</v>
      </c>
      <c r="B201" s="19" t="inlineStr">
        <is>
          <t>3. This Month (Sep 2026)</t>
        </is>
      </c>
      <c r="C201" s="17" t="inlineStr">
        <is>
          <t>Meta Ads (NB PropertyTech Survey Ad 3108)</t>
        </is>
      </c>
      <c r="D201" s="17" t="inlineStr">
        <is>
          <t>Sumi S.c Dave (6352340996)</t>
        </is>
      </c>
      <c r="E201" s="17" t="inlineStr">
        <is>
          <t>Prexa Vithalapara</t>
        </is>
      </c>
      <c r="F201" s="17" t="inlineStr">
        <is>
          <t>Callback Scheduled</t>
        </is>
      </c>
      <c r="G201" s="17" t="inlineStr">
        <is>
          <t>Not Assigned</t>
        </is>
      </c>
      <c r="H201" s="17" t="inlineStr">
        <is>
          <t>N/A (Not Assigned)</t>
        </is>
      </c>
      <c r="I201" s="17" t="inlineStr">
        <is>
          <t>Transfer Note: Marked as CNR</t>
        </is>
      </c>
    </row>
    <row r="202" ht="20" customHeight="1">
      <c r="A202" s="57" t="n">
        <v>46284.47657885417</v>
      </c>
      <c r="B202" s="16" t="inlineStr">
        <is>
          <t>3. This Month (Sep 2026)</t>
        </is>
      </c>
      <c r="C202" s="14" t="inlineStr">
        <is>
          <t>Meta Ads (NB PropertyTech Survey Ad 3108)</t>
        </is>
      </c>
      <c r="D202" s="14" t="inlineStr">
        <is>
          <t>Shashi Srivastava (9975114558)</t>
        </is>
      </c>
      <c r="E202" s="14" t="inlineStr">
        <is>
          <t>Prexa Vithalapara</t>
        </is>
      </c>
      <c r="F202" s="14" t="inlineStr">
        <is>
          <t>Sales</t>
        </is>
      </c>
      <c r="G202" s="14" t="inlineStr">
        <is>
          <t>Somel Rathod</t>
        </is>
      </c>
      <c r="H202" s="14" t="inlineStr">
        <is>
          <t>Re-Followup</t>
        </is>
      </c>
      <c r="I202" s="14" t="inlineStr">
        <is>
          <t>Req south Bopal,sela,silaj , 2BHK, 18-22k budget, semi furnished, family | Transfer: Req south Bopal,sela,silaj , 2BHK, 18-22k budget, semi furnished, family | Transfer Note: Req south Bopal,sela,silaj , 2BHK, 18-22k budget, semi furnished, family | [Telecaller Key Points]: Req south Bopal,sela,silaj , 2BHK, 18-22k budget, semi furnished, family</t>
        </is>
      </c>
    </row>
    <row r="203" ht="20" customHeight="1">
      <c r="A203" s="58" t="n">
        <v>46284.47657768519</v>
      </c>
      <c r="B203" s="19" t="inlineStr">
        <is>
          <t>3. This Month (Sep 2026)</t>
        </is>
      </c>
      <c r="C203" s="17" t="inlineStr">
        <is>
          <t>Meta Ads (NB PropertyTech Survey Ad 3108)</t>
        </is>
      </c>
      <c r="D203" s="17" t="inlineStr">
        <is>
          <t>Hemant Patni (8097365043)</t>
        </is>
      </c>
      <c r="E203" s="17" t="inlineStr">
        <is>
          <t>Prexa Vithalapara</t>
        </is>
      </c>
      <c r="F203" s="17" t="inlineStr">
        <is>
          <t>CNR (Could Not Reach)</t>
        </is>
      </c>
      <c r="G203" s="17" t="inlineStr">
        <is>
          <t>Not Assigned</t>
        </is>
      </c>
      <c r="H203" s="17" t="inlineStr">
        <is>
          <t>N/A (Not Assigned)</t>
        </is>
      </c>
      <c r="I203" s="17" t="inlineStr">
        <is>
          <t>Transfer Note: Marked as CNR</t>
        </is>
      </c>
    </row>
    <row r="204" ht="20" customHeight="1">
      <c r="A204" s="57" t="n">
        <v>46284.47657622685</v>
      </c>
      <c r="B204" s="16" t="inlineStr">
        <is>
          <t>3. This Month (Sep 2026)</t>
        </is>
      </c>
      <c r="C204" s="14" t="inlineStr">
        <is>
          <t>Meta Ads (NB PropertyTech Survey Ad 3108)</t>
        </is>
      </c>
      <c r="D204" s="14" t="inlineStr">
        <is>
          <t>Ravi Vyas (8233193909)</t>
        </is>
      </c>
      <c r="E204" s="14" t="inlineStr">
        <is>
          <t>Prexa Vithalapara</t>
        </is>
      </c>
      <c r="F204" s="14" t="inlineStr">
        <is>
          <t>Interested</t>
        </is>
      </c>
      <c r="G204" s="14" t="inlineStr">
        <is>
          <t>Not Assigned</t>
        </is>
      </c>
      <c r="H204" s="14" t="inlineStr">
        <is>
          <t>N/A (Not Assigned)</t>
        </is>
      </c>
      <c r="I204" s="14" t="inlineStr">
        <is>
          <t>Followup: sela, 2BHK, 20-25k budget, unfurnished, family</t>
        </is>
      </c>
    </row>
    <row r="205" ht="20" customHeight="1">
      <c r="A205" s="58" t="n">
        <v>46284.45125421296</v>
      </c>
      <c r="B205" s="19" t="inlineStr">
        <is>
          <t>3. This Month (Sep 2026)</t>
        </is>
      </c>
      <c r="C205" s="17" t="inlineStr">
        <is>
          <t>Housing.com (Naranpura)</t>
        </is>
      </c>
      <c r="D205" s="17" t="inlineStr">
        <is>
          <t>Vedant Dhale (8308465832)</t>
        </is>
      </c>
      <c r="E205" s="17" t="inlineStr">
        <is>
          <t>Zeel Mudaliyar</t>
        </is>
      </c>
      <c r="F205" s="17" t="inlineStr">
        <is>
          <t>Rejected / Lost</t>
        </is>
      </c>
      <c r="G205" s="17" t="inlineStr">
        <is>
          <t>Not Assigned</t>
        </is>
      </c>
      <c r="H205" s="17" t="inlineStr">
        <is>
          <t>N/A (Not Assigned)</t>
        </is>
      </c>
      <c r="I205" s="17" t="inlineStr">
        <is>
          <t>-</t>
        </is>
      </c>
    </row>
    <row r="206" ht="20" customHeight="1">
      <c r="A206" s="57" t="n">
        <v>46284.4316777662</v>
      </c>
      <c r="B206" s="16" t="inlineStr">
        <is>
          <t>3. This Month (Sep 2026)</t>
        </is>
      </c>
      <c r="C206" s="14" t="inlineStr">
        <is>
          <t>Housing.com (Naranpura)</t>
        </is>
      </c>
      <c r="D206" s="14" t="inlineStr">
        <is>
          <t>Pavan (9414273457)</t>
        </is>
      </c>
      <c r="E206" s="14" t="inlineStr">
        <is>
          <t>Prexa Vithalapara</t>
        </is>
      </c>
      <c r="F206" s="14" t="inlineStr">
        <is>
          <t>Rejected / Lost</t>
        </is>
      </c>
      <c r="G206" s="14" t="inlineStr">
        <is>
          <t>Not Assigned</t>
        </is>
      </c>
      <c r="H206" s="14" t="inlineStr">
        <is>
          <t>N/A (Not Assigned)</t>
        </is>
      </c>
      <c r="I206" s="14" t="inlineStr">
        <is>
          <t>-</t>
        </is>
      </c>
    </row>
    <row r="207" ht="20" customHeight="1">
      <c r="A207" s="58" t="n">
        <v>46284.43167650463</v>
      </c>
      <c r="B207" s="19" t="inlineStr">
        <is>
          <t>3. This Month (Sep 2026)</t>
        </is>
      </c>
      <c r="C207" s="17" t="inlineStr">
        <is>
          <t>Housing.com (Naranpura)</t>
        </is>
      </c>
      <c r="D207" s="17" t="inlineStr">
        <is>
          <t>Sumit (7838936628)</t>
        </is>
      </c>
      <c r="E207" s="17" t="inlineStr">
        <is>
          <t>Zeel Mudaliyar</t>
        </is>
      </c>
      <c r="F207" s="17" t="inlineStr">
        <is>
          <t>Sales</t>
        </is>
      </c>
      <c r="G207" s="17" t="inlineStr">
        <is>
          <t>Somel Rathod</t>
        </is>
      </c>
      <c r="H207" s="17" t="inlineStr">
        <is>
          <t>Deal Won</t>
        </is>
      </c>
      <c r="I207" s="17" t="inlineStr">
        <is>
          <t>commercial lead | Transfer: commercial lead | Transfer Note: commercial lead | [Telecaller Key Points]: commercial lead</t>
        </is>
      </c>
    </row>
    <row r="208" ht="20" customHeight="1">
      <c r="A208" s="57" t="n">
        <v>46284.43167298611</v>
      </c>
      <c r="B208" s="16" t="inlineStr">
        <is>
          <t>3. This Month (Sep 2026)</t>
        </is>
      </c>
      <c r="C208" s="14" t="inlineStr">
        <is>
          <t>Housing.com (Gota)</t>
        </is>
      </c>
      <c r="D208" s="14" t="inlineStr">
        <is>
          <t>Kaushik Patel (9904690859)</t>
        </is>
      </c>
      <c r="E208" s="14" t="inlineStr">
        <is>
          <t>Zeel Mudaliyar</t>
        </is>
      </c>
      <c r="F208" s="14" t="inlineStr">
        <is>
          <t>Callback Scheduled</t>
        </is>
      </c>
      <c r="G208" s="14" t="inlineStr">
        <is>
          <t>Not Assigned</t>
        </is>
      </c>
      <c r="H208" s="14" t="inlineStr">
        <is>
          <t>N/A (Not Assigned)</t>
        </is>
      </c>
      <c r="I208" s="14" t="inlineStr">
        <is>
          <t>Followup: Busy</t>
        </is>
      </c>
    </row>
    <row r="209" ht="20" customHeight="1">
      <c r="A209" s="58" t="n">
        <v>46284.43167158565</v>
      </c>
      <c r="B209" s="19" t="inlineStr">
        <is>
          <t>3. This Month (Sep 2026)</t>
        </is>
      </c>
      <c r="C209" s="17" t="inlineStr">
        <is>
          <t>Housing.com (Naranpura)</t>
        </is>
      </c>
      <c r="D209" s="17" t="inlineStr">
        <is>
          <t>New N (8849584842)</t>
        </is>
      </c>
      <c r="E209" s="17" t="inlineStr">
        <is>
          <t>Zeel Mudaliyar</t>
        </is>
      </c>
      <c r="F209" s="17" t="inlineStr">
        <is>
          <t>Rejected / Lost</t>
        </is>
      </c>
      <c r="G209" s="17" t="inlineStr">
        <is>
          <t>Not Assigned</t>
        </is>
      </c>
      <c r="H209" s="17" t="inlineStr">
        <is>
          <t>N/A (Not Assigned)</t>
        </is>
      </c>
      <c r="I209" s="17" t="inlineStr">
        <is>
          <t>-</t>
        </is>
      </c>
    </row>
    <row r="210" ht="20" customHeight="1">
      <c r="A210" s="57" t="n">
        <v>46284.43166983796</v>
      </c>
      <c r="B210" s="16" t="inlineStr">
        <is>
          <t>3. This Month (Sep 2026)</t>
        </is>
      </c>
      <c r="C210" s="14" t="inlineStr">
        <is>
          <t>Housing.com (Gota)</t>
        </is>
      </c>
      <c r="D210" s="14" t="inlineStr">
        <is>
          <t>Housing User (7874796623)</t>
        </is>
      </c>
      <c r="E210" s="14" t="inlineStr">
        <is>
          <t>Zeel Mudaliyar</t>
        </is>
      </c>
      <c r="F210" s="14" t="inlineStr">
        <is>
          <t>Sales</t>
        </is>
      </c>
      <c r="G210" s="14" t="inlineStr">
        <is>
          <t>Rajan Purani</t>
        </is>
      </c>
      <c r="H210" s="14" t="inlineStr">
        <is>
          <t>Rejected (Budget Mismatch)</t>
        </is>
      </c>
      <c r="I210" s="14" t="inlineStr">
        <is>
          <t>Client want property in Gota interested for Nirman Homes | Transfer: Client want property in Gota interested for Nirman Homes | Transfer Note: Client want property in Gota interested for Nirman Homes | [Telecaller Key Points]: Client want property in Gota interested for Nirman Homes</t>
        </is>
      </c>
    </row>
    <row r="211" ht="20" customHeight="1">
      <c r="A211" s="58" t="n">
        <v>46284.43166787037</v>
      </c>
      <c r="B211" s="19" t="inlineStr">
        <is>
          <t>3. This Month (Sep 2026)</t>
        </is>
      </c>
      <c r="C211" s="17" t="inlineStr">
        <is>
          <t>Housing.com (Vaishno Devi Circle)</t>
        </is>
      </c>
      <c r="D211" s="17" t="inlineStr">
        <is>
          <t>Doctor Mehul (8160808107)</t>
        </is>
      </c>
      <c r="E211" s="17" t="inlineStr">
        <is>
          <t>Zeel Mudaliyar</t>
        </is>
      </c>
      <c r="F211" s="17" t="inlineStr">
        <is>
          <t>CNR (Could Not Reach)</t>
        </is>
      </c>
      <c r="G211" s="17" t="inlineStr">
        <is>
          <t>Not Assigned</t>
        </is>
      </c>
      <c r="H211" s="17" t="inlineStr">
        <is>
          <t>N/A (Not Assigned)</t>
        </is>
      </c>
      <c r="I211" s="17" t="inlineStr">
        <is>
          <t>-</t>
        </is>
      </c>
    </row>
    <row r="212" ht="20" customHeight="1">
      <c r="A212" s="57" t="n">
        <v>46283.72057064815</v>
      </c>
      <c r="B212" s="16" t="inlineStr">
        <is>
          <t>3. This Month (Sep 2026)</t>
        </is>
      </c>
      <c r="C212" s="14" t="inlineStr">
        <is>
          <t>Direct / Manual</t>
        </is>
      </c>
      <c r="D212" s="14" t="inlineStr">
        <is>
          <t>Prabhakar Sharma (9413485134)</t>
        </is>
      </c>
      <c r="E212" s="14" t="inlineStr">
        <is>
          <t>Unassigned</t>
        </is>
      </c>
      <c r="F212" s="14" t="inlineStr">
        <is>
          <t>Rejected / Lost</t>
        </is>
      </c>
      <c r="G212" s="14" t="inlineStr">
        <is>
          <t>Somel Rathod</t>
        </is>
      </c>
      <c r="H212" s="14" t="inlineStr">
        <is>
          <t>Rejected (Budget Mismatch)</t>
        </is>
      </c>
      <c r="I212" s="14" t="inlineStr">
        <is>
          <t>2Bhk Family 20k sola, Mamnager | Followup: Call not responding | CRM: 2Bhk Family 20k sola, Mamnager | CRM Followup: Call not responding</t>
        </is>
      </c>
    </row>
    <row r="213" ht="20" customHeight="1">
      <c r="A213" s="58" t="n">
        <v>46283.62054824074</v>
      </c>
      <c r="B213" s="19" t="inlineStr">
        <is>
          <t>3. This Month (Sep 2026)</t>
        </is>
      </c>
      <c r="C213" s="17" t="inlineStr">
        <is>
          <t>Housing.com (Science City)</t>
        </is>
      </c>
      <c r="D213" s="17" t="inlineStr">
        <is>
          <t>Dipak Soni (9913744056)</t>
        </is>
      </c>
      <c r="E213" s="17" t="inlineStr">
        <is>
          <t>Zeel Mudaliyar</t>
        </is>
      </c>
      <c r="F213" s="17" t="inlineStr">
        <is>
          <t>Rejected / Lost</t>
        </is>
      </c>
      <c r="G213" s="17" t="inlineStr">
        <is>
          <t>Not Assigned</t>
        </is>
      </c>
      <c r="H213" s="17" t="inlineStr">
        <is>
          <t>N/A (Not Assigned)</t>
        </is>
      </c>
      <c r="I213" s="17" t="inlineStr">
        <is>
          <t>-</t>
        </is>
      </c>
    </row>
    <row r="214" ht="20" customHeight="1">
      <c r="A214" s="57" t="n">
        <v>46283.6205412963</v>
      </c>
      <c r="B214" s="16" t="inlineStr">
        <is>
          <t>3. This Month (Sep 2026)</t>
        </is>
      </c>
      <c r="C214" s="14" t="inlineStr">
        <is>
          <t>Housing.com (Vaishno Devi Circle)</t>
        </is>
      </c>
      <c r="D214" s="14" t="inlineStr">
        <is>
          <t>Rama Dhani (9023177932)</t>
        </is>
      </c>
      <c r="E214" s="14" t="inlineStr">
        <is>
          <t>Zeel Mudaliyar</t>
        </is>
      </c>
      <c r="F214" s="14" t="inlineStr">
        <is>
          <t>Rejected (Not_Interested)</t>
        </is>
      </c>
      <c r="G214" s="14" t="inlineStr">
        <is>
          <t>Not Assigned</t>
        </is>
      </c>
      <c r="H214" s="14" t="inlineStr">
        <is>
          <t>N/A (Not Assigned)</t>
        </is>
      </c>
      <c r="I214" s="14" t="inlineStr">
        <is>
          <t>Not required | Rejection: NOT_INTERESTED</t>
        </is>
      </c>
    </row>
    <row r="215" ht="20" customHeight="1">
      <c r="A215" s="58" t="n">
        <v>46283.62053511574</v>
      </c>
      <c r="B215" s="19" t="inlineStr">
        <is>
          <t>3. This Month (Sep 2026)</t>
        </is>
      </c>
      <c r="C215" s="17" t="inlineStr">
        <is>
          <t>Housing.com (South Bopal)</t>
        </is>
      </c>
      <c r="D215" s="17" t="inlineStr">
        <is>
          <t>Asgar Alam (7982882273)</t>
        </is>
      </c>
      <c r="E215" s="17" t="inlineStr">
        <is>
          <t>Zeel Mudaliyar</t>
        </is>
      </c>
      <c r="F215" s="17" t="inlineStr">
        <is>
          <t>Callback Scheduled</t>
        </is>
      </c>
      <c r="G215" s="17" t="inlineStr">
        <is>
          <t>Not Assigned</t>
        </is>
      </c>
      <c r="H215" s="17" t="inlineStr">
        <is>
          <t>N/A (Not Assigned)</t>
        </is>
      </c>
      <c r="I215" s="17" t="inlineStr">
        <is>
          <t>Followup: Switched off</t>
        </is>
      </c>
    </row>
    <row r="216" ht="20" customHeight="1">
      <c r="A216" s="57" t="n">
        <v>46283.62052787037</v>
      </c>
      <c r="B216" s="16" t="inlineStr">
        <is>
          <t>3. This Month (Sep 2026)</t>
        </is>
      </c>
      <c r="C216" s="14" t="inlineStr">
        <is>
          <t>Housing.com (Science City)</t>
        </is>
      </c>
      <c r="D216" s="14" t="inlineStr">
        <is>
          <t>Heet Shah (8320403129)</t>
        </is>
      </c>
      <c r="E216" s="14" t="inlineStr">
        <is>
          <t>Prexa Vithalapara</t>
        </is>
      </c>
      <c r="F216" s="14" t="inlineStr">
        <is>
          <t>Sales</t>
        </is>
      </c>
      <c r="G216" s="14" t="inlineStr">
        <is>
          <t>Viral Jadeja</t>
        </is>
      </c>
      <c r="H216" s="14" t="inlineStr">
        <is>
          <t>Assigned</t>
        </is>
      </c>
      <c r="I216" s="14" t="inlineStr">
        <is>
          <t>scince city near zydus , 25-30k budget, office, furnished | Transfer: scince city near zydus , 25-30k budget, office, furnished | Transfer Note: scince city near zydus , 25-30k budget, office, furnished | [Telecaller Key Points]: scince city near zydus , 25-30k budget, office, furnished</t>
        </is>
      </c>
    </row>
    <row r="217" ht="20" customHeight="1">
      <c r="A217" s="58" t="n">
        <v>46283.62052011574</v>
      </c>
      <c r="B217" s="19" t="inlineStr">
        <is>
          <t>3. This Month (Sep 2026)</t>
        </is>
      </c>
      <c r="C217" s="17" t="inlineStr">
        <is>
          <t>Housing.com (Sarkhej)</t>
        </is>
      </c>
      <c r="D217" s="17" t="inlineStr">
        <is>
          <t>Prashant Borana (8433838038)</t>
        </is>
      </c>
      <c r="E217" s="17" t="inlineStr">
        <is>
          <t>Zeel Mudaliyar</t>
        </is>
      </c>
      <c r="F217" s="17" t="inlineStr">
        <is>
          <t>CNR (Could Not Reach)</t>
        </is>
      </c>
      <c r="G217" s="17" t="inlineStr">
        <is>
          <t>Not Assigned</t>
        </is>
      </c>
      <c r="H217" s="17" t="inlineStr">
        <is>
          <t>N/A (Not Assigned)</t>
        </is>
      </c>
      <c r="I217" s="17" t="inlineStr">
        <is>
          <t>-</t>
        </is>
      </c>
    </row>
    <row r="218" ht="20" customHeight="1">
      <c r="A218" s="57" t="n">
        <v>46283.62049962963</v>
      </c>
      <c r="B218" s="16" t="inlineStr">
        <is>
          <t>3. This Month (Sep 2026)</t>
        </is>
      </c>
      <c r="C218" s="14" t="inlineStr">
        <is>
          <t>Housing.com (Koba)</t>
        </is>
      </c>
      <c r="D218" s="14" t="inlineStr">
        <is>
          <t>Riddhi (9512910073)</t>
        </is>
      </c>
      <c r="E218" s="14" t="inlineStr">
        <is>
          <t>Zeel Mudaliyar</t>
        </is>
      </c>
      <c r="F218" s="14" t="inlineStr">
        <is>
          <t>Rejected (Not_Interested)</t>
        </is>
      </c>
      <c r="G218" s="14" t="inlineStr">
        <is>
          <t>Not Assigned</t>
        </is>
      </c>
      <c r="H218" s="14" t="inlineStr">
        <is>
          <t>N/A (Not Assigned)</t>
        </is>
      </c>
      <c r="I218" s="14" t="inlineStr">
        <is>
          <t>Not required now, will inform after sometime | Rejection: NOT_INTERESTED | Transfer Note: Marked as CNR | Followup: In a meeting</t>
        </is>
      </c>
    </row>
    <row r="219" ht="20" customHeight="1">
      <c r="A219" s="58" t="n">
        <v>46283.62049361111</v>
      </c>
      <c r="B219" s="19" t="inlineStr">
        <is>
          <t>3. This Month (Sep 2026)</t>
        </is>
      </c>
      <c r="C219" s="17" t="inlineStr">
        <is>
          <t>Housing.com (Jagatpur)</t>
        </is>
      </c>
      <c r="D219" s="17" t="inlineStr">
        <is>
          <t>Dixita Bhatt (6355507075)</t>
        </is>
      </c>
      <c r="E219" s="17" t="inlineStr">
        <is>
          <t>Zeel Mudaliyar</t>
        </is>
      </c>
      <c r="F219" s="17" t="inlineStr">
        <is>
          <t>CNR (Could Not Reach)</t>
        </is>
      </c>
      <c r="G219" s="17" t="inlineStr">
        <is>
          <t>Not Assigned</t>
        </is>
      </c>
      <c r="H219" s="17" t="inlineStr">
        <is>
          <t>N/A (Not Assigned)</t>
        </is>
      </c>
      <c r="I219" s="17" t="inlineStr">
        <is>
          <t>Transfer Note: Marked as CNR</t>
        </is>
      </c>
    </row>
    <row r="220" ht="20" customHeight="1">
      <c r="A220" s="57" t="n">
        <v>46283.6204737037</v>
      </c>
      <c r="B220" s="16" t="inlineStr">
        <is>
          <t>3. This Month (Sep 2026)</t>
        </is>
      </c>
      <c r="C220" s="14" t="inlineStr">
        <is>
          <t>Housing.com (NB Pearl Heights)</t>
        </is>
      </c>
      <c r="D220" s="14" t="inlineStr">
        <is>
          <t>Reenap (9601823053)</t>
        </is>
      </c>
      <c r="E220" s="14" t="inlineStr">
        <is>
          <t>Prexa Vithalapara</t>
        </is>
      </c>
      <c r="F220" s="14" t="inlineStr">
        <is>
          <t>Rejected (Not_Interested)</t>
        </is>
      </c>
      <c r="G220" s="14" t="inlineStr">
        <is>
          <t>Not Assigned</t>
        </is>
      </c>
      <c r="H220" s="14" t="inlineStr">
        <is>
          <t>N/A (Not Assigned)</t>
        </is>
      </c>
      <c r="I220" s="14" t="inlineStr">
        <is>
          <t>Location Gandhinagar - PDEU, location mismatch | Rejection: NOT_INTERESTED</t>
        </is>
      </c>
    </row>
    <row r="221" ht="20" customHeight="1">
      <c r="A221" s="58" t="n">
        <v>46283.6204570949</v>
      </c>
      <c r="B221" s="19" t="inlineStr">
        <is>
          <t>3. This Month (Sep 2026)</t>
        </is>
      </c>
      <c r="C221" s="17" t="inlineStr">
        <is>
          <t>Housing.com (Chanakyapuri)</t>
        </is>
      </c>
      <c r="D221" s="17" t="inlineStr">
        <is>
          <t>Singhaniya Yo. (8511702115)</t>
        </is>
      </c>
      <c r="E221" s="17" t="inlineStr">
        <is>
          <t>Zeel Mudaliyar</t>
        </is>
      </c>
      <c r="F221" s="17" t="inlineStr">
        <is>
          <t>Sales</t>
        </is>
      </c>
      <c r="G221" s="17" t="inlineStr">
        <is>
          <t>Rajan Purani</t>
        </is>
      </c>
      <c r="H221" s="17" t="inlineStr">
        <is>
          <t>Re-Followup</t>
        </is>
      </c>
      <c r="I221" s="17" t="inlineStr">
        <is>
          <t>[Telecaller Key Points]: 2-3 BHK, (Tenament), Location Satadhar, Thaltej, Ghatlodia, Gurukul, for family, Rent budget 25-30K, Possession this month | Transfer: 2-3 BHK, (Tenament), Location Satadhar, Thaltej, Ghatlodia, Gurukul, for family, Rent budget 25-30K, Possession this month | Transfer Note: 2-3 BHK, (Tenament), Location Satadhar, Thaltej, Ghatlodia, Gurukul, for family, Rent budget 25-30K, Possession this month | Followup: options searching and details share options not available | CRM: [Telecaller Key Points]: 2-3 BHK, (Tenament), Location Satadhar, Thaltej, Ghatlodia, Gurukul, for family, Rent budget 25-30K, Possession this month | CRM Followup: options searching and details share options not available | 2-3 BHK, (Tenament), Location Satadhar, Thaltej, Ghatlodia, Gurukul, for family, Rent budget 25-30K, Possession this month
[24 Sep '26, 2:43 PM] options not available so close</t>
        </is>
      </c>
    </row>
    <row r="222" ht="20" customHeight="1">
      <c r="A222" s="57" t="n">
        <v>46283.62044502315</v>
      </c>
      <c r="B222" s="16" t="inlineStr">
        <is>
          <t>3. This Month (Sep 2026)</t>
        </is>
      </c>
      <c r="C222" s="14" t="inlineStr">
        <is>
          <t>Housing.com (Gota)</t>
        </is>
      </c>
      <c r="D222" s="14" t="inlineStr">
        <is>
          <t>Harshidaben Joshi (9104903871)</t>
        </is>
      </c>
      <c r="E222" s="14" t="inlineStr">
        <is>
          <t>Zeel Mudaliyar</t>
        </is>
      </c>
      <c r="F222" s="14" t="inlineStr">
        <is>
          <t>CNR (Could Not Reach)</t>
        </is>
      </c>
      <c r="G222" s="14" t="inlineStr">
        <is>
          <t>Not Assigned</t>
        </is>
      </c>
      <c r="H222" s="14" t="inlineStr">
        <is>
          <t>N/A (Not Assigned)</t>
        </is>
      </c>
      <c r="I222" s="14" t="inlineStr">
        <is>
          <t>Transfer Note: Marked as CNR</t>
        </is>
      </c>
    </row>
    <row r="223" ht="20" customHeight="1">
      <c r="A223" s="58" t="n">
        <v>46283.6204334838</v>
      </c>
      <c r="B223" s="19" t="inlineStr">
        <is>
          <t>3. This Month (Sep 2026)</t>
        </is>
      </c>
      <c r="C223" s="17" t="inlineStr">
        <is>
          <t>Housing.com (Vaishno Devi Circle)</t>
        </is>
      </c>
      <c r="D223" s="17" t="inlineStr">
        <is>
          <t>Urvashi Ladva (7041649295)</t>
        </is>
      </c>
      <c r="E223" s="17" t="inlineStr">
        <is>
          <t>Prexa Vithalapara</t>
        </is>
      </c>
      <c r="F223" s="17" t="inlineStr">
        <is>
          <t>Rejected (Not_Interested)</t>
        </is>
      </c>
      <c r="G223" s="17" t="inlineStr">
        <is>
          <t>Not Assigned</t>
        </is>
      </c>
      <c r="H223" s="17" t="inlineStr">
        <is>
          <t>N/A (Not Assigned)</t>
        </is>
      </c>
      <c r="I223" s="17" t="inlineStr">
        <is>
          <t>Not required | Rejection: NOT_INTERESTED</t>
        </is>
      </c>
    </row>
    <row r="224" ht="20" customHeight="1">
      <c r="A224" s="57" t="n">
        <v>46283.62042480324</v>
      </c>
      <c r="B224" s="16" t="inlineStr">
        <is>
          <t>3. This Month (Sep 2026)</t>
        </is>
      </c>
      <c r="C224" s="14" t="inlineStr">
        <is>
          <t>Housing.com (NB Pearl Heights)</t>
        </is>
      </c>
      <c r="D224" s="14" t="inlineStr">
        <is>
          <t>Jay Verma (8409148575)</t>
        </is>
      </c>
      <c r="E224" s="14" t="inlineStr">
        <is>
          <t>Prexa Vithalapara</t>
        </is>
      </c>
      <c r="F224" s="14" t="inlineStr">
        <is>
          <t>Rejected / Lost</t>
        </is>
      </c>
      <c r="G224" s="14" t="inlineStr">
        <is>
          <t>Not Assigned</t>
        </is>
      </c>
      <c r="H224" s="14" t="inlineStr">
        <is>
          <t>N/A (Not Assigned)</t>
        </is>
      </c>
      <c r="I224" s="14" t="inlineStr">
        <is>
          <t>-</t>
        </is>
      </c>
    </row>
    <row r="225" ht="20" customHeight="1">
      <c r="A225" s="58" t="n">
        <v>46283.62041648148</v>
      </c>
      <c r="B225" s="19" t="inlineStr">
        <is>
          <t>3. This Month (Sep 2026)</t>
        </is>
      </c>
      <c r="C225" s="17" t="inlineStr">
        <is>
          <t>Housing.com (NB Pearl Heights)</t>
        </is>
      </c>
      <c r="D225" s="17" t="inlineStr">
        <is>
          <t>Jignesh Purohit (8347199990)</t>
        </is>
      </c>
      <c r="E225" s="17" t="inlineStr">
        <is>
          <t>Prexa Vithalapara</t>
        </is>
      </c>
      <c r="F225" s="17" t="inlineStr">
        <is>
          <t>Rejected / Lost</t>
        </is>
      </c>
      <c r="G225" s="17" t="inlineStr">
        <is>
          <t>Not Assigned</t>
        </is>
      </c>
      <c r="H225" s="17" t="inlineStr">
        <is>
          <t>N/A (Not Assigned)</t>
        </is>
      </c>
      <c r="I225" s="17" t="inlineStr">
        <is>
          <t>-</t>
        </is>
      </c>
    </row>
    <row r="226" ht="20" customHeight="1">
      <c r="A226" s="57" t="n">
        <v>46283.62040943287</v>
      </c>
      <c r="B226" s="16" t="inlineStr">
        <is>
          <t>3. This Month (Sep 2026)</t>
        </is>
      </c>
      <c r="C226" s="14" t="inlineStr">
        <is>
          <t>Housing.com (NB Pearl Heights)</t>
        </is>
      </c>
      <c r="D226" s="14" t="inlineStr">
        <is>
          <t>Ps Ps (9413485134)</t>
        </is>
      </c>
      <c r="E226" s="14" t="inlineStr">
        <is>
          <t>Zeel Mudaliyar</t>
        </is>
      </c>
      <c r="F226" s="14" t="inlineStr">
        <is>
          <t>Archived</t>
        </is>
      </c>
      <c r="G226" s="14" t="inlineStr">
        <is>
          <t>Not Assigned</t>
        </is>
      </c>
      <c r="H226" s="14" t="inlineStr">
        <is>
          <t>N/A (Not Assigned)</t>
        </is>
      </c>
      <c r="I226" s="14" t="inlineStr">
        <is>
          <t>2Bhk Family 20k sola, Mamnager</t>
        </is>
      </c>
    </row>
    <row r="227" ht="20" customHeight="1">
      <c r="A227" s="58" t="n">
        <v>46283.62039884259</v>
      </c>
      <c r="B227" s="19" t="inlineStr">
        <is>
          <t>3. This Month (Sep 2026)</t>
        </is>
      </c>
      <c r="C227" s="17" t="inlineStr">
        <is>
          <t>Housing.com (NB Pearl Heights)</t>
        </is>
      </c>
      <c r="D227" s="17" t="inlineStr">
        <is>
          <t>Sagarojwani225 (9265905798)</t>
        </is>
      </c>
      <c r="E227" s="17" t="inlineStr">
        <is>
          <t>Prexa Vithalapara</t>
        </is>
      </c>
      <c r="F227" s="17" t="inlineStr">
        <is>
          <t>Rejected / Lost</t>
        </is>
      </c>
      <c r="G227" s="17" t="inlineStr">
        <is>
          <t>Not Assigned</t>
        </is>
      </c>
      <c r="H227" s="17" t="inlineStr">
        <is>
          <t>N/A (Not Assigned)</t>
        </is>
      </c>
      <c r="I227" s="17" t="inlineStr">
        <is>
          <t>-</t>
        </is>
      </c>
    </row>
    <row r="228" ht="20" customHeight="1">
      <c r="A228" s="57" t="n">
        <v>46283.62039177083</v>
      </c>
      <c r="B228" s="16" t="inlineStr">
        <is>
          <t>3. This Month (Sep 2026)</t>
        </is>
      </c>
      <c r="C228" s="14" t="inlineStr">
        <is>
          <t>Housing.com (Vaishno Devi Circle)</t>
        </is>
      </c>
      <c r="D228" s="14" t="inlineStr">
        <is>
          <t>Mitul Dadhania (6351088319)</t>
        </is>
      </c>
      <c r="E228" s="14" t="inlineStr">
        <is>
          <t>Prexa Vithalapara</t>
        </is>
      </c>
      <c r="F228" s="14" t="inlineStr">
        <is>
          <t>Rejected / Lost</t>
        </is>
      </c>
      <c r="G228" s="14" t="inlineStr">
        <is>
          <t>Not Assigned</t>
        </is>
      </c>
      <c r="H228" s="14" t="inlineStr">
        <is>
          <t>N/A (Not Assigned)</t>
        </is>
      </c>
      <c r="I228" s="14" t="inlineStr">
        <is>
          <t>-</t>
        </is>
      </c>
    </row>
    <row r="229" ht="20" customHeight="1">
      <c r="A229" s="58" t="n">
        <v>46282.72219883102</v>
      </c>
      <c r="B229" s="19" t="inlineStr">
        <is>
          <t>3. This Month (Sep 2026)</t>
        </is>
      </c>
      <c r="C229" s="17" t="inlineStr">
        <is>
          <t>Meta Ads (NB PropertyTech Survey Ad 3108)</t>
        </is>
      </c>
      <c r="D229" s="17" t="inlineStr">
        <is>
          <t>Amar Shah (8980510999)</t>
        </is>
      </c>
      <c r="E229" s="17" t="inlineStr">
        <is>
          <t>Unassigned</t>
        </is>
      </c>
      <c r="F229" s="17" t="inlineStr">
        <is>
          <t>Rejected / Lost</t>
        </is>
      </c>
      <c r="G229" s="17" t="inlineStr">
        <is>
          <t>Rajan Purani</t>
        </is>
      </c>
      <c r="H229" s="17" t="inlineStr">
        <is>
          <t>Rejected (Budget Mismatch)</t>
        </is>
      </c>
      <c r="I229" s="17" t="inlineStr">
        <is>
          <t>Req satelite, jodhpur, near jainderasar, 2BHK, 20k budget, semi furnished
[20 Sep '26, 1:15 PM] Options not available this locations | Transfer: Req satelite, jodhpur, near jainderasar, 2BHK, 20k budget, semi furnished | Transfer Note: Req satelite, jodhpur, near jainderasar, 2BHK, 20k budget, semi furnished | Followup: 2 BHk semi furnished options shared karva nd visit mate bolava | CRM: [Telecaller Key Points]: Req satelite, jodhpur, near jainderasar, 2BHK, 20k budget, semi furnished | CRM Followup: 2 BHk semi furnished options shared karva nd visit mate bolava | [Telecaller Key Points]: Req satelite, jodhpur, near jainderasar, 2BHK, 20k budget, semi furnished</t>
        </is>
      </c>
    </row>
    <row r="230" ht="20" customHeight="1">
      <c r="A230" s="57" t="n">
        <v>46282.69641672454</v>
      </c>
      <c r="B230" s="16" t="inlineStr">
        <is>
          <t>3. This Month (Sep 2026)</t>
        </is>
      </c>
      <c r="C230" s="14" t="inlineStr">
        <is>
          <t>Meta Ads (NB PropertyTech Survey Ad 3108)</t>
        </is>
      </c>
      <c r="D230" s="14" t="inlineStr">
        <is>
          <t>Paresh Gandhi (9879326725)</t>
        </is>
      </c>
      <c r="E230" s="14" t="inlineStr">
        <is>
          <t>Unassigned</t>
        </is>
      </c>
      <c r="F230" s="14" t="inlineStr">
        <is>
          <t>Sales</t>
        </is>
      </c>
      <c r="G230" s="14" t="inlineStr">
        <is>
          <t>Rajan Purani</t>
        </is>
      </c>
      <c r="H230" s="14" t="inlineStr">
        <is>
          <t>Follow-Up</t>
        </is>
      </c>
      <c r="I230" s="14" t="inlineStr">
        <is>
          <t>[Telecaller Key Points]: Req 2BHK, paldi, navangpura, narayanpura,law garden, 20-25k  budget, furnished,family | Transfer: Req 2BHK, paldi, navangpura, narayanpura,law garden, 20-25k  budget, furnished,family | Transfer Note: Req 2BHK, paldi, navangpura, narayanpura,law garden, 20-25k  budget, furnished,family | Followup: call eveing atyre office ma che | CRM: [Telecaller Key Points]: Req 2BHK, paldi, navangpura, narayanpura,law garden, 20-25k  budget, furnished,family | CRM Followup: call eveing atyre office ma che | Req 2BHK, paldi, navangpura, narayanpura,law garden, 20-25k  budget, furnished,family
[18 Sep '26, 12:41 PM] atyre office ma chu call after evening
[26 Sep '26, 3:51 PM] 20k ma all including furnished flat joye che</t>
        </is>
      </c>
    </row>
    <row r="231" ht="20" customHeight="1">
      <c r="A231" s="58" t="n">
        <v>46282.69022837963</v>
      </c>
      <c r="B231" s="19" t="inlineStr">
        <is>
          <t>3. This Month (Sep 2026)</t>
        </is>
      </c>
      <c r="C231" s="17" t="inlineStr">
        <is>
          <t>Meta Ads (NB PropertyTech Survey Ad 3108)</t>
        </is>
      </c>
      <c r="D231" s="17" t="inlineStr">
        <is>
          <t>Monil Parmar (7383372986)</t>
        </is>
      </c>
      <c r="E231" s="17" t="inlineStr">
        <is>
          <t>Unassigned</t>
        </is>
      </c>
      <c r="F231" s="17" t="inlineStr">
        <is>
          <t>Sales</t>
        </is>
      </c>
      <c r="G231" s="17" t="inlineStr">
        <is>
          <t>Rajan Purani</t>
        </is>
      </c>
      <c r="H231" s="17" t="inlineStr">
        <is>
          <t>Follow-Up</t>
        </is>
      </c>
      <c r="I231" s="17" t="inlineStr">
        <is>
          <t>Req sivranjni near 6-7km , 3BHK, 27k budget
[18 Sep '26, 12:46 PM] 3 BHK semi furnished falt joyee rahya che nr shayamal, shivranjni 28 to 30k ma options search kari ne share kara
[18 Sep '26, 12:49 PM] family sathe rehvanu che CA che | Transfer: Req sivranjni near 6-7km , 3BHK, 27k budget | Transfer Note: Req sivranjni near 6-7km , 3BHK, 27k budget | Followup: 3 BHK semi furnished falt joyee rahya che nr shayamal, shivranjni 28 to 30k ma options search kari ne share kara | CRM: [Telecaller Key Points]: Req sivranjni near 6-7km , 3BHK, 27k budget | CRM Followup: 3 BHK semi furnished falt joyee rahya che nr shayamal, shivranjni 28 to 30k ma options search kari ne share kara | [Telecaller Key Points]: Req sivranjni near 6-7km , 3BHK, 27k budget</t>
        </is>
      </c>
    </row>
    <row r="232" ht="20" customHeight="1">
      <c r="A232" s="57" t="n">
        <v>46282.68275619213</v>
      </c>
      <c r="B232" s="16" t="inlineStr">
        <is>
          <t>3. This Month (Sep 2026)</t>
        </is>
      </c>
      <c r="C232" s="14" t="inlineStr">
        <is>
          <t>Meta Ads (NB PropertyTech Survey Ad 3108)</t>
        </is>
      </c>
      <c r="D232" s="14" t="inlineStr">
        <is>
          <t>Dharmesh Khajanchi (9374509998)</t>
        </is>
      </c>
      <c r="E232" s="14" t="inlineStr">
        <is>
          <t>Unassigned</t>
        </is>
      </c>
      <c r="F232" s="14" t="inlineStr">
        <is>
          <t>Sales</t>
        </is>
      </c>
      <c r="G232" s="14" t="inlineStr">
        <is>
          <t>Somel Rathod</t>
        </is>
      </c>
      <c r="H232" s="14" t="inlineStr">
        <is>
          <t>Assigned</t>
        </is>
      </c>
      <c r="I232" s="14" t="inlineStr">
        <is>
          <t>Req sola, fully furnished 2BHK,with out furnished 3BHK, 22k budget | Transfer: Req sola, fully furnished 2BHK,with out furnished 3BHK, 22k budget | Transfer Note: Req sola, fully furnished 2BHK,with out furnished 3BHK, 22k budget | CRM: [Telecaller Key Points]: Req sola, fully furnished 2BHK,with out furnished 3BHK, 22k budget | [Telecaller Key Points]: Req sola, fully furnished 2BHK,with out furnished 3BHK, 22k budget</t>
        </is>
      </c>
    </row>
    <row r="233" ht="20" customHeight="1">
      <c r="A233" s="58" t="n">
        <v>46282.67851988426</v>
      </c>
      <c r="B233" s="19" t="inlineStr">
        <is>
          <t>3. This Month (Sep 2026)</t>
        </is>
      </c>
      <c r="C233" s="17" t="inlineStr">
        <is>
          <t>Meta Ads (NB PropertyTech Survey Ad 3108)</t>
        </is>
      </c>
      <c r="D233" s="17" t="inlineStr">
        <is>
          <t>Kirit (9824949012)</t>
        </is>
      </c>
      <c r="E233" s="17" t="inlineStr">
        <is>
          <t>Unassigned</t>
        </is>
      </c>
      <c r="F233" s="17" t="inlineStr">
        <is>
          <t>Rejected / Lost</t>
        </is>
      </c>
      <c r="G233" s="17" t="inlineStr">
        <is>
          <t>Rajan Purani</t>
        </is>
      </c>
      <c r="H233" s="17" t="inlineStr">
        <is>
          <t>Rejected (Locality Mismatch)</t>
        </is>
      </c>
      <c r="I233" s="17" t="inlineStr">
        <is>
          <t>Req 2bhk ,bopal , navangpura ,family | Transfer: Req 2bhk ,bopal , navangpura ,family | Transfer Note: Req 2bhk ,bopal , navangpura ,family | Followup: cnr | CRM: [Telecaller Key Points]: Req 2bhk ,bopal , navangpura ,family,, 15k ma 1/2 bhk joiye che | CRM Followup: cnr | [Telecaller Key Points]: Req 2bhk ,bopal , navangpura ,family,, 15k ma 1/2 bhk joiye che</t>
        </is>
      </c>
    </row>
    <row r="234" ht="20" customHeight="1">
      <c r="A234" s="57" t="n">
        <v>46282.63801335648</v>
      </c>
      <c r="B234" s="16" t="inlineStr">
        <is>
          <t>3. This Month (Sep 2026)</t>
        </is>
      </c>
      <c r="C234" s="14" t="inlineStr">
        <is>
          <t>Direct / Manual</t>
        </is>
      </c>
      <c r="D234" s="14" t="inlineStr">
        <is>
          <t>Test (7789990098)</t>
        </is>
      </c>
      <c r="E234" s="14" t="inlineStr">
        <is>
          <t>Unassigned</t>
        </is>
      </c>
      <c r="F234" s="14" t="inlineStr">
        <is>
          <t>Rejected / Lost</t>
        </is>
      </c>
      <c r="G234" s="14" t="inlineStr">
        <is>
          <t>Somel Rathod</t>
        </is>
      </c>
      <c r="H234" s="14" t="inlineStr">
        <is>
          <t>Rejected (Others)</t>
        </is>
      </c>
      <c r="I234" s="14" t="inlineStr">
        <is>
          <t>gjfghdfxh | CRM: gjfghdfxh</t>
        </is>
      </c>
    </row>
    <row r="235" ht="20" customHeight="1">
      <c r="A235" s="58" t="n">
        <v>46282.63656898148</v>
      </c>
      <c r="B235" s="19" t="inlineStr">
        <is>
          <t>3. This Month (Sep 2026)</t>
        </is>
      </c>
      <c r="C235" s="17" t="inlineStr">
        <is>
          <t>Direct / Manual</t>
        </is>
      </c>
      <c r="D235" s="17" t="inlineStr">
        <is>
          <t>Kamlesh Bhai (9510572173)</t>
        </is>
      </c>
      <c r="E235" s="17" t="inlineStr">
        <is>
          <t>Unassigned</t>
        </is>
      </c>
      <c r="F235" s="17" t="inlineStr">
        <is>
          <t>Rejected / Lost</t>
        </is>
      </c>
      <c r="G235" s="17" t="inlineStr">
        <is>
          <t>Rakesh Jadav</t>
        </is>
      </c>
      <c r="H235" s="17" t="inlineStr">
        <is>
          <t>Rejected (Locality Mismatch)</t>
        </is>
      </c>
      <c r="I235" s="17" t="inlineStr">
        <is>
          <t>amne 1st and 2nd flore ma joiye che semi furnished 25k aspas
[17 Sep '26, 3:26 PM] 1  2 secound parj joiye che amne | Followup: 1,2 nd flore j joiye scince city sola ma j joiye | CRM: amne 1st and 2nd flore ma joiye che semi furnished 25k aspas | CRM Followup: 1,2 nd flore j joiye scince city sola ma j joiye | amne 1st and 2nd flore ma joiye che semi furnished 25k aspas</t>
        </is>
      </c>
    </row>
    <row r="236" ht="20" customHeight="1">
      <c r="A236" s="57" t="n">
        <v>46282.5475959375</v>
      </c>
      <c r="B236" s="16" t="inlineStr">
        <is>
          <t>3. This Month (Sep 2026)</t>
        </is>
      </c>
      <c r="C236" s="14" t="inlineStr">
        <is>
          <t>Direct / Manual</t>
        </is>
      </c>
      <c r="D236" s="14" t="inlineStr">
        <is>
          <t>Poonam Ghaskadvi (9879495579)</t>
        </is>
      </c>
      <c r="E236" s="14" t="inlineStr">
        <is>
          <t>Unassigned</t>
        </is>
      </c>
      <c r="F236" s="14" t="inlineStr">
        <is>
          <t>Site Visit Scheduled</t>
        </is>
      </c>
      <c r="G236" s="14" t="inlineStr">
        <is>
          <t>Rajan Purani</t>
        </is>
      </c>
      <c r="H236" s="14" t="inlineStr">
        <is>
          <t>Not Started</t>
        </is>
      </c>
      <c r="I236" s="14" t="inlineStr">
        <is>
          <t>[17 Sep '26, 1:09 PM] Options share karva nd sunday visit mate aavse | CRM: 2 BHk semi Furnished joye che vastrapur mansi cross road najik ma | 2 BHk semi Furnished joye che vastrapur mansi cross road najik ma</t>
        </is>
      </c>
    </row>
    <row r="237" ht="20" customHeight="1">
      <c r="A237" s="58" t="n">
        <v>46282.47612174768</v>
      </c>
      <c r="B237" s="19" t="inlineStr">
        <is>
          <t>3. This Month (Sep 2026)</t>
        </is>
      </c>
      <c r="C237" s="17" t="inlineStr">
        <is>
          <t>Meta Ads (NB PropertyTech Survey Ad 3108)</t>
        </is>
      </c>
      <c r="D237" s="17" t="inlineStr">
        <is>
          <t>Adv Ankita Bafna (9468510237)</t>
        </is>
      </c>
      <c r="E237" s="17" t="inlineStr">
        <is>
          <t>Prexa Vithalapara</t>
        </is>
      </c>
      <c r="F237" s="17" t="inlineStr">
        <is>
          <t>Interested</t>
        </is>
      </c>
      <c r="G237" s="17" t="inlineStr">
        <is>
          <t>Rakesh Jadav</t>
        </is>
      </c>
      <c r="H237" s="17" t="inlineStr">
        <is>
          <t>Rejected (Negotiation Failed)</t>
        </is>
      </c>
      <c r="I237" s="17" t="inlineStr">
        <is>
          <t>[17 Sep '26, 11:26 AM] 2bhk highcort near ma che 1/2bhk chale amne /working che /furnished ma joiye single che aadvocate che | Followup: option work out krvana che amna maate single re che highcort ma advocate che near by ma joiye che furnished flate | CRM: [Staying: working professionals] [Campaign: NB PropertyTech Survey Ad 3108] Imported from Campaign Leads (Meta Ads). | CRM Followup: option work out krvana che amna maate single re che highcort ma advocate che near by ma joiye che furnished flate | [Staying: working professionals] [Campaign: NB PropertyTech Survey Ad 3108] Imported from Campaign Leads (Meta Ads).</t>
        </is>
      </c>
    </row>
    <row r="238" ht="20" customHeight="1">
      <c r="A238" s="57" t="n">
        <v>46282.47254370371</v>
      </c>
      <c r="B238" s="16" t="inlineStr">
        <is>
          <t>3. This Month (Sep 2026)</t>
        </is>
      </c>
      <c r="C238" s="14" t="inlineStr">
        <is>
          <t>Meta Ads (NB PropertyTech Survey Ad 3108)</t>
        </is>
      </c>
      <c r="D238" s="14" t="inlineStr">
        <is>
          <t>Ashrita Bahuguna (9638150632)</t>
        </is>
      </c>
      <c r="E238" s="14" t="inlineStr">
        <is>
          <t>Prexa Vithalapara</t>
        </is>
      </c>
      <c r="F238" s="14" t="inlineStr">
        <is>
          <t>Interested</t>
        </is>
      </c>
      <c r="G238" s="14" t="inlineStr">
        <is>
          <t>Rajan Purani</t>
        </is>
      </c>
      <c r="H238" s="14" t="inlineStr">
        <is>
          <t>Rejected (Already Rented)</t>
        </is>
      </c>
      <c r="I238" s="14" t="inlineStr">
        <is>
          <t>[17 Sep '26, 11:21 AM] 4bhk semi 35k falt nr chandkheda, gota, jagatpur
[17 Sep '26, 11:52 AM] amne lai lidhu che | CRM: [Staying: family] [Campaign: NB PropertyTech Survey Ad 3108] Imported from Campaign Leads (Meta Ads). | [Staying: family] [Campaign: NB PropertyTech Survey Ad 3108] Imported from Campaign Leads (Meta Ads).</t>
        </is>
      </c>
    </row>
    <row r="239" ht="20" customHeight="1">
      <c r="A239" s="58" t="n">
        <v>46282.04264747685</v>
      </c>
      <c r="B239" s="19" t="inlineStr">
        <is>
          <t>3. This Month (Sep 2026)</t>
        </is>
      </c>
      <c r="C239" s="17" t="inlineStr">
        <is>
          <t>Meta Ads (NB PropertyTech Survey Ad 0308)</t>
        </is>
      </c>
      <c r="D239" s="17" t="inlineStr">
        <is>
          <t>Isha_59 (9510828745)</t>
        </is>
      </c>
      <c r="E239" s="17" t="inlineStr">
        <is>
          <t>Unassigned</t>
        </is>
      </c>
      <c r="F239" s="17" t="inlineStr">
        <is>
          <t>Sales</t>
        </is>
      </c>
      <c r="G239" s="17" t="inlineStr">
        <is>
          <t>Rakesh Jadav</t>
        </is>
      </c>
      <c r="H239" s="17" t="inlineStr">
        <is>
          <t>Assigned</t>
        </is>
      </c>
      <c r="I239" s="17" t="inlineStr">
        <is>
          <t>testing lead | Transfer: testing lead | Transfer Note: testing lead | CRM: .</t>
        </is>
      </c>
    </row>
    <row r="240" ht="20" customHeight="1">
      <c r="A240" s="57" t="n">
        <v>46281.77379841435</v>
      </c>
      <c r="B240" s="16" t="inlineStr">
        <is>
          <t>3. This Month (Sep 2026)</t>
        </is>
      </c>
      <c r="C240" s="14" t="inlineStr">
        <is>
          <t>Meta Ads (NB PropertyTech Survey Ad 0308)</t>
        </is>
      </c>
      <c r="D240" s="14" t="inlineStr">
        <is>
          <t>Rawal Dipali (9327427009)</t>
        </is>
      </c>
      <c r="E240" s="14" t="inlineStr">
        <is>
          <t>Unassigned</t>
        </is>
      </c>
      <c r="F240" s="14" t="inlineStr">
        <is>
          <t>Sales</t>
        </is>
      </c>
      <c r="G240" s="14" t="inlineStr">
        <is>
          <t>Rakesh Jadav</t>
        </is>
      </c>
      <c r="H240" s="14" t="inlineStr">
        <is>
          <t>Assigned</t>
        </is>
      </c>
      <c r="I240" s="14" t="inlineStr">
        <is>
          <t>testing | Transfer: testing | Transfer Note: testing | CRM: .</t>
        </is>
      </c>
    </row>
    <row r="241" ht="20" customHeight="1">
      <c r="A241" s="58" t="n">
        <v>46281.70240678241</v>
      </c>
      <c r="B241" s="19" t="inlineStr">
        <is>
          <t>3. This Month (Sep 2026)</t>
        </is>
      </c>
      <c r="C241" s="17" t="inlineStr">
        <is>
          <t>Meta Ads (NB PropertyTech Survey Ad 0308)</t>
        </is>
      </c>
      <c r="D241" s="17" t="inlineStr">
        <is>
          <t>Hiral (9377873232)</t>
        </is>
      </c>
      <c r="E241" s="17" t="inlineStr">
        <is>
          <t>Unassigned</t>
        </is>
      </c>
      <c r="F241" s="17" t="inlineStr">
        <is>
          <t>Rejected / Lost</t>
        </is>
      </c>
      <c r="G241" s="17" t="inlineStr">
        <is>
          <t>Rakesh Jadav</t>
        </is>
      </c>
      <c r="H241" s="17" t="inlineStr">
        <is>
          <t>Call Attempted (Open)</t>
        </is>
      </c>
      <c r="I241" s="17" t="inlineStr">
        <is>
          <t>testing lead | Transfer: testing lead | Transfer Note: testing lead | CRM: ---- | ----</t>
        </is>
      </c>
    </row>
    <row r="242" ht="20" customHeight="1">
      <c r="A242" s="57" t="n">
        <v>46281.68735063657</v>
      </c>
      <c r="B242" s="16" t="inlineStr">
        <is>
          <t>3. This Month (Sep 2026)</t>
        </is>
      </c>
      <c r="C242" s="14" t="inlineStr">
        <is>
          <t>Meta Ads (NB PropertyTech Survey Ad 3108)</t>
        </is>
      </c>
      <c r="D242" s="14" t="inlineStr">
        <is>
          <t>Indulgence (9879182974)</t>
        </is>
      </c>
      <c r="E242" s="14" t="inlineStr">
        <is>
          <t>Zeel Mudaliyar</t>
        </is>
      </c>
      <c r="F242" s="14" t="inlineStr">
        <is>
          <t>Interested</t>
        </is>
      </c>
      <c r="G242" s="14" t="inlineStr">
        <is>
          <t>Rajan Purani</t>
        </is>
      </c>
      <c r="H242" s="14" t="inlineStr">
        <is>
          <t>Re-Followup</t>
        </is>
      </c>
      <c r="I242" s="14" t="inlineStr">
        <is>
          <t>[16 Sep '26, 4:30 PM] req- 3bhk budget- 30to35k Location- gurukul to thaltej   (  full/semi furnished )
[21 Sep '26, 10:43 AM] 3 BHK furnished flat gurukul to thaltej ma 35k ma | Followup: details share kari ne  visit ma bolava | CRM: [Staying: family] [Campaign: NB PropertyTech Survey Ad 3108] Imported from Campaign Leads (Meta Ads). | CRM Followup: details share kari ne  visit ma bolava | [Staying: family] [Campaign: NB PropertyTech Survey Ad 3108] Imported from Campaign Leads (Meta Ads).</t>
        </is>
      </c>
    </row>
    <row r="243" ht="20" customHeight="1">
      <c r="A243" s="58" t="n">
        <v>46281.68276677083</v>
      </c>
      <c r="B243" s="19" t="inlineStr">
        <is>
          <t>3. This Month (Sep 2026)</t>
        </is>
      </c>
      <c r="C243" s="17" t="inlineStr">
        <is>
          <t>Meta Ads (NB PropertyTech Survey Ad 3108)</t>
        </is>
      </c>
      <c r="D243" s="17" t="inlineStr">
        <is>
          <t>Samir Soni (royal Heart) (9925926354)</t>
        </is>
      </c>
      <c r="E243" s="17" t="inlineStr">
        <is>
          <t>Zeel Mudaliyar</t>
        </is>
      </c>
      <c r="F243" s="17" t="inlineStr">
        <is>
          <t>Interested</t>
        </is>
      </c>
      <c r="G243" s="17" t="inlineStr">
        <is>
          <t>Somel Rathod</t>
        </is>
      </c>
      <c r="H243" s="17" t="inlineStr">
        <is>
          <t>Interested</t>
        </is>
      </c>
      <c r="I243" s="17" t="inlineStr">
        <is>
          <t>[16 Sep '26, 4:25 PM] Req- 4bhk Bunhalow Budget-1lk Location- Rajpat rangoli road | CRM: [Staying: family] [Campaign: NB PropertyTech Survey Ad 3108] Imported from Campaign Leads (Meta Ads). | [Staying: family] [Campaign: NB PropertyTech Survey Ad 3108] Imported from Campaign Leads (Meta Ads).</t>
        </is>
      </c>
    </row>
    <row r="244" ht="20" customHeight="1">
      <c r="A244" s="57" t="n">
        <v>46281.6805971412</v>
      </c>
      <c r="B244" s="16" t="inlineStr">
        <is>
          <t>3. This Month (Sep 2026)</t>
        </is>
      </c>
      <c r="C244" s="14" t="inlineStr">
        <is>
          <t>Meta Ads (NB PropertyTech Survey Ad 3108)</t>
        </is>
      </c>
      <c r="D244" s="14" t="inlineStr">
        <is>
          <t>Vishva Bhavsar (6354834054)</t>
        </is>
      </c>
      <c r="E244" s="14" t="inlineStr">
        <is>
          <t>Zeel Mudaliyar</t>
        </is>
      </c>
      <c r="F244" s="14" t="inlineStr">
        <is>
          <t>Interested</t>
        </is>
      </c>
      <c r="G244" s="14" t="inlineStr">
        <is>
          <t>Rajan Purani</t>
        </is>
      </c>
      <c r="H244" s="14" t="inlineStr">
        <is>
          <t>Rejected (No Requirement)</t>
        </is>
      </c>
      <c r="I244" s="14" t="inlineStr">
        <is>
          <t>[16 Sep '26, 4:20 PM] 2 bhk req. 17k max with family nr jagatpur gota | CRM: [Staying: family] [Campaign: NB PropertyTech Survey Ad 3108] Imported from Campaign Leads (Meta Ads). | [Staying: family] [Campaign: NB PropertyTech Survey Ad 3108] Imported from Campaign Leads (Meta Ads).</t>
        </is>
      </c>
    </row>
    <row r="245" ht="20" customHeight="1">
      <c r="A245" s="58" t="n">
        <v>46281.66489488426</v>
      </c>
      <c r="B245" s="19" t="inlineStr">
        <is>
          <t>3. This Month (Sep 2026)</t>
        </is>
      </c>
      <c r="C245" s="17" t="inlineStr">
        <is>
          <t>Meta Ads (NB PropertyTech Survey Ad 3108)</t>
        </is>
      </c>
      <c r="D245" s="17" t="inlineStr">
        <is>
          <t>Ashok Ojha (6376080197)</t>
        </is>
      </c>
      <c r="E245" s="17" t="inlineStr">
        <is>
          <t>Zeel Mudaliyar</t>
        </is>
      </c>
      <c r="F245" s="17" t="inlineStr">
        <is>
          <t>Interested</t>
        </is>
      </c>
      <c r="G245" s="17" t="inlineStr">
        <is>
          <t>Rakesh Jadav</t>
        </is>
      </c>
      <c r="H245" s="17" t="inlineStr">
        <is>
          <t>Rejected (No Requirement)</t>
        </is>
      </c>
      <c r="I245" s="17" t="inlineStr">
        <is>
          <t>[16 Sep '26, 3:57 PM] call kaape che /cnr/call kape che /call kape che
[16 Sep '26, 4:33 PM] cnr
[17 Sep '26, 11:08 AM] cnr | Followup: whatsp msg kryo che kese | CRM: [Staying: family] [Campaign: NB PropertyTech Survey Ad 3108] Imported from Campaign Leads (Meta Ads). | CRM Followup: whatsp msg kryo che kese | [Staying: family] [Campaign: NB PropertyTech Survey Ad 3108] Imported from Campaign Leads (Meta Ads).</t>
        </is>
      </c>
    </row>
    <row r="246" ht="20" customHeight="1">
      <c r="A246" s="57" t="n">
        <v>46281.66370193287</v>
      </c>
      <c r="B246" s="16" t="inlineStr">
        <is>
          <t>3. This Month (Sep 2026)</t>
        </is>
      </c>
      <c r="C246" s="14" t="inlineStr">
        <is>
          <t>Meta Ads (NB PropertyTech Survey Ad 3108)</t>
        </is>
      </c>
      <c r="D246" s="14" t="inlineStr">
        <is>
          <t>Sandip Bhalsod (9725813818)</t>
        </is>
      </c>
      <c r="E246" s="14" t="inlineStr">
        <is>
          <t>Unassigned</t>
        </is>
      </c>
      <c r="F246" s="14" t="inlineStr">
        <is>
          <t>Sales</t>
        </is>
      </c>
      <c r="G246" s="14" t="inlineStr">
        <is>
          <t>Somel Rathod</t>
        </is>
      </c>
      <c r="H246" s="14" t="inlineStr">
        <is>
          <t>Rejected (Already Rented)</t>
        </is>
      </c>
      <c r="I246" s="14" t="inlineStr">
        <is>
          <t>testing leads | Transfer: testing leads | Transfer Note: testing leads | CRM: [Telecaller Key Points]: . | [Telecaller Key Points]: .</t>
        </is>
      </c>
    </row>
    <row r="247" ht="20" customHeight="1">
      <c r="A247" s="58" t="n">
        <v>46281.66282358796</v>
      </c>
      <c r="B247" s="19" t="inlineStr">
        <is>
          <t>3. This Month (Sep 2026)</t>
        </is>
      </c>
      <c r="C247" s="17" t="inlineStr">
        <is>
          <t>Meta Ads (NB PropertyTech Survey Ad 3108)</t>
        </is>
      </c>
      <c r="D247" s="17" t="inlineStr">
        <is>
          <t>ʜɪʀᴇɴ ᴘʀᴀᴊᴀᴘᴀᴛɪ (7048612207)</t>
        </is>
      </c>
      <c r="E247" s="17" t="inlineStr">
        <is>
          <t>Zeel Mudaliyar</t>
        </is>
      </c>
      <c r="F247" s="17" t="inlineStr">
        <is>
          <t>Interested</t>
        </is>
      </c>
      <c r="G247" s="17" t="inlineStr">
        <is>
          <t>Somel Rathod</t>
        </is>
      </c>
      <c r="H247" s="17" t="inlineStr">
        <is>
          <t>Re-Followup</t>
        </is>
      </c>
      <c r="I247" s="17" t="inlineStr">
        <is>
          <t>[16 Sep '26, 3:55 PM] Req- 2bhk budget-20k Location- bodakdev,bopal shilaj | Followup: Call not responding | CRM: [Staying: family] [Campaign: NB PropertyTech Survey Ad 3108] Imported from Campaign Leads (Meta Ads). | CRM Followup: Call not responding | [Staying: family] [Campaign: NB PropertyTech Survey Ad 3108] Imported from Campaign Leads (Meta Ads).</t>
        </is>
      </c>
    </row>
    <row r="248" ht="20" customHeight="1">
      <c r="A248" s="57" t="n">
        <v>46281.66048012731</v>
      </c>
      <c r="B248" s="16" t="inlineStr">
        <is>
          <t>3. This Month (Sep 2026)</t>
        </is>
      </c>
      <c r="C248" s="14" t="inlineStr">
        <is>
          <t>Meta Ads (NB PropertyTech Survey Ad 3108)</t>
        </is>
      </c>
      <c r="D248" s="14" t="inlineStr">
        <is>
          <t>Mayur Garg (7014656900)</t>
        </is>
      </c>
      <c r="E248" s="14" t="inlineStr">
        <is>
          <t>Zeel Mudaliyar</t>
        </is>
      </c>
      <c r="F248" s="14" t="inlineStr">
        <is>
          <t>Rejected / Lost</t>
        </is>
      </c>
      <c r="G248" s="14" t="inlineStr">
        <is>
          <t>Somel Rathod</t>
        </is>
      </c>
      <c r="H248" s="14" t="inlineStr">
        <is>
          <t>Rejected (No Requirement)</t>
        </is>
      </c>
      <c r="I248" s="14" t="inlineStr">
        <is>
          <t>[16 Sep '26, 3:51 PM] Req -3BHK full furnished budget -35to40k Location Su/bopal ( option send to safal parisar 2 50k rent 3bhk  ) | Followup: 6 Aradhan socity 3bhk bungalow detail send sunday visit nu kidhu che | CRM: null | CRM Followup: 6 Aradhan socity 3bhk bungalow detail send sunday visit nu kidhu che | null</t>
        </is>
      </c>
    </row>
    <row r="249" ht="20" customHeight="1">
      <c r="A249" s="58" t="n">
        <v>46281.65961311343</v>
      </c>
      <c r="B249" s="19" t="inlineStr">
        <is>
          <t>3. This Month (Sep 2026)</t>
        </is>
      </c>
      <c r="C249" s="17" t="inlineStr">
        <is>
          <t>Meta Ads (NB PropertyTech Survey Ad 3108)</t>
        </is>
      </c>
      <c r="D249" s="17" t="inlineStr">
        <is>
          <t>Shrenik Mehta (9825267672)</t>
        </is>
      </c>
      <c r="E249" s="17" t="inlineStr">
        <is>
          <t>Zeel Mudaliyar</t>
        </is>
      </c>
      <c r="F249" s="17" t="inlineStr">
        <is>
          <t>Interested</t>
        </is>
      </c>
      <c r="G249" s="17" t="inlineStr">
        <is>
          <t>Rajan Purani</t>
        </is>
      </c>
      <c r="H249" s="17" t="inlineStr">
        <is>
          <t>Re-Followup</t>
        </is>
      </c>
      <c r="I249" s="17" t="inlineStr">
        <is>
          <t>[16 Sep '26, 3:50 PM] 2 BHK semi furninished gota nr joye che 25 k ma
[17 Sep '26, 10:50 AM] CNR Wp Drop
[17 Sep '26, 11:57 AM] Rent mate atyre postpond che but sale mate joye che 3bhk 80 lakh ma joye che naranpura navarangpura locations ma | Followup: searching options and sahre | CRM: 3 BHK faly req 80 lakh naranpura near ma joye che options search kari ne mokalva 6 month possession hase toh pan chalse | CRM Followup: searching options and sahre | 3 BHK faly req 80 lakh naranpura near ma joye che options search kari ne mokalva 6 month possession hase toh pan chalse</t>
        </is>
      </c>
    </row>
    <row r="250" ht="20" customHeight="1">
      <c r="A250" s="57" t="n">
        <v>46281.65477078703</v>
      </c>
      <c r="B250" s="16" t="inlineStr">
        <is>
          <t>3. This Month (Sep 2026)</t>
        </is>
      </c>
      <c r="C250" s="14" t="inlineStr">
        <is>
          <t>Meta Ads (NB PropertyTech Survey Ad 3108)</t>
        </is>
      </c>
      <c r="D250" s="14" t="inlineStr">
        <is>
          <t>Siya (6359731685)</t>
        </is>
      </c>
      <c r="E250" s="14" t="inlineStr">
        <is>
          <t>Zeel Mudaliyar</t>
        </is>
      </c>
      <c r="F250" s="14" t="inlineStr">
        <is>
          <t>Rejected / Lost</t>
        </is>
      </c>
      <c r="G250" s="14" t="inlineStr">
        <is>
          <t>Rakesh Jadav</t>
        </is>
      </c>
      <c r="H250" s="14" t="inlineStr">
        <is>
          <t>Rejected (Not Answering)</t>
        </is>
      </c>
      <c r="I250" s="14" t="inlineStr">
        <is>
          <t>[16 Sep '26, 3:43 PM] cnr/17k buget che 4 vage pearl hight visit  ma avse /amne 2 divas thi ke che bt avta nathi cnr call cnr
[17 Sep '26, 3:28 PM] always busy che
[18 Sep '26, 3:52 PM] cnr | Followup: cnr | CRM: amne pearl hight mate vat chale avse tyare kese | CRM Followup: cnr | amne pearl hight mate vat chale avse tyare kese</t>
        </is>
      </c>
    </row>
    <row r="251" ht="20" customHeight="1">
      <c r="A251" s="58" t="n">
        <v>46281.65345653935</v>
      </c>
      <c r="B251" s="19" t="inlineStr">
        <is>
          <t>3. This Month (Sep 2026)</t>
        </is>
      </c>
      <c r="C251" s="17" t="inlineStr">
        <is>
          <t>Meta Ads (NB PropertyTech Survey Ad 3108)</t>
        </is>
      </c>
      <c r="D251" s="17" t="inlineStr">
        <is>
          <t>Dhaval Shah (7990880622)</t>
        </is>
      </c>
      <c r="E251" s="17" t="inlineStr">
        <is>
          <t>Zeel Mudaliyar</t>
        </is>
      </c>
      <c r="F251" s="17" t="inlineStr">
        <is>
          <t>Interested</t>
        </is>
      </c>
      <c r="G251" s="17" t="inlineStr">
        <is>
          <t>Rakesh Jadav</t>
        </is>
      </c>
      <c r="H251" s="17" t="inlineStr">
        <is>
          <t>Rejected (No Requirement)</t>
        </is>
      </c>
      <c r="I251" s="17" t="inlineStr">
        <is>
          <t>[16 Sep '26, 3:41 PM] amne semi and furnished joiye gota vaisnodevi vastrapur / pearl hight and ganesh genesis no option send kryo che | CRM: [Staying: family] [Campaign: NB PropertyTech Survey Ad 3108] Imported from Campaign Leads (Meta Ads). | [Staying: family] [Campaign: NB PropertyTech Survey Ad 3108] Imported from Campaign Leads (Meta Ads).</t>
        </is>
      </c>
    </row>
    <row r="252" ht="20" customHeight="1">
      <c r="A252" s="57" t="n">
        <v>46281.65055431713</v>
      </c>
      <c r="B252" s="16" t="inlineStr">
        <is>
          <t>3. This Month (Sep 2026)</t>
        </is>
      </c>
      <c r="C252" s="14" t="inlineStr">
        <is>
          <t>Meta Ads (NB PropertyTech Survey Ad 0308)</t>
        </is>
      </c>
      <c r="D252" s="14" t="inlineStr">
        <is>
          <t>Akash Gupta (7976535242)</t>
        </is>
      </c>
      <c r="E252" s="14" t="inlineStr">
        <is>
          <t>Unassigned</t>
        </is>
      </c>
      <c r="F252" s="14" t="inlineStr">
        <is>
          <t>Rejected / Lost</t>
        </is>
      </c>
      <c r="G252" s="14" t="inlineStr">
        <is>
          <t>Rakesh Jadav</t>
        </is>
      </c>
      <c r="H252" s="14" t="inlineStr">
        <is>
          <t>Interested</t>
        </is>
      </c>
      <c r="I252" s="14" t="inlineStr">
        <is>
          <t>testing leads | Transfer: testing leads | Transfer Note: testing leads | CRM: --- | ---</t>
        </is>
      </c>
    </row>
    <row r="253" ht="20" customHeight="1">
      <c r="A253" s="58" t="n">
        <v>46281.60800925926</v>
      </c>
      <c r="B253" s="19" t="inlineStr">
        <is>
          <t>3. This Month (Sep 2026)</t>
        </is>
      </c>
      <c r="C253" s="17" t="inlineStr">
        <is>
          <t>Direct / Manual</t>
        </is>
      </c>
      <c r="D253" s="17" t="inlineStr">
        <is>
          <t>Testing Leads Manually Add (1326568974)</t>
        </is>
      </c>
      <c r="E253" s="17" t="inlineStr">
        <is>
          <t>Unassigned</t>
        </is>
      </c>
      <c r="F253" s="17" t="inlineStr">
        <is>
          <t>Sales</t>
        </is>
      </c>
      <c r="G253" s="17" t="inlineStr">
        <is>
          <t>Not Assigned</t>
        </is>
      </c>
      <c r="H253" s="17" t="inlineStr">
        <is>
          <t>N/A (Not Assigned)</t>
        </is>
      </c>
      <c r="I253" s="17" t="inlineStr">
        <is>
          <t>Hello This Is a testing lead -- do not take any action | CRM: Hello This Is a testing lead -- do not take any action</t>
        </is>
      </c>
    </row>
    <row r="254" ht="20" customHeight="1">
      <c r="A254" s="57" t="n">
        <v>46281.60418307871</v>
      </c>
      <c r="B254" s="16" t="inlineStr">
        <is>
          <t>3. This Month (Sep 2026)</t>
        </is>
      </c>
      <c r="C254" s="14" t="inlineStr">
        <is>
          <t>Meta Ads (NB PropertyTech Survey Ad 0308)</t>
        </is>
      </c>
      <c r="D254" s="14" t="inlineStr">
        <is>
          <t>Pm Patel (6354353965)</t>
        </is>
      </c>
      <c r="E254" s="14" t="inlineStr">
        <is>
          <t>Unassigned</t>
        </is>
      </c>
      <c r="F254" s="14" t="inlineStr">
        <is>
          <t>Rejected / Lost</t>
        </is>
      </c>
      <c r="G254" s="14" t="inlineStr">
        <is>
          <t>Rakesh Jadav</t>
        </is>
      </c>
      <c r="H254" s="14" t="inlineStr">
        <is>
          <t>Assigned</t>
        </is>
      </c>
      <c r="I254" s="14" t="inlineStr">
        <is>
          <t>testing lead | Transfer: testing lead | Transfer Note: testing lead | Followup: .. | CRM: --- | CRM Followup: .. | ---</t>
        </is>
      </c>
    </row>
    <row r="255" ht="20" customHeight="1">
      <c r="A255" s="58" t="n">
        <v>46281.59800436343</v>
      </c>
      <c r="B255" s="19" t="inlineStr">
        <is>
          <t>3. This Month (Sep 2026)</t>
        </is>
      </c>
      <c r="C255" s="17" t="inlineStr">
        <is>
          <t>Meta Ads (NB PropertyTech Survey Ad 3108)</t>
        </is>
      </c>
      <c r="D255" s="17" t="inlineStr">
        <is>
          <t>Rakeshkumar Rajendrakumar Karan (8511744406)</t>
        </is>
      </c>
      <c r="E255" s="17" t="inlineStr">
        <is>
          <t>Zeel Mudaliyar</t>
        </is>
      </c>
      <c r="F255" s="17" t="inlineStr">
        <is>
          <t>Rejected / Lost</t>
        </is>
      </c>
      <c r="G255" s="17" t="inlineStr">
        <is>
          <t>Not Assigned</t>
        </is>
      </c>
      <c r="H255" s="17" t="inlineStr">
        <is>
          <t>N/A (Not Assigned)</t>
        </is>
      </c>
      <c r="I255" s="17" t="inlineStr">
        <is>
          <t>-</t>
        </is>
      </c>
    </row>
    <row r="256" ht="20" customHeight="1">
      <c r="A256" s="57" t="n">
        <v>46281.59800273148</v>
      </c>
      <c r="B256" s="16" t="inlineStr">
        <is>
          <t>3. This Month (Sep 2026)</t>
        </is>
      </c>
      <c r="C256" s="14" t="inlineStr">
        <is>
          <t>Meta Ads (NB PropertyTech Survey Ad 3108)</t>
        </is>
      </c>
      <c r="D256" s="14" t="inlineStr">
        <is>
          <t>Saurabh Kumar Sinha (7984966684)</t>
        </is>
      </c>
      <c r="E256" s="14" t="inlineStr">
        <is>
          <t>Prexa Vithalapara</t>
        </is>
      </c>
      <c r="F256" s="14" t="inlineStr">
        <is>
          <t>Rejected / Lost</t>
        </is>
      </c>
      <c r="G256" s="14" t="inlineStr">
        <is>
          <t>Not Assigned</t>
        </is>
      </c>
      <c r="H256" s="14" t="inlineStr">
        <is>
          <t>N/A (Not Assigned)</t>
        </is>
      </c>
      <c r="I256" s="14" t="inlineStr">
        <is>
          <t>-</t>
        </is>
      </c>
    </row>
    <row r="257" ht="20" customHeight="1">
      <c r="A257" s="58" t="n">
        <v>46281.58295341435</v>
      </c>
      <c r="B257" s="19" t="inlineStr">
        <is>
          <t>3. This Month (Sep 2026)</t>
        </is>
      </c>
      <c r="C257" s="17" t="inlineStr">
        <is>
          <t>Meta Ads (NB PropertyTech Survey Ad 3108)</t>
        </is>
      </c>
      <c r="D257" s="17" t="inlineStr">
        <is>
          <t>Pankaj Gangadiya (9426233218)</t>
        </is>
      </c>
      <c r="E257" s="17" t="inlineStr">
        <is>
          <t>Unassigned</t>
        </is>
      </c>
      <c r="F257" s="17" t="inlineStr">
        <is>
          <t>Rejected / Lost</t>
        </is>
      </c>
      <c r="G257" s="17" t="inlineStr">
        <is>
          <t>Rajan Purani</t>
        </is>
      </c>
      <c r="H257" s="17" t="inlineStr">
        <is>
          <t>Rejected (No Requirement)</t>
        </is>
      </c>
      <c r="I257" s="17" t="inlineStr">
        <is>
          <t>required gurukul,satelite 30k budget 2BHK furnished
[17 Sep '26, 6:45 PM] Rakesh bhai ne transfer kari che bopal said rakesh bhai jove che | Transfer: required gurukul,satelite 30k budget 2BHK furnished | Transfer Note: required gurukul,satelite 30k budget 2BHK furnished | Followup: kale 4 vaage sahjanand oasis visit ma avse | CRM: required gurukul,satelite 30k budget 2BHK furnished | CRM Followup: kale 4 vaage sahjanand oasis visit ma avse | required gurukul,satelite 30k budget 2BHK furnished</t>
        </is>
      </c>
    </row>
    <row r="258" ht="20" customHeight="1">
      <c r="A258" s="57" t="n">
        <v>46281.58064457176</v>
      </c>
      <c r="B258" s="16" t="inlineStr">
        <is>
          <t>3. This Month (Sep 2026)</t>
        </is>
      </c>
      <c r="C258" s="14" t="inlineStr">
        <is>
          <t>Meta Ads (NB PropertyTech Survey Ad 0308)</t>
        </is>
      </c>
      <c r="D258" s="14" t="inlineStr">
        <is>
          <t>Sakshi Mehul Jain (9950443872)</t>
        </is>
      </c>
      <c r="E258" s="14" t="inlineStr">
        <is>
          <t>Unassigned</t>
        </is>
      </c>
      <c r="F258" s="14" t="inlineStr">
        <is>
          <t>Rejected / Lost</t>
        </is>
      </c>
      <c r="G258" s="14" t="inlineStr">
        <is>
          <t>Somel Rathod</t>
        </is>
      </c>
      <c r="H258" s="14" t="inlineStr">
        <is>
          <t>Assigned</t>
        </is>
      </c>
      <c r="I258" s="14" t="inlineStr">
        <is>
          <t>testing leads
[16 Sep '26, 2:53 PM] ... | Transfer: testing leads | Transfer Note: testing leads | CRM: --- | ---</t>
        </is>
      </c>
    </row>
    <row r="259" ht="20" customHeight="1">
      <c r="A259" s="58" t="n">
        <v>46281.57330809028</v>
      </c>
      <c r="B259" s="19" t="inlineStr">
        <is>
          <t>3. This Month (Sep 2026)</t>
        </is>
      </c>
      <c r="C259" s="17" t="inlineStr">
        <is>
          <t>Meta Ads (NB PropertyTech Survey Ad 0308)</t>
        </is>
      </c>
      <c r="D259" s="17" t="inlineStr">
        <is>
          <t>Manoj Jograna (6359587117)</t>
        </is>
      </c>
      <c r="E259" s="17" t="inlineStr">
        <is>
          <t>Unassigned</t>
        </is>
      </c>
      <c r="F259" s="17" t="inlineStr">
        <is>
          <t>Rejected / Lost</t>
        </is>
      </c>
      <c r="G259" s="17" t="inlineStr">
        <is>
          <t>Rajan Purani</t>
        </is>
      </c>
      <c r="H259" s="17" t="inlineStr">
        <is>
          <t>Assigned</t>
        </is>
      </c>
      <c r="I259" s="17" t="inlineStr">
        <is>
          <t>testing -leads -- | Transfer: testing -leads -- | Transfer Note: testing -leads -- | CRM: --- | ---</t>
        </is>
      </c>
    </row>
    <row r="260" ht="20" customHeight="1">
      <c r="A260" s="57" t="n">
        <v>46281.5713025</v>
      </c>
      <c r="B260" s="16" t="inlineStr">
        <is>
          <t>3. This Month (Sep 2026)</t>
        </is>
      </c>
      <c r="C260" s="14" t="inlineStr">
        <is>
          <t>Meta Ads (NB PropertyTech Survey Ad 3108)</t>
        </is>
      </c>
      <c r="D260" s="14" t="inlineStr">
        <is>
          <t>Mahendra Mehta (9327063788)</t>
        </is>
      </c>
      <c r="E260" s="14" t="inlineStr">
        <is>
          <t>Unassigned</t>
        </is>
      </c>
      <c r="F260" s="14" t="inlineStr">
        <is>
          <t>Sales</t>
        </is>
      </c>
      <c r="G260" s="14" t="inlineStr">
        <is>
          <t>Rakesh Jadav</t>
        </is>
      </c>
      <c r="H260" s="14" t="inlineStr">
        <is>
          <t>Rejected (Broker)</t>
        </is>
      </c>
      <c r="I260" s="14" t="inlineStr">
        <is>
          <t>Rquired 2bhk budget 20k preefered location navrangpura ,ghatlodiya | Transfer: Rquired 2bhk budget 20k preefered location navrangpura ,ghatlodiya | Transfer Note: Rquired 2bhk budget 20k preefered location navrangpura ,ghatlodiya | Followup: amne pearl ight ni detail sendk kri che | CRM: Rquired 2bhk budget 20k preefered location navrangpura ,ghatlodiya | CRM Followup: amne pearl ight ni detail sendk kri che</t>
        </is>
      </c>
    </row>
    <row r="261" ht="20" customHeight="1">
      <c r="A261" s="58" t="n">
        <v>46281.55792462963</v>
      </c>
      <c r="B261" s="19" t="inlineStr">
        <is>
          <t>3. This Month (Sep 2026)</t>
        </is>
      </c>
      <c r="C261" s="17" t="inlineStr">
        <is>
          <t>Meta Ads (NB PropertyTech Survey Ad 0308)</t>
        </is>
      </c>
      <c r="D261" s="17" t="inlineStr">
        <is>
          <t>Engisandip (9638883230)</t>
        </is>
      </c>
      <c r="E261" s="17" t="inlineStr">
        <is>
          <t>Unassigned</t>
        </is>
      </c>
      <c r="F261" s="17" t="inlineStr">
        <is>
          <t>Rejected / Lost</t>
        </is>
      </c>
      <c r="G261" s="17" t="inlineStr">
        <is>
          <t>Somel Rathod</t>
        </is>
      </c>
      <c r="H261" s="17" t="inlineStr">
        <is>
          <t>Assigned</t>
        </is>
      </c>
      <c r="I261" s="17" t="inlineStr">
        <is>
          <t>Testing leads | Transfer: Testing leads | Transfer Note: Testing leads | CRM: --- | ---</t>
        </is>
      </c>
    </row>
    <row r="262" ht="20" customHeight="1">
      <c r="A262" s="57" t="n">
        <v>46281.52222518519</v>
      </c>
      <c r="B262" s="16" t="inlineStr">
        <is>
          <t>3. This Month (Sep 2026)</t>
        </is>
      </c>
      <c r="C262" s="14" t="inlineStr">
        <is>
          <t>Meta Ads (NB PropertyTech Survey Ad 0308)</t>
        </is>
      </c>
      <c r="D262" s="14" t="inlineStr">
        <is>
          <t>Paresh Dagha (9574758322)</t>
        </is>
      </c>
      <c r="E262" s="14" t="inlineStr">
        <is>
          <t>Unassigned</t>
        </is>
      </c>
      <c r="F262" s="14" t="inlineStr">
        <is>
          <t>Rejected / Lost</t>
        </is>
      </c>
      <c r="G262" s="14" t="inlineStr">
        <is>
          <t>Rakesh Jadav</t>
        </is>
      </c>
      <c r="H262" s="14" t="inlineStr">
        <is>
          <t>Assigned</t>
        </is>
      </c>
      <c r="I262" s="14" t="inlineStr">
        <is>
          <t>hello testing leads | Transfer: hello testing leads | Transfer Note: hello testing leads | CRM: --- | ---</t>
        </is>
      </c>
    </row>
    <row r="263" ht="20" customHeight="1">
      <c r="A263" s="58" t="n">
        <v>46281.51368652777</v>
      </c>
      <c r="B263" s="19" t="inlineStr">
        <is>
          <t>3. This Month (Sep 2026)</t>
        </is>
      </c>
      <c r="C263" s="17" t="inlineStr">
        <is>
          <t>Meta Ads (NB PropertyTech Survey Ad 0308)</t>
        </is>
      </c>
      <c r="D263" s="17" t="inlineStr">
        <is>
          <t>Gopi Parmar (9328241229)</t>
        </is>
      </c>
      <c r="E263" s="17" t="inlineStr">
        <is>
          <t>Unassigned</t>
        </is>
      </c>
      <c r="F263" s="17" t="inlineStr">
        <is>
          <t>Rejected / Lost</t>
        </is>
      </c>
      <c r="G263" s="17" t="inlineStr">
        <is>
          <t>Rajan Purani</t>
        </is>
      </c>
      <c r="H263" s="17" t="inlineStr">
        <is>
          <t>Assigned</t>
        </is>
      </c>
      <c r="I263" s="17" t="inlineStr">
        <is>
          <t>this is testing leads -- | Transfer: this is testing leads -- | Transfer Note: this is testing leads -- | CRM: [Telecaller Key Points]: this is testing leads -- | [Telecaller Key Points]: this is testing leads --</t>
        </is>
      </c>
    </row>
    <row r="264" ht="20" customHeight="1">
      <c r="A264" s="57" t="n">
        <v>46281.50626646991</v>
      </c>
      <c r="B264" s="16" t="inlineStr">
        <is>
          <t>3. This Month (Sep 2026)</t>
        </is>
      </c>
      <c r="C264" s="14" t="inlineStr">
        <is>
          <t>Meta Ads (NB PropertyTech Survey Ad 0308)</t>
        </is>
      </c>
      <c r="D264" s="14" t="inlineStr">
        <is>
          <t>Urvi Dave (8866555863)</t>
        </is>
      </c>
      <c r="E264" s="14" t="inlineStr">
        <is>
          <t>Unassigned</t>
        </is>
      </c>
      <c r="F264" s="14" t="inlineStr">
        <is>
          <t>Rejected / Lost</t>
        </is>
      </c>
      <c r="G264" s="14" t="inlineStr">
        <is>
          <t>Rajan Purani</t>
        </is>
      </c>
      <c r="H264" s="14" t="inlineStr">
        <is>
          <t>Rejected (Others)</t>
        </is>
      </c>
      <c r="I264" s="14" t="inlineStr">
        <is>
          <t>hellp | Transfer: hellp | Transfer Note: hellp | CRM: hellp</t>
        </is>
      </c>
    </row>
    <row r="265" ht="20" customHeight="1">
      <c r="A265" s="58" t="n">
        <v>46281.50495321759</v>
      </c>
      <c r="B265" s="19" t="inlineStr">
        <is>
          <t>3. This Month (Sep 2026)</t>
        </is>
      </c>
      <c r="C265" s="17" t="inlineStr">
        <is>
          <t>Meta Ads (NB PropertyTech Survey Ad 0308)</t>
        </is>
      </c>
      <c r="D265" s="17" t="inlineStr">
        <is>
          <t>Reena K Gajjar (8160572906)</t>
        </is>
      </c>
      <c r="E265" s="17" t="inlineStr">
        <is>
          <t>Unassigned</t>
        </is>
      </c>
      <c r="F265" s="17" t="inlineStr">
        <is>
          <t>Rejected / Lost</t>
        </is>
      </c>
      <c r="G265" s="17" t="inlineStr">
        <is>
          <t>Rajan Purani</t>
        </is>
      </c>
      <c r="H265" s="17" t="inlineStr">
        <is>
          <t>Rejected (No Requirement)</t>
        </is>
      </c>
      <c r="I265" s="17" t="inlineStr">
        <is>
          <t>hello
[18 Sep '26, 12:52 PM] The call is not responding call back again
[18 Sep '26, 12:52 PM] CNR CALL EVENING | Transfer: hello | Transfer Note: hello | CRM: --- | ---</t>
        </is>
      </c>
    </row>
    <row r="266" ht="20" customHeight="1">
      <c r="A266" s="57" t="n">
        <v>46281.47338949074</v>
      </c>
      <c r="B266" s="16" t="inlineStr">
        <is>
          <t>3. This Month (Sep 2026)</t>
        </is>
      </c>
      <c r="C266" s="14" t="inlineStr">
        <is>
          <t>Direct / Manual</t>
        </is>
      </c>
      <c r="D266" s="14" t="inlineStr">
        <is>
          <t>Aryan Rajan (9008760427)</t>
        </is>
      </c>
      <c r="E266" s="14" t="inlineStr">
        <is>
          <t>Unassigned</t>
        </is>
      </c>
      <c r="F266" s="14" t="inlineStr">
        <is>
          <t>Sales</t>
        </is>
      </c>
      <c r="G266" s="14" t="inlineStr">
        <is>
          <t>Somel Rathod</t>
        </is>
      </c>
      <c r="H266" s="14" t="inlineStr">
        <is>
          <t>New</t>
        </is>
      </c>
      <c r="I266" s="14" t="inlineStr">
        <is>
          <t>call by somel | CRM: call by somel</t>
        </is>
      </c>
    </row>
    <row r="267" ht="20" customHeight="1">
      <c r="A267" s="58" t="n">
        <v>46281.41592278935</v>
      </c>
      <c r="B267" s="19" t="inlineStr">
        <is>
          <t>3. This Month (Sep 2026)</t>
        </is>
      </c>
      <c r="C267" s="17" t="inlineStr">
        <is>
          <t>Meta Ads (NB PropertyTech Survey Ad 0308)</t>
        </is>
      </c>
      <c r="D267" s="17" t="inlineStr">
        <is>
          <t>Saurin Shah (9608175772)</t>
        </is>
      </c>
      <c r="E267" s="17" t="inlineStr">
        <is>
          <t>Unassigned</t>
        </is>
      </c>
      <c r="F267" s="17" t="inlineStr">
        <is>
          <t>Interested</t>
        </is>
      </c>
      <c r="G267" s="17" t="inlineStr">
        <is>
          <t>Not Assigned</t>
        </is>
      </c>
      <c r="H267" s="17" t="inlineStr">
        <is>
          <t>Interested</t>
        </is>
      </c>
      <c r="I267" s="17" t="inlineStr">
        <is>
          <t>[16 Sep '26, 3:43 PM] Req 2BHk full furnished  Loaction- gota budget- 20to30k | Transfer: this is a testing lead -- do not take any action ! | Transfer Note: this is a testing lead -- do not take any action ! | CRM: --- | ---</t>
        </is>
      </c>
    </row>
    <row r="268" ht="20" customHeight="1">
      <c r="A268" s="57" t="n">
        <v>46281.04429537037</v>
      </c>
      <c r="B268" s="16" t="inlineStr">
        <is>
          <t>3. This Month (Sep 2026)</t>
        </is>
      </c>
      <c r="C268" s="14" t="inlineStr">
        <is>
          <t>Meta Ads (NB PropertyTech Survey Ad 0308)</t>
        </is>
      </c>
      <c r="D268" s="14" t="inlineStr">
        <is>
          <t>Patel Kaushik (8866559730)</t>
        </is>
      </c>
      <c r="E268" s="14" t="inlineStr">
        <is>
          <t>Unassigned</t>
        </is>
      </c>
      <c r="F268" s="14" t="inlineStr">
        <is>
          <t>Rejected / Lost</t>
        </is>
      </c>
      <c r="G268" s="14" t="inlineStr">
        <is>
          <t>Rajan Purani</t>
        </is>
      </c>
      <c r="H268" s="14" t="inlineStr">
        <is>
          <t>Interested</t>
        </is>
      </c>
      <c r="I268" s="14" t="inlineStr">
        <is>
          <t>this is testing lead -- do not take any actions | Transfer: this is testing lead -- do not take any actions | Transfer Note: this is testing lead -- do not take any actions | CRM: --- | ---</t>
        </is>
      </c>
    </row>
    <row r="269" ht="20" customHeight="1">
      <c r="A269" s="58" t="n">
        <v>46281.03929508102</v>
      </c>
      <c r="B269" s="19" t="inlineStr">
        <is>
          <t>3. This Month (Sep 2026)</t>
        </is>
      </c>
      <c r="C269" s="17" t="inlineStr">
        <is>
          <t>Meta Ads (NB PropertyTech Survey Ad 0308)</t>
        </is>
      </c>
      <c r="D269" s="17" t="inlineStr">
        <is>
          <t>Riddhil Lathia (9819051025)</t>
        </is>
      </c>
      <c r="E269" s="17" t="inlineStr">
        <is>
          <t>Unassigned</t>
        </is>
      </c>
      <c r="F269" s="17" t="inlineStr">
        <is>
          <t>Rejected / Lost</t>
        </is>
      </c>
      <c r="G269" s="17" t="inlineStr">
        <is>
          <t>Rajan Purani</t>
        </is>
      </c>
      <c r="H269" s="17" t="inlineStr">
        <is>
          <t>Interested</t>
        </is>
      </c>
      <c r="I269" s="17" t="inlineStr">
        <is>
          <t>this is testing lead | Transfer: this is testing lead | Transfer Note: this is testing lead | CRM: --- | ---</t>
        </is>
      </c>
    </row>
    <row r="270" ht="20" customHeight="1">
      <c r="A270" s="57" t="n">
        <v>46281.03162850694</v>
      </c>
      <c r="B270" s="16" t="inlineStr">
        <is>
          <t>3. This Month (Sep 2026)</t>
        </is>
      </c>
      <c r="C270" s="14" t="inlineStr">
        <is>
          <t>Meta Ads (NB PropertyTech Survey Ad 0308)</t>
        </is>
      </c>
      <c r="D270" s="14" t="inlineStr">
        <is>
          <t>Patel Bhumika (6352245004)</t>
        </is>
      </c>
      <c r="E270" s="14" t="inlineStr">
        <is>
          <t>Unassigned</t>
        </is>
      </c>
      <c r="F270" s="14" t="inlineStr">
        <is>
          <t>Rejected / Lost</t>
        </is>
      </c>
      <c r="G270" s="14" t="inlineStr">
        <is>
          <t>Rajan Purani</t>
        </is>
      </c>
      <c r="H270" s="14" t="inlineStr">
        <is>
          <t>Rejected (Budget Mismatch)</t>
        </is>
      </c>
      <c r="I270" s="14" t="inlineStr">
        <is>
          <t>[18 Sep '26, 12:56 PM] 6-7 k ma bapunagar ma joye che rent par close | Transfer: this is testing lead -- do not take any actions ! | Transfer Note: this is testing lead -- do not take any actions ! | Followup: wp msg drop call for update | CRM: --- | CRM Followup: wp msg drop call for update | ---</t>
        </is>
      </c>
    </row>
    <row r="271" ht="20" customHeight="1">
      <c r="A271" s="58" t="n">
        <v>46281.02758827546</v>
      </c>
      <c r="B271" s="19" t="inlineStr">
        <is>
          <t>3. This Month (Sep 2026)</t>
        </is>
      </c>
      <c r="C271" s="17" t="inlineStr">
        <is>
          <t>Meta Ads (NB PropertyTech Survey Ad 0308)</t>
        </is>
      </c>
      <c r="D271" s="17" t="inlineStr">
        <is>
          <t>Umesh Deokar (7869962580)</t>
        </is>
      </c>
      <c r="E271" s="17" t="inlineStr">
        <is>
          <t>Unassigned</t>
        </is>
      </c>
      <c r="F271" s="17" t="inlineStr">
        <is>
          <t>Rejected / Lost</t>
        </is>
      </c>
      <c r="G271" s="17" t="inlineStr">
        <is>
          <t>Rajan Purani</t>
        </is>
      </c>
      <c r="H271" s="17" t="inlineStr">
        <is>
          <t>Live</t>
        </is>
      </c>
      <c r="I271" s="17" t="inlineStr">
        <is>
          <t>this is testing lead -- do not take any actions ! | Transfer: this is testing lead -- do not take any actions ! | Transfer Note: this is testing lead -- do not take any actions ! | CRM: this is testing lead -- do not take any actions !</t>
        </is>
      </c>
    </row>
    <row r="272" ht="20" customHeight="1">
      <c r="A272" s="57" t="n">
        <v>46281.01877157408</v>
      </c>
      <c r="B272" s="16" t="inlineStr">
        <is>
          <t>3. This Month (Sep 2026)</t>
        </is>
      </c>
      <c r="C272" s="14" t="inlineStr">
        <is>
          <t>Meta Ads (NB PropertyTech Survey Ad 0308)</t>
        </is>
      </c>
      <c r="D272" s="14" t="inlineStr">
        <is>
          <t>Manish (6354955296)</t>
        </is>
      </c>
      <c r="E272" s="14" t="inlineStr">
        <is>
          <t>Unassigned</t>
        </is>
      </c>
      <c r="F272" s="14" t="inlineStr">
        <is>
          <t>Sales</t>
        </is>
      </c>
      <c r="G272" s="14" t="inlineStr">
        <is>
          <t>Rajan Purani</t>
        </is>
      </c>
      <c r="H272" s="14" t="inlineStr">
        <is>
          <t>Assigned</t>
        </is>
      </c>
      <c r="I272" s="14" t="inlineStr">
        <is>
          <t>[Telecaller Key Points]: this is a testing leads --- do not take any actions | Transfer: this is a testing leads --- do not take any actions | Transfer Note: this is a testing leads --- do not take any actions | CRM: [Telecaller Key Points]: this is a testing leads --- do not take any actions</t>
        </is>
      </c>
    </row>
    <row r="273" ht="20" customHeight="1">
      <c r="A273" s="58" t="n">
        <v>46280.99051196759</v>
      </c>
      <c r="B273" s="19" t="inlineStr">
        <is>
          <t>3. This Month (Sep 2026)</t>
        </is>
      </c>
      <c r="C273" s="17" t="inlineStr">
        <is>
          <t>Meta Ads (NB PropertyTech Survey Ad 0308)</t>
        </is>
      </c>
      <c r="D273" s="17" t="inlineStr">
        <is>
          <t>Thakor Mahendra (9662777905)</t>
        </is>
      </c>
      <c r="E273" s="17" t="inlineStr">
        <is>
          <t>Unassigned</t>
        </is>
      </c>
      <c r="F273" s="17" t="inlineStr">
        <is>
          <t>Rejected / Lost</t>
        </is>
      </c>
      <c r="G273" s="17" t="inlineStr">
        <is>
          <t>Rajan Purani</t>
        </is>
      </c>
      <c r="H273" s="17" t="inlineStr">
        <is>
          <t>Interested</t>
        </is>
      </c>
      <c r="I273" s="17" t="inlineStr">
        <is>
          <t>this is testing leads --- | Transfer: this is testing leads --- | Transfer Note: this is testing leads --- | CRM: --- | ---</t>
        </is>
      </c>
    </row>
    <row r="274" ht="20" customHeight="1">
      <c r="A274" s="57" t="n">
        <v>46280.9101915625</v>
      </c>
      <c r="B274" s="16" t="inlineStr">
        <is>
          <t>3. This Month (Sep 2026)</t>
        </is>
      </c>
      <c r="C274" s="14" t="inlineStr">
        <is>
          <t>Meta Ads (NB PropertyTech Survey Ad 3108)</t>
        </is>
      </c>
      <c r="D274" s="14" t="inlineStr">
        <is>
          <t>Parmar Kinjal (7990697368)</t>
        </is>
      </c>
      <c r="E274" s="14" t="inlineStr">
        <is>
          <t>Zeel Mudaliyar</t>
        </is>
      </c>
      <c r="F274" s="14" t="inlineStr">
        <is>
          <t>Rejected / Lost</t>
        </is>
      </c>
      <c r="G274" s="14" t="inlineStr">
        <is>
          <t>Not Assigned</t>
        </is>
      </c>
      <c r="H274" s="14" t="inlineStr">
        <is>
          <t>N/A (Not Assigned)</t>
        </is>
      </c>
      <c r="I274" s="14" t="inlineStr">
        <is>
          <t>-</t>
        </is>
      </c>
    </row>
    <row r="275" ht="20" customHeight="1">
      <c r="A275" s="58" t="n">
        <v>46280.77544841435</v>
      </c>
      <c r="B275" s="19" t="inlineStr">
        <is>
          <t>3. This Month (Sep 2026)</t>
        </is>
      </c>
      <c r="C275" s="17" t="inlineStr">
        <is>
          <t>Meta Ads (NB PropertyTech Survey Ad 3108)</t>
        </is>
      </c>
      <c r="D275" s="17" t="inlineStr">
        <is>
          <t>Parish Goyal (7999625567)</t>
        </is>
      </c>
      <c r="E275" s="17" t="inlineStr">
        <is>
          <t>Zeel Mudaliyar</t>
        </is>
      </c>
      <c r="F275" s="17" t="inlineStr">
        <is>
          <t>Interested</t>
        </is>
      </c>
      <c r="G275" s="17" t="inlineStr">
        <is>
          <t>Not Assigned</t>
        </is>
      </c>
      <c r="H275" s="17" t="inlineStr">
        <is>
          <t>N/A (Not Assigned)</t>
        </is>
      </c>
      <c r="I275" s="17" t="inlineStr">
        <is>
          <t>-</t>
        </is>
      </c>
    </row>
    <row r="276" ht="20" customHeight="1">
      <c r="A276" s="57" t="n">
        <v>46280.768495625</v>
      </c>
      <c r="B276" s="16" t="inlineStr">
        <is>
          <t>3. This Month (Sep 2026)</t>
        </is>
      </c>
      <c r="C276" s="14" t="inlineStr">
        <is>
          <t>Meta Ads (NB PropertyTech Survey Ad 0308)</t>
        </is>
      </c>
      <c r="D276" s="14" t="inlineStr">
        <is>
          <t>Hitesh Solanki (8735865687)</t>
        </is>
      </c>
      <c r="E276" s="14" t="inlineStr">
        <is>
          <t>Unassigned</t>
        </is>
      </c>
      <c r="F276" s="14" t="inlineStr">
        <is>
          <t>Rejected / Lost</t>
        </is>
      </c>
      <c r="G276" s="14" t="inlineStr">
        <is>
          <t>Somel Rathod</t>
        </is>
      </c>
      <c r="H276" s="14" t="inlineStr">
        <is>
          <t>Live</t>
        </is>
      </c>
      <c r="I276" s="14" t="inlineStr">
        <is>
          <t>this is testing leads -- do not any action | Transfer: this is testing leads -- do not any action | Transfer Note: this is testing leads -- do not any action | CRM: this is testing leads -- do not any action</t>
        </is>
      </c>
    </row>
    <row r="277" ht="20" customHeight="1">
      <c r="A277" s="58" t="n">
        <v>46280.76156166667</v>
      </c>
      <c r="B277" s="19" t="inlineStr">
        <is>
          <t>3. This Month (Sep 2026)</t>
        </is>
      </c>
      <c r="C277" s="17" t="inlineStr">
        <is>
          <t>Meta Ads (NB PropertyTech Survey Ad 3108)</t>
        </is>
      </c>
      <c r="D277" s="17" t="inlineStr">
        <is>
          <t>Santosh Rai (8155080189)</t>
        </is>
      </c>
      <c r="E277" s="17" t="inlineStr">
        <is>
          <t>Prexa Vithalapara</t>
        </is>
      </c>
      <c r="F277" s="17" t="inlineStr">
        <is>
          <t>CNR (Could Not Reach)</t>
        </is>
      </c>
      <c r="G277" s="17" t="inlineStr">
        <is>
          <t>Not Assigned</t>
        </is>
      </c>
      <c r="H277" s="17" t="inlineStr">
        <is>
          <t>N/A (Not Assigned)</t>
        </is>
      </c>
      <c r="I277" s="17" t="inlineStr">
        <is>
          <t>Transfer Note: Marked as CNR | Followup: CNR</t>
        </is>
      </c>
    </row>
    <row r="278" ht="20" customHeight="1">
      <c r="A278" s="57" t="n">
        <v>46280.68479614583</v>
      </c>
      <c r="B278" s="16" t="inlineStr">
        <is>
          <t>3. This Month (Sep 2026)</t>
        </is>
      </c>
      <c r="C278" s="14" t="inlineStr">
        <is>
          <t>Direct / Manual</t>
        </is>
      </c>
      <c r="D278" s="14" t="inlineStr">
        <is>
          <t>Rere (1326587450)</t>
        </is>
      </c>
      <c r="E278" s="14" t="inlineStr">
        <is>
          <t>Unassigned</t>
        </is>
      </c>
      <c r="F278" s="14" t="inlineStr">
        <is>
          <t>Sales</t>
        </is>
      </c>
      <c r="G278" s="14" t="inlineStr">
        <is>
          <t>Not Assigned</t>
        </is>
      </c>
      <c r="H278" s="14" t="inlineStr">
        <is>
          <t>N/A (Not Assigned)</t>
        </is>
      </c>
      <c r="I278" s="14" t="inlineStr">
        <is>
          <t>fwfwefew | CRM: fwfwefew</t>
        </is>
      </c>
    </row>
    <row r="279" ht="20" customHeight="1">
      <c r="A279" s="58" t="n">
        <v>46280.68353164352</v>
      </c>
      <c r="B279" s="19" t="inlineStr">
        <is>
          <t>3. This Month (Sep 2026)</t>
        </is>
      </c>
      <c r="C279" s="17" t="inlineStr">
        <is>
          <t>Meta Ads (NB PropertyTech Survey Ad 0308)</t>
        </is>
      </c>
      <c r="D279" s="17" t="inlineStr">
        <is>
          <t>Devika Ck Devika (8320754280)</t>
        </is>
      </c>
      <c r="E279" s="17" t="inlineStr">
        <is>
          <t>Unassigned</t>
        </is>
      </c>
      <c r="F279" s="17" t="inlineStr">
        <is>
          <t>Rejected / Lost</t>
        </is>
      </c>
      <c r="G279" s="17" t="inlineStr">
        <is>
          <t>Rakesh Jadav</t>
        </is>
      </c>
      <c r="H279" s="17" t="inlineStr">
        <is>
          <t>Rejected (Others)</t>
        </is>
      </c>
      <c r="I279" s="17" t="inlineStr">
        <is>
          <t>this is testing leads -- assign for you ! do not take action | Transfer: this is testing leads -- assign for you ! do not take action | Transfer Note: this is testing leads -- assign for you ! do not take action | CRM: this is testing leads -- assign for you ! do not take action</t>
        </is>
      </c>
    </row>
    <row r="280" ht="20" customHeight="1">
      <c r="A280" s="57" t="n">
        <v>46280.68019565972</v>
      </c>
      <c r="B280" s="16" t="inlineStr">
        <is>
          <t>3. This Month (Sep 2026)</t>
        </is>
      </c>
      <c r="C280" s="14" t="inlineStr">
        <is>
          <t>Meta Ads (NB PropertyTech Survey Ad 0308)</t>
        </is>
      </c>
      <c r="D280" s="14" t="inlineStr">
        <is>
          <t>Kalpesh Shatvara (9824158759)</t>
        </is>
      </c>
      <c r="E280" s="14" t="inlineStr">
        <is>
          <t>Unassigned</t>
        </is>
      </c>
      <c r="F280" s="14" t="inlineStr">
        <is>
          <t>Rejected / Lost</t>
        </is>
      </c>
      <c r="G280" s="14" t="inlineStr">
        <is>
          <t>Not Assigned</t>
        </is>
      </c>
      <c r="H280" s="14" t="inlineStr">
        <is>
          <t>Interested</t>
        </is>
      </c>
      <c r="I280" s="14" t="inlineStr">
        <is>
          <t>TESTING LEADS | Transfer: TESTING LEADS | Transfer Note: TESTING LEADS | CRM: --- | ---</t>
        </is>
      </c>
    </row>
    <row r="281" ht="20" customHeight="1">
      <c r="A281" s="58" t="n">
        <v>46280.63871719907</v>
      </c>
      <c r="B281" s="19" t="inlineStr">
        <is>
          <t>3. This Month (Sep 2026)</t>
        </is>
      </c>
      <c r="C281" s="17" t="inlineStr">
        <is>
          <t>Meta Ads (NB PropertyTech Survey Ad 3108)</t>
        </is>
      </c>
      <c r="D281" s="17" t="inlineStr">
        <is>
          <t>Darsh Dhamsaniya (9662669973)</t>
        </is>
      </c>
      <c r="E281" s="17" t="inlineStr">
        <is>
          <t>Zeel Mudaliyar</t>
        </is>
      </c>
      <c r="F281" s="17" t="inlineStr">
        <is>
          <t>Rejected / Lost</t>
        </is>
      </c>
      <c r="G281" s="17" t="inlineStr">
        <is>
          <t>Not Assigned</t>
        </is>
      </c>
      <c r="H281" s="17" t="inlineStr">
        <is>
          <t>N/A (Not Assigned)</t>
        </is>
      </c>
      <c r="I281" s="17" t="inlineStr">
        <is>
          <t>-</t>
        </is>
      </c>
    </row>
    <row r="282" ht="20" customHeight="1">
      <c r="A282" s="57" t="n">
        <v>46280.60424570602</v>
      </c>
      <c r="B282" s="16" t="inlineStr">
        <is>
          <t>3. This Month (Sep 2026)</t>
        </is>
      </c>
      <c r="C282" s="14" t="inlineStr">
        <is>
          <t>Meta Ads (NB PropertyTech Survey Ad 0308)</t>
        </is>
      </c>
      <c r="D282" s="14" t="inlineStr">
        <is>
          <t>Asif Mansuri (8401414850)</t>
        </is>
      </c>
      <c r="E282" s="14" t="inlineStr">
        <is>
          <t>Unassigned</t>
        </is>
      </c>
      <c r="F282" s="14" t="inlineStr">
        <is>
          <t>Rejected / Lost</t>
        </is>
      </c>
      <c r="G282" s="14" t="inlineStr">
        <is>
          <t>Rajan Purani</t>
        </is>
      </c>
      <c r="H282" s="14" t="inlineStr">
        <is>
          <t>Assigned</t>
        </is>
      </c>
      <c r="I282" s="14" t="inlineStr">
        <is>
          <t>hello this is a testing leads for assign you !
[15 Sep '26, 3:43 PM] heeleloeoeoe | Transfer: hello this is a testing leads for assign you ! | Transfer Note: hello this is a testing leads for assign you ! | CRM: --- | ---</t>
        </is>
      </c>
    </row>
    <row r="283" ht="20" customHeight="1">
      <c r="A283" s="58" t="n">
        <v>46280.58279122685</v>
      </c>
      <c r="B283" s="19" t="inlineStr">
        <is>
          <t>3. This Month (Sep 2026)</t>
        </is>
      </c>
      <c r="C283" s="17" t="inlineStr">
        <is>
          <t>Meta Ads (NB PropertyTech Survey Ad 0308)</t>
        </is>
      </c>
      <c r="D283" s="17" t="inlineStr">
        <is>
          <t>Uma (9408219793)</t>
        </is>
      </c>
      <c r="E283" s="17" t="inlineStr">
        <is>
          <t>Unassigned</t>
        </is>
      </c>
      <c r="F283" s="17" t="inlineStr">
        <is>
          <t>Rejected / Lost</t>
        </is>
      </c>
      <c r="G283" s="17" t="inlineStr">
        <is>
          <t>Somel Rathod</t>
        </is>
      </c>
      <c r="H283" s="17" t="inlineStr">
        <is>
          <t>Assigned</t>
        </is>
      </c>
      <c r="I283" s="17" t="inlineStr">
        <is>
          <t>final testing uma !! | Transfer: final testing uma !! | Transfer Note: final testing uma !! | CRM: final testing uma !!</t>
        </is>
      </c>
    </row>
    <row r="284" ht="20" customHeight="1">
      <c r="A284" s="57" t="n">
        <v>46280.54165770833</v>
      </c>
      <c r="B284" s="16" t="inlineStr">
        <is>
          <t>3. This Month (Sep 2026)</t>
        </is>
      </c>
      <c r="C284" s="14" t="inlineStr">
        <is>
          <t>Meta Ads (NB PropertyTech Survey Ad 0308)</t>
        </is>
      </c>
      <c r="D284" s="14" t="inlineStr">
        <is>
          <t>Mitesh Gurjar (9624118610)</t>
        </is>
      </c>
      <c r="E284" s="14" t="inlineStr">
        <is>
          <t>Unassigned</t>
        </is>
      </c>
      <c r="F284" s="14" t="inlineStr">
        <is>
          <t>Rejected / Lost</t>
        </is>
      </c>
      <c r="G284" s="14" t="inlineStr">
        <is>
          <t>Rakesh Jadav</t>
        </is>
      </c>
      <c r="H284" s="14" t="inlineStr">
        <is>
          <t>Rejected (Already Rented)</t>
        </is>
      </c>
      <c r="I284" s="14" t="inlineStr">
        <is>
          <t>testing leads  mite gurjar | Transfer: testing leads  mite gurjar | Transfer Note: testing leads  mite gurjar | CRM: [Telecaller Key Points]: testing leads  mitesh gurjar | [Telecaller Key Points]: testing leads  mitesh gurjar</t>
        </is>
      </c>
    </row>
    <row r="285" ht="20" customHeight="1">
      <c r="A285" s="58" t="n">
        <v>46280.51420136574</v>
      </c>
      <c r="B285" s="19" t="inlineStr">
        <is>
          <t>3. This Month (Sep 2026)</t>
        </is>
      </c>
      <c r="C285" s="17" t="inlineStr">
        <is>
          <t>Meta Ads (NB PropertyTech Survey Ad 0308)</t>
        </is>
      </c>
      <c r="D285" s="17" t="inlineStr">
        <is>
          <t>Vinaysinh Chauhan (7575002603)</t>
        </is>
      </c>
      <c r="E285" s="17" t="inlineStr">
        <is>
          <t>Unassigned</t>
        </is>
      </c>
      <c r="F285" s="17" t="inlineStr">
        <is>
          <t>Rejected / Lost</t>
        </is>
      </c>
      <c r="G285" s="17" t="inlineStr">
        <is>
          <t>Rajan Purani</t>
        </is>
      </c>
      <c r="H285" s="17" t="inlineStr">
        <is>
          <t>Assigned</t>
        </is>
      </c>
      <c r="I285" s="17" t="inlineStr">
        <is>
          <t>testing hello | Transfer: testing hello | Transfer Note: testing hello | CRM: --- | ---</t>
        </is>
      </c>
    </row>
    <row r="286" ht="20" customHeight="1">
      <c r="A286" s="57" t="n">
        <v>46280.45841981481</v>
      </c>
      <c r="B286" s="16" t="inlineStr">
        <is>
          <t>3. This Month (Sep 2026)</t>
        </is>
      </c>
      <c r="C286" s="14" t="inlineStr">
        <is>
          <t>Meta Ads (NB PropertyTech Survey Ad 3108)</t>
        </is>
      </c>
      <c r="D286" s="14" t="inlineStr">
        <is>
          <t>Ashok Makwana (9924647451)</t>
        </is>
      </c>
      <c r="E286" s="14" t="inlineStr">
        <is>
          <t>Zeel Mudaliyar</t>
        </is>
      </c>
      <c r="F286" s="14" t="inlineStr">
        <is>
          <t>Rejected / Lost</t>
        </is>
      </c>
      <c r="G286" s="14" t="inlineStr">
        <is>
          <t>Rakesh Jadav</t>
        </is>
      </c>
      <c r="H286" s="14" t="inlineStr">
        <is>
          <t>Re-Followup</t>
        </is>
      </c>
      <c r="I286" s="14" t="inlineStr">
        <is>
          <t>[Staying: couple] [Campaign: NB PropertyTech Survey Ad 3108] Imported from Campaign Leads (Meta Ads). | Followup: no responding cnr always | CRM: [Staying: couple] [Campaign: NB PropertyTech Survey Ad 3108] Imported from Campaign Leads (Meta Ads). | CRM Followup: no responding cnr always</t>
        </is>
      </c>
    </row>
    <row r="287" ht="20" customHeight="1">
      <c r="A287" s="58" t="n">
        <v>46279.73739885417</v>
      </c>
      <c r="B287" s="19" t="inlineStr">
        <is>
          <t>3. This Month (Sep 2026)</t>
        </is>
      </c>
      <c r="C287" s="17" t="inlineStr">
        <is>
          <t>Direct / Manual</t>
        </is>
      </c>
      <c r="D287" s="17" t="inlineStr">
        <is>
          <t>Shailesh Maman Bhai Patel (8511030455)</t>
        </is>
      </c>
      <c r="E287" s="17" t="inlineStr">
        <is>
          <t>Unassigned</t>
        </is>
      </c>
      <c r="F287" s="17" t="inlineStr">
        <is>
          <t>Site Visit Scheduled</t>
        </is>
      </c>
      <c r="G287" s="17" t="inlineStr">
        <is>
          <t>Rajan Purani</t>
        </is>
      </c>
      <c r="H287" s="17" t="inlineStr">
        <is>
          <t>Site Visit Done</t>
        </is>
      </c>
      <c r="I287" s="17" t="inlineStr">
        <is>
          <t>visit done  bule bell and akshar evoq  in said ideal extra out said
[14 Sep '26, 5:42 PM] 70 lakh ma inclined joye che bule bell not possible
[18 Sep '26, 12:17 PM] manan bhai ne 65 lakh ni ashpas joye rahya che any other options hoy toh share karva | CRM: visit done  bule bell and akshar evoq  in said ideal extra out said | visit done  bule bell and akshar evoq  in said ideal extra out said</t>
        </is>
      </c>
    </row>
    <row r="288" ht="20" customHeight="1">
      <c r="A288" s="57" t="n">
        <v>46279.71263569444</v>
      </c>
      <c r="B288" s="16" t="inlineStr">
        <is>
          <t>3. This Month (Sep 2026)</t>
        </is>
      </c>
      <c r="C288" s="14" t="inlineStr">
        <is>
          <t>Meta Ads (NB PropertyTech Survey Ad 3108)</t>
        </is>
      </c>
      <c r="D288" s="14" t="inlineStr">
        <is>
          <t>Ashok Makwana (9924647451)</t>
        </is>
      </c>
      <c r="E288" s="14" t="inlineStr">
        <is>
          <t>Zeel Mudaliyar</t>
        </is>
      </c>
      <c r="F288" s="14" t="inlineStr">
        <is>
          <t>Rejected / Lost</t>
        </is>
      </c>
      <c r="G288" s="14" t="inlineStr">
        <is>
          <t>Not Assigned</t>
        </is>
      </c>
      <c r="H288" s="14" t="inlineStr">
        <is>
          <t>N/A (Not Assigned)</t>
        </is>
      </c>
      <c r="I288" s="14" t="inlineStr">
        <is>
          <t>[Staying: couple] [Campaign: NB PropertyTech Survey Ad 3108] Imported from Campaign Leads (Meta Ads).</t>
        </is>
      </c>
    </row>
    <row r="289" ht="20" customHeight="1">
      <c r="A289" s="58" t="n">
        <v>46279.65150630787</v>
      </c>
      <c r="B289" s="19" t="inlineStr">
        <is>
          <t>3. This Month (Sep 2026)</t>
        </is>
      </c>
      <c r="C289" s="17" t="inlineStr">
        <is>
          <t>Meta Ads (NB PropertyTech Survey Ad 0308)</t>
        </is>
      </c>
      <c r="D289" s="17" t="inlineStr">
        <is>
          <t>Kalpesh Chaudhary (9723261573)</t>
        </is>
      </c>
      <c r="E289" s="17" t="inlineStr">
        <is>
          <t>Prexa Vithalapara</t>
        </is>
      </c>
      <c r="F289" s="17" t="inlineStr">
        <is>
          <t>Rejected / Lost</t>
        </is>
      </c>
      <c r="G289" s="17" t="inlineStr">
        <is>
          <t>Rakesh Jadav</t>
        </is>
      </c>
      <c r="H289" s="17" t="inlineStr">
        <is>
          <t>Rejected (Budget Mismatch)</t>
        </is>
      </c>
      <c r="I289" s="17" t="inlineStr">
        <is>
          <t>--- | CRM: ---</t>
        </is>
      </c>
    </row>
    <row r="290" ht="20" customHeight="1">
      <c r="A290" s="57" t="n">
        <v>46279.63588496528</v>
      </c>
      <c r="B290" s="16" t="inlineStr">
        <is>
          <t>3. This Month (Sep 2026)</t>
        </is>
      </c>
      <c r="C290" s="14" t="inlineStr">
        <is>
          <t>Direct / Manual</t>
        </is>
      </c>
      <c r="D290" s="14" t="inlineStr">
        <is>
          <t>Testing Leads New (1326597710)</t>
        </is>
      </c>
      <c r="E290" s="14" t="inlineStr">
        <is>
          <t>Unassigned</t>
        </is>
      </c>
      <c r="F290" s="14" t="inlineStr">
        <is>
          <t>Sales</t>
        </is>
      </c>
      <c r="G290" s="14" t="inlineStr">
        <is>
          <t>Not Assigned</t>
        </is>
      </c>
      <c r="H290" s="14" t="inlineStr">
        <is>
          <t>N/A (Not Assigned)</t>
        </is>
      </c>
      <c r="I290" s="14" t="inlineStr">
        <is>
          <t>hello | Followup: s s s | CRM: hello | CRM Followup: s s s</t>
        </is>
      </c>
    </row>
    <row r="291" ht="20" customHeight="1">
      <c r="A291" s="58" t="n">
        <v>46279.63199299768</v>
      </c>
      <c r="B291" s="19" t="inlineStr">
        <is>
          <t>3. This Month (Sep 2026)</t>
        </is>
      </c>
      <c r="C291" s="17" t="inlineStr">
        <is>
          <t>Meta Ads (NB PropertyTech Survey Ad 0308)</t>
        </is>
      </c>
      <c r="D291" s="17" t="inlineStr">
        <is>
          <t>Parin (9586325122)</t>
        </is>
      </c>
      <c r="E291" s="17" t="inlineStr">
        <is>
          <t>Prexa Vithalapara</t>
        </is>
      </c>
      <c r="F291" s="17" t="inlineStr">
        <is>
          <t>Interested</t>
        </is>
      </c>
      <c r="G291" s="17" t="inlineStr">
        <is>
          <t>Not Assigned</t>
        </is>
      </c>
      <c r="H291" s="17" t="inlineStr">
        <is>
          <t>N/A (Not Assigned)</t>
        </is>
      </c>
      <c r="I291" s="17" t="inlineStr">
        <is>
          <t>--- | CRM: ---</t>
        </is>
      </c>
    </row>
    <row r="292" ht="20" customHeight="1">
      <c r="A292" s="57" t="n">
        <v>46279.62500679398</v>
      </c>
      <c r="B292" s="16" t="inlineStr">
        <is>
          <t>3. This Month (Sep 2026)</t>
        </is>
      </c>
      <c r="C292" s="14" t="inlineStr">
        <is>
          <t>Meta Ads (NB PropertyTech Survey Ad 3108)</t>
        </is>
      </c>
      <c r="D292" s="14" t="inlineStr">
        <is>
          <t>Sanjay Parmar (8275252922)</t>
        </is>
      </c>
      <c r="E292" s="14" t="inlineStr">
        <is>
          <t>Prexa Vithalapara</t>
        </is>
      </c>
      <c r="F292" s="14" t="inlineStr">
        <is>
          <t>Interested</t>
        </is>
      </c>
      <c r="G292" s="14" t="inlineStr">
        <is>
          <t>Rakesh Jadav</t>
        </is>
      </c>
      <c r="H292" s="14" t="inlineStr">
        <is>
          <t>Rejected (Locality Mismatch)</t>
        </is>
      </c>
      <c r="I292" s="14" t="inlineStr">
        <is>
          <t>[14 Sep '26, 3:01 PM] 2BHK Semi furnished, Ranip, new ranip, sabarmati, nava vadaj, naranpura, C G road, Chandkheda, Budget 20k possession from 15th Oct | Followup: cnr | CRM: [Staying: family] [Campaign: NB PropertyTech Survey Ad 3108] Imported from Campaign Leads (Meta Ads). | CRM Followup: cnr | [Staying: family] [Campaign: NB PropertyTech Survey Ad 3108] Imported from Campaign Leads (Meta Ads).</t>
        </is>
      </c>
    </row>
    <row r="293" ht="20" customHeight="1">
      <c r="A293" s="58" t="n">
        <v>46279.62273206018</v>
      </c>
      <c r="B293" s="19" t="inlineStr">
        <is>
          <t>3. This Month (Sep 2026)</t>
        </is>
      </c>
      <c r="C293" s="17" t="inlineStr">
        <is>
          <t>Meta Ads (NB PropertyTech Survey Ad 3108)</t>
        </is>
      </c>
      <c r="D293" s="17" t="inlineStr">
        <is>
          <t>Nimil Pandya (7016934755)</t>
        </is>
      </c>
      <c r="E293" s="17" t="inlineStr">
        <is>
          <t>Prexa Vithalapara</t>
        </is>
      </c>
      <c r="F293" s="17" t="inlineStr">
        <is>
          <t>Interested</t>
        </is>
      </c>
      <c r="G293" s="17" t="inlineStr">
        <is>
          <t>Somel Rathod</t>
        </is>
      </c>
      <c r="H293" s="17" t="inlineStr">
        <is>
          <t>Interested</t>
        </is>
      </c>
      <c r="I293" s="17" t="inlineStr">
        <is>
          <t>[14 Sep '26, 2:58 PM] Shilaj, Sindhubhavan, Want 3BHK fully furnished, for family 32-35k Budget, possession as soon as possible. | CRM: [Staying: family] [Campaign: NB PropertyTech Survey Ad 3108] Imported from Campaign Leads (Meta Ads). | [Staying: family] [Campaign: NB PropertyTech Survey Ad 3108] Imported from Campaign Leads (Meta Ads).</t>
        </is>
      </c>
    </row>
    <row r="294" ht="20" customHeight="1">
      <c r="A294" s="57" t="n">
        <v>46279.61771293981</v>
      </c>
      <c r="B294" s="16" t="inlineStr">
        <is>
          <t>3. This Month (Sep 2026)</t>
        </is>
      </c>
      <c r="C294" s="14" t="inlineStr">
        <is>
          <t>Meta Ads (NB PropertyTech Survey Ad 0308)</t>
        </is>
      </c>
      <c r="D294" s="14" t="inlineStr">
        <is>
          <t>Sweta Sweta (9574230161)</t>
        </is>
      </c>
      <c r="E294" s="14" t="inlineStr">
        <is>
          <t>Prexa Vithalapara</t>
        </is>
      </c>
      <c r="F294" s="14" t="inlineStr">
        <is>
          <t>Interested</t>
        </is>
      </c>
      <c r="G294" s="14" t="inlineStr">
        <is>
          <t>Not Assigned</t>
        </is>
      </c>
      <c r="H294" s="14" t="inlineStr">
        <is>
          <t>N/A (Not Assigned)</t>
        </is>
      </c>
      <c r="I294" s="14" t="inlineStr">
        <is>
          <t>this is testing leads | CRM: this is testing leads</t>
        </is>
      </c>
    </row>
    <row r="295" ht="20" customHeight="1">
      <c r="A295" s="58" t="n">
        <v>46279.61607865741</v>
      </c>
      <c r="B295" s="19" t="inlineStr">
        <is>
          <t>3. This Month (Sep 2026)</t>
        </is>
      </c>
      <c r="C295" s="17" t="inlineStr">
        <is>
          <t>Meta Ads (NB PropertyTech Survey Ad 3108)</t>
        </is>
      </c>
      <c r="D295" s="17" t="inlineStr">
        <is>
          <t>Chavda Paresh (9925070971)</t>
        </is>
      </c>
      <c r="E295" s="17" t="inlineStr">
        <is>
          <t>Prexa Vithalapara</t>
        </is>
      </c>
      <c r="F295" s="17" t="inlineStr">
        <is>
          <t>Rejected / Lost</t>
        </is>
      </c>
      <c r="G295" s="17" t="inlineStr">
        <is>
          <t>Rakesh Jadav</t>
        </is>
      </c>
      <c r="H295" s="17" t="inlineStr">
        <is>
          <t>Rejected (Locality Mismatch)</t>
        </is>
      </c>
      <c r="I295" s="17" t="inlineStr">
        <is>
          <t>[14 Sep '26, 2:54 PM] Gota, near KN Patel School, 2 BHK for family, semi furnished 20-23k rent, possession as soon as possible. | Followup: cnr | CRM: [Staying: family] [Campaign: NB PropertyTech Survey Ad 3108] Imported from Campaign Leads (Meta Ads). | CRM Followup: cnr | [Staying: family] [Campaign: NB PropertyTech Survey Ad 3108] Imported from Campaign Leads (Meta Ads).</t>
        </is>
      </c>
    </row>
    <row r="296" ht="20" customHeight="1">
      <c r="A296" s="57" t="n">
        <v>46279.58373818287</v>
      </c>
      <c r="B296" s="16" t="inlineStr">
        <is>
          <t>3. This Month (Sep 2026)</t>
        </is>
      </c>
      <c r="C296" s="14" t="inlineStr">
        <is>
          <t>Meta Ads (NB PropertyTech Survey Ad 3108)</t>
        </is>
      </c>
      <c r="D296" s="14" t="inlineStr">
        <is>
          <t>Kuldip Tomar (6353321161)</t>
        </is>
      </c>
      <c r="E296" s="14" t="inlineStr">
        <is>
          <t>Prexa Vithalapara</t>
        </is>
      </c>
      <c r="F296" s="14" t="inlineStr">
        <is>
          <t>Interested</t>
        </is>
      </c>
      <c r="G296" s="14" t="inlineStr">
        <is>
          <t>Not Assigned</t>
        </is>
      </c>
      <c r="H296" s="14" t="inlineStr">
        <is>
          <t>N/A (Not Assigned)</t>
        </is>
      </c>
      <c r="I296" s="14" t="inlineStr">
        <is>
          <t>testing leads -- | CRM: testing leads --</t>
        </is>
      </c>
    </row>
    <row r="297" ht="20" customHeight="1">
      <c r="A297" s="58" t="n">
        <v>46279.56549516204</v>
      </c>
      <c r="B297" s="19" t="inlineStr">
        <is>
          <t>3. This Month (Sep 2026)</t>
        </is>
      </c>
      <c r="C297" s="17" t="inlineStr">
        <is>
          <t>Meta Ads (NB PropertyTech Survey Ad 3108)</t>
        </is>
      </c>
      <c r="D297" s="17" t="inlineStr">
        <is>
          <t>Ruchita Bhatt (7202826588)</t>
        </is>
      </c>
      <c r="E297" s="17" t="inlineStr">
        <is>
          <t>Prexa Vithalapara</t>
        </is>
      </c>
      <c r="F297" s="17" t="inlineStr">
        <is>
          <t>Sales</t>
        </is>
      </c>
      <c r="G297" s="17" t="inlineStr">
        <is>
          <t>Rajan Purani</t>
        </is>
      </c>
      <c r="H297" s="17" t="inlineStr">
        <is>
          <t>Live</t>
        </is>
      </c>
      <c r="I297" s="17" t="inlineStr">
        <is>
          <t>this is testing leads assign to you -- agar ye client ka kuch bhi status baaki hai to aap follow ups le sakte hai ! | CRM: this is testing leads assign to you -- agar ye client ka kuch bhi status baaki hai to aap follow ups le sakte hai !</t>
        </is>
      </c>
    </row>
    <row r="298" ht="20" customHeight="1">
      <c r="A298" s="57" t="n">
        <v>46279.5626156713</v>
      </c>
      <c r="B298" s="16" t="inlineStr">
        <is>
          <t>3. This Month (Sep 2026)</t>
        </is>
      </c>
      <c r="C298" s="14" t="inlineStr">
        <is>
          <t>Meta Ads (NB PropertyTech Survey Ad 0308)</t>
        </is>
      </c>
      <c r="D298" s="14" t="inlineStr">
        <is>
          <t>Himanshu Kharwal (9772080368)</t>
        </is>
      </c>
      <c r="E298" s="14" t="inlineStr">
        <is>
          <t>Prexa Vithalapara</t>
        </is>
      </c>
      <c r="F298" s="14" t="inlineStr">
        <is>
          <t>Rejected / Lost</t>
        </is>
      </c>
      <c r="G298" s="14" t="inlineStr">
        <is>
          <t>Not Assigned</t>
        </is>
      </c>
      <c r="H298" s="14" t="inlineStr">
        <is>
          <t>N/A (Not Assigned)</t>
        </is>
      </c>
      <c r="I298" s="14" t="inlineStr">
        <is>
          <t>--- | CRM: ---</t>
        </is>
      </c>
    </row>
    <row r="299" ht="20" customHeight="1">
      <c r="A299" s="58" t="n">
        <v>46279.56009921296</v>
      </c>
      <c r="B299" s="19" t="inlineStr">
        <is>
          <t>3. This Month (Sep 2026)</t>
        </is>
      </c>
      <c r="C299" s="17" t="inlineStr">
        <is>
          <t>Meta Ads (NB PropertyTech Survey Ad 0308)</t>
        </is>
      </c>
      <c r="D299" s="17" t="inlineStr">
        <is>
          <t>Himanshi Chauhan (9712932621)</t>
        </is>
      </c>
      <c r="E299" s="17" t="inlineStr">
        <is>
          <t>Prexa Vithalapara</t>
        </is>
      </c>
      <c r="F299" s="17" t="inlineStr">
        <is>
          <t>Rejected / Lost</t>
        </is>
      </c>
      <c r="G299" s="17" t="inlineStr">
        <is>
          <t>Rajan Purani</t>
        </is>
      </c>
      <c r="H299" s="17" t="inlineStr">
        <is>
          <t>Follow-Up</t>
        </is>
      </c>
      <c r="I299" s="17" t="inlineStr">
        <is>
          <t>[21 Sep '26, 10:53 AM] The call is not responding so call back again | Followup: The call is not responding so call back again | CRM: 3 BHK in Gota budget 20k | CRM Followup: The call is not responding so call back again | 3 BHK in Gota budget 20k</t>
        </is>
      </c>
    </row>
    <row r="300" ht="20" customHeight="1">
      <c r="A300" s="57" t="n">
        <v>46279.54007396991</v>
      </c>
      <c r="B300" s="16" t="inlineStr">
        <is>
          <t>3. This Month (Sep 2026)</t>
        </is>
      </c>
      <c r="C300" s="14" t="inlineStr">
        <is>
          <t>Meta Ads (NB PropertyTech Survey Ad 3108)</t>
        </is>
      </c>
      <c r="D300" s="14" t="inlineStr">
        <is>
          <t>Tanay Shah (9879407191)</t>
        </is>
      </c>
      <c r="E300" s="14" t="inlineStr">
        <is>
          <t>Prexa Vithalapara</t>
        </is>
      </c>
      <c r="F300" s="14" t="inlineStr">
        <is>
          <t>Sales</t>
        </is>
      </c>
      <c r="G300" s="14" t="inlineStr">
        <is>
          <t>Not Assigned</t>
        </is>
      </c>
      <c r="H300" s="14" t="inlineStr">
        <is>
          <t>N/A (Not Assigned)</t>
        </is>
      </c>
      <c r="I300" s="14" t="inlineStr">
        <is>
          <t>[Staying: family] [Campaign: NB PropertyTech Survey Ad 3108] Imported from Campaign Leads (Meta Ads).</t>
        </is>
      </c>
    </row>
    <row r="301" ht="20" customHeight="1">
      <c r="A301" s="58" t="n">
        <v>46279.53881238426</v>
      </c>
      <c r="B301" s="19" t="inlineStr">
        <is>
          <t>3. This Month (Sep 2026)</t>
        </is>
      </c>
      <c r="C301" s="17" t="inlineStr">
        <is>
          <t>Meta Ads (NB PropertyTech Survey Ad 0308)</t>
        </is>
      </c>
      <c r="D301" s="17" t="inlineStr">
        <is>
          <t>Mithu (9409715092)</t>
        </is>
      </c>
      <c r="E301" s="17" t="inlineStr">
        <is>
          <t>Prexa Vithalapara</t>
        </is>
      </c>
      <c r="F301" s="17" t="inlineStr">
        <is>
          <t>Rejected / Lost</t>
        </is>
      </c>
      <c r="G301" s="17" t="inlineStr">
        <is>
          <t>Not Assigned</t>
        </is>
      </c>
      <c r="H301" s="17" t="inlineStr">
        <is>
          <t>N/A (Not Assigned)</t>
        </is>
      </c>
      <c r="I301" s="17" t="inlineStr">
        <is>
          <t>2 BHK semi furnished flat joye che, chinmay tower, sarjan tower</t>
        </is>
      </c>
    </row>
    <row r="302" ht="20" customHeight="1">
      <c r="A302" s="57" t="n">
        <v>46279.53347681713</v>
      </c>
      <c r="B302" s="16" t="inlineStr">
        <is>
          <t>3. This Month (Sep 2026)</t>
        </is>
      </c>
      <c r="C302" s="14" t="inlineStr">
        <is>
          <t>Meta Ads (NB PropertyTech Survey Ad 3108)</t>
        </is>
      </c>
      <c r="D302" s="14" t="inlineStr">
        <is>
          <t>Ʂŋɛɧąɩ ყɛơɩą (8181049711)</t>
        </is>
      </c>
      <c r="E302" s="14" t="inlineStr">
        <is>
          <t>Prexa Vithalapara</t>
        </is>
      </c>
      <c r="F302" s="14" t="inlineStr">
        <is>
          <t>Rejected / Lost</t>
        </is>
      </c>
      <c r="G302" s="14" t="inlineStr">
        <is>
          <t>Rajan Purani</t>
        </is>
      </c>
      <c r="H302" s="14" t="inlineStr">
        <is>
          <t>Rejected (Not Answering)</t>
        </is>
      </c>
      <c r="I302" s="14" t="inlineStr">
        <is>
          <t>[18 Sep '26, 12:58 PM] all time out off service so close | Followup: all time out off service so close | CRM: [Staying: couple] [Campaign: NB PropertyTech Survey Ad 3108] Imported from Campaign Leads (Meta Ads). | CRM Followup: all time out off service so close | [Staying: couple] [Campaign: NB PropertyTech Survey Ad 3108] Imported from Campaign Leads (Meta Ads).</t>
        </is>
      </c>
    </row>
    <row r="303" ht="20" customHeight="1">
      <c r="A303" s="58" t="n">
        <v>46279.5281791551</v>
      </c>
      <c r="B303" s="19" t="inlineStr">
        <is>
          <t>3. This Month (Sep 2026)</t>
        </is>
      </c>
      <c r="C303" s="17" t="inlineStr">
        <is>
          <t>Meta Ads (NB PropertyTech Survey Ad 3108)</t>
        </is>
      </c>
      <c r="D303" s="17" t="inlineStr">
        <is>
          <t>Devang Lakhiyar (7990648803)</t>
        </is>
      </c>
      <c r="E303" s="17" t="inlineStr">
        <is>
          <t>Prexa Vithalapara</t>
        </is>
      </c>
      <c r="F303" s="17" t="inlineStr">
        <is>
          <t>Rejected / Lost</t>
        </is>
      </c>
      <c r="G303" s="17" t="inlineStr">
        <is>
          <t>Not Assigned</t>
        </is>
      </c>
      <c r="H303" s="17" t="inlineStr">
        <is>
          <t>N/A (Not Assigned)</t>
        </is>
      </c>
      <c r="I303" s="17" t="inlineStr">
        <is>
          <t>-</t>
        </is>
      </c>
    </row>
    <row r="304" ht="20" customHeight="1">
      <c r="A304" s="57" t="n">
        <v>46279.52091538195</v>
      </c>
      <c r="B304" s="16" t="inlineStr">
        <is>
          <t>3. This Month (Sep 2026)</t>
        </is>
      </c>
      <c r="C304" s="14" t="inlineStr">
        <is>
          <t>Meta Ads (NB PropertyTech Survey Ad 3108)</t>
        </is>
      </c>
      <c r="D304" s="14" t="inlineStr">
        <is>
          <t>Nayak Shilpia Janak Kiumr (9510669856)</t>
        </is>
      </c>
      <c r="E304" s="14" t="inlineStr">
        <is>
          <t>Prexa Vithalapara</t>
        </is>
      </c>
      <c r="F304" s="14" t="inlineStr">
        <is>
          <t>Rejected / Lost</t>
        </is>
      </c>
      <c r="G304" s="14" t="inlineStr">
        <is>
          <t>Rajan Purani</t>
        </is>
      </c>
      <c r="H304" s="14" t="inlineStr">
        <is>
          <t>Rejected (Others)</t>
        </is>
      </c>
      <c r="I304" s="14" t="inlineStr">
        <is>
          <t>[Staying: couple] [Campaign: NB PropertyTech Survey Ad 3108] Imported from Campaign Leads (Meta Ads).
[14 Sep '26, 3:43 PM] just listed but not req. so close | CRM: [Staying: couple] [Campaign: NB PropertyTech Survey Ad 3108] Imported from Campaign Leads (Meta Ads). | [Staying: couple] [Campaign: NB PropertyTech Survey Ad 3108] Imported from Campaign Leads (Meta Ads).</t>
        </is>
      </c>
    </row>
    <row r="305" ht="20" customHeight="1">
      <c r="A305" s="58" t="n">
        <v>46279.50977784722</v>
      </c>
      <c r="B305" s="19" t="inlineStr">
        <is>
          <t>3. This Month (Sep 2026)</t>
        </is>
      </c>
      <c r="C305" s="17" t="inlineStr">
        <is>
          <t>Direct / Manual</t>
        </is>
      </c>
      <c r="D305" s="17" t="inlineStr">
        <is>
          <t>Sudha Desai (9409148736)</t>
        </is>
      </c>
      <c r="E305" s="17" t="inlineStr">
        <is>
          <t>Unassigned</t>
        </is>
      </c>
      <c r="F305" s="17" t="inlineStr">
        <is>
          <t>Interested</t>
        </is>
      </c>
      <c r="G305" s="17" t="inlineStr">
        <is>
          <t>Rajan Purani</t>
        </is>
      </c>
      <c r="H305" s="17" t="inlineStr">
        <is>
          <t>Follow-Up</t>
        </is>
      </c>
      <c r="I305" s="17" t="inlineStr">
        <is>
          <t>[14 Sep '26, 2:50 PM] options searching and shared details call for visit only evening | Followup: the call is not responding already options share call for visit | CRM: 3,4 bhk bungalow joye che shyamal shivranjni, satellite locations ma budget 5 cr che | CRM Followup: the call is not responding already options share call for visit | 3,4 bhk bungalow joye che shyamal shivranjni, satellite locations ma budget 5 cr che</t>
        </is>
      </c>
    </row>
    <row r="306" ht="20" customHeight="1">
      <c r="A306" s="57" t="n">
        <v>46279.46385232639</v>
      </c>
      <c r="B306" s="16" t="inlineStr">
        <is>
          <t>3. This Month (Sep 2026)</t>
        </is>
      </c>
      <c r="C306" s="14" t="inlineStr">
        <is>
          <t>Meta Ads (NB PropertyTech Survey Ad 0308)</t>
        </is>
      </c>
      <c r="D306" s="14" t="inlineStr">
        <is>
          <t>Divyesh Sidhpura (9426766240)</t>
        </is>
      </c>
      <c r="E306" s="14" t="inlineStr">
        <is>
          <t>Prexa Vithalapara</t>
        </is>
      </c>
      <c r="F306" s="14" t="inlineStr">
        <is>
          <t>Rejected / Lost</t>
        </is>
      </c>
      <c r="G306" s="14" t="inlineStr">
        <is>
          <t>Not Assigned</t>
        </is>
      </c>
      <c r="H306" s="14" t="inlineStr">
        <is>
          <t>N/A (Not Assigned)</t>
        </is>
      </c>
      <c r="I306" s="14" t="inlineStr">
        <is>
          <t>[Campaign: NB PropertyTech Survey Ad 0308] Imported from Campaign Leads (Meta Ads). | CRM: [Campaign: NB PropertyTech Survey Ad 0308] Imported from Campaign Leads (Meta Ads).</t>
        </is>
      </c>
    </row>
    <row r="307" ht="20" customHeight="1">
      <c r="A307" s="58" t="n">
        <v>46279.27789944445</v>
      </c>
      <c r="B307" s="19" t="inlineStr">
        <is>
          <t>3. This Month (Sep 2026)</t>
        </is>
      </c>
      <c r="C307" s="17" t="inlineStr">
        <is>
          <t>Meta Ads (NB PropertyTech Survey Ad 3108)</t>
        </is>
      </c>
      <c r="D307" s="17" t="inlineStr">
        <is>
          <t>Poonam Patel (9328214454)</t>
        </is>
      </c>
      <c r="E307" s="17" t="inlineStr">
        <is>
          <t>Prexa Vithalapara</t>
        </is>
      </c>
      <c r="F307" s="17" t="inlineStr">
        <is>
          <t>Rejected / Lost</t>
        </is>
      </c>
      <c r="G307" s="17" t="inlineStr">
        <is>
          <t>Not Assigned</t>
        </is>
      </c>
      <c r="H307" s="17" t="inlineStr">
        <is>
          <t>N/A (Not Assigned)</t>
        </is>
      </c>
      <c r="I307" s="17" t="inlineStr">
        <is>
          <t>-</t>
        </is>
      </c>
    </row>
    <row r="308" ht="20" customHeight="1">
      <c r="A308" s="57" t="n">
        <v>46279.01744175926</v>
      </c>
      <c r="B308" s="16" t="inlineStr">
        <is>
          <t>3. This Month (Sep 2026)</t>
        </is>
      </c>
      <c r="C308" s="14" t="inlineStr">
        <is>
          <t>Meta Ads (NB PropertyTech Survey Ad 3108)</t>
        </is>
      </c>
      <c r="D308" s="14" t="inlineStr">
        <is>
          <t>Diiep Mumbai (8511020025)</t>
        </is>
      </c>
      <c r="E308" s="14" t="inlineStr">
        <is>
          <t>Prexa Vithalapara</t>
        </is>
      </c>
      <c r="F308" s="14" t="inlineStr">
        <is>
          <t>Rejected / Lost</t>
        </is>
      </c>
      <c r="G308" s="14" t="inlineStr">
        <is>
          <t>Not Assigned</t>
        </is>
      </c>
      <c r="H308" s="14" t="inlineStr">
        <is>
          <t>N/A (Not Assigned)</t>
        </is>
      </c>
      <c r="I308" s="14" t="inlineStr">
        <is>
          <t>Followup: Not receiving</t>
        </is>
      </c>
    </row>
    <row r="309" ht="20" customHeight="1">
      <c r="A309" s="58" t="n">
        <v>46278.94130578704</v>
      </c>
      <c r="B309" s="19" t="inlineStr">
        <is>
          <t>3. This Month (Sep 2026)</t>
        </is>
      </c>
      <c r="C309" s="17" t="inlineStr">
        <is>
          <t>Direct / Manual</t>
        </is>
      </c>
      <c r="D309" s="17" t="inlineStr">
        <is>
          <t>Llm (1526239874)</t>
        </is>
      </c>
      <c r="E309" s="17" t="inlineStr">
        <is>
          <t>Unassigned</t>
        </is>
      </c>
      <c r="F309" s="17" t="inlineStr">
        <is>
          <t>Interested</t>
        </is>
      </c>
      <c r="G309" s="17" t="inlineStr">
        <is>
          <t>Not Assigned</t>
        </is>
      </c>
      <c r="H309" s="17" t="inlineStr">
        <is>
          <t>N/A (Not Assigned)</t>
        </is>
      </c>
      <c r="I309" s="17" t="inlineStr">
        <is>
          <t>[13 Sep '26, 11:12 PM] hello | Followup: site visit LLM | CRM: Hello How are you ?? LLM ? | CRM Followup: site visit LLM | Hello How are you ?? LLM ?</t>
        </is>
      </c>
    </row>
    <row r="310" ht="20" customHeight="1">
      <c r="A310" s="57" t="n">
        <v>46278.89916668981</v>
      </c>
      <c r="B310" s="16" t="inlineStr">
        <is>
          <t>3. This Month (Sep 2026)</t>
        </is>
      </c>
      <c r="C310" s="14" t="inlineStr">
        <is>
          <t>Meta Ads (NB PropertyTech Survey Ad 3108)</t>
        </is>
      </c>
      <c r="D310" s="14" t="inlineStr">
        <is>
          <t>Chavda Paresh (9925070971)</t>
        </is>
      </c>
      <c r="E310" s="14" t="inlineStr">
        <is>
          <t>Prexa Vithalapara</t>
        </is>
      </c>
      <c r="F310" s="14" t="inlineStr">
        <is>
          <t>Interested</t>
        </is>
      </c>
      <c r="G310" s="14" t="inlineStr">
        <is>
          <t>Not Assigned</t>
        </is>
      </c>
      <c r="H310" s="14" t="inlineStr">
        <is>
          <t>N/A (Not Assigned)</t>
        </is>
      </c>
      <c r="I310" s="14" t="inlineStr">
        <is>
          <t>[Staying: family] [Campaign: NB PropertyTech Survey Ad 3108] Imported from Campaign Leads (Meta Ads).</t>
        </is>
      </c>
    </row>
    <row r="311" ht="20" customHeight="1">
      <c r="A311" s="58" t="n">
        <v>46278.84499023148</v>
      </c>
      <c r="B311" s="19" t="inlineStr">
        <is>
          <t>3. This Month (Sep 2026)</t>
        </is>
      </c>
      <c r="C311" s="17" t="inlineStr">
        <is>
          <t>Meta Ads (NB PropertyTech Survey Ad 3108)</t>
        </is>
      </c>
      <c r="D311" s="17" t="inlineStr">
        <is>
          <t>Basrani Jayesh (8980103040)</t>
        </is>
      </c>
      <c r="E311" s="17" t="inlineStr">
        <is>
          <t>Prexa Vithalapara</t>
        </is>
      </c>
      <c r="F311" s="17" t="inlineStr">
        <is>
          <t>CNR (Could Not Reach)</t>
        </is>
      </c>
      <c r="G311" s="17" t="inlineStr">
        <is>
          <t>Not Assigned</t>
        </is>
      </c>
      <c r="H311" s="17" t="inlineStr">
        <is>
          <t>N/A (Not Assigned)</t>
        </is>
      </c>
      <c r="I311" s="17" t="inlineStr">
        <is>
          <t>Transfer Note: Out of service | Followup: Out of service</t>
        </is>
      </c>
    </row>
    <row r="312" ht="20" customHeight="1">
      <c r="A312" s="57" t="n">
        <v>46278.79359314815</v>
      </c>
      <c r="B312" s="16" t="inlineStr">
        <is>
          <t>3. This Month (Sep 2026)</t>
        </is>
      </c>
      <c r="C312" s="14" t="inlineStr">
        <is>
          <t>Meta Ads (NB PropertyTech Survey Ad 3108)</t>
        </is>
      </c>
      <c r="D312" s="14" t="inlineStr">
        <is>
          <t>Mahendra Mehta (9327063788)</t>
        </is>
      </c>
      <c r="E312" s="14" t="inlineStr">
        <is>
          <t>Unassigned</t>
        </is>
      </c>
      <c r="F312" s="14" t="inlineStr">
        <is>
          <t>Sales</t>
        </is>
      </c>
      <c r="G312" s="14" t="inlineStr">
        <is>
          <t>Rakesh Jadav</t>
        </is>
      </c>
      <c r="H312" s="14" t="inlineStr">
        <is>
          <t>Rejected (Broker)</t>
        </is>
      </c>
      <c r="I312" s="14" t="inlineStr">
        <is>
          <t>Rquired 2bhk budget 20k preefered location navrangpura ,ghatlodiya | Transfer: Rquired 2bhk budget 20k preefered location navrangpura ,ghatlodiya | Transfer Note: Rquired 2bhk budget 20k preefered location navrangpura ,ghatlodiya | Followup: Not receiving</t>
        </is>
      </c>
    </row>
    <row r="313" ht="20" customHeight="1">
      <c r="A313" s="58" t="n">
        <v>46278.77484759259</v>
      </c>
      <c r="B313" s="19" t="inlineStr">
        <is>
          <t>3. This Month (Sep 2026)</t>
        </is>
      </c>
      <c r="C313" s="17" t="inlineStr">
        <is>
          <t>Meta Ads (NB PropertyTech Survey Ad 3108)</t>
        </is>
      </c>
      <c r="D313" s="17" t="inlineStr">
        <is>
          <t>Dhruvil Panchal (9574770797)</t>
        </is>
      </c>
      <c r="E313" s="17" t="inlineStr">
        <is>
          <t>Prexa Vithalapara</t>
        </is>
      </c>
      <c r="F313" s="17" t="inlineStr">
        <is>
          <t>Rejected / Lost</t>
        </is>
      </c>
      <c r="G313" s="17" t="inlineStr">
        <is>
          <t>Not Assigned</t>
        </is>
      </c>
      <c r="H313" s="17" t="inlineStr">
        <is>
          <t>N/A (Not Assigned)</t>
        </is>
      </c>
      <c r="I313" s="17" t="inlineStr">
        <is>
          <t>-</t>
        </is>
      </c>
    </row>
    <row r="314" ht="20" customHeight="1">
      <c r="A314" s="57" t="n">
        <v>46278.77345165509</v>
      </c>
      <c r="B314" s="16" t="inlineStr">
        <is>
          <t>3. This Month (Sep 2026)</t>
        </is>
      </c>
      <c r="C314" s="14" t="inlineStr">
        <is>
          <t>Meta Ads (NB PropertyTech Survey Ad 3108)</t>
        </is>
      </c>
      <c r="D314" s="14" t="inlineStr">
        <is>
          <t>Chaula Patani (9978923642)</t>
        </is>
      </c>
      <c r="E314" s="14" t="inlineStr">
        <is>
          <t>Prexa Vithalapara</t>
        </is>
      </c>
      <c r="F314" s="14" t="inlineStr">
        <is>
          <t>Rejected / Lost</t>
        </is>
      </c>
      <c r="G314" s="14" t="inlineStr">
        <is>
          <t>Not Assigned</t>
        </is>
      </c>
      <c r="H314" s="14" t="inlineStr">
        <is>
          <t>N/A (Not Assigned)</t>
        </is>
      </c>
      <c r="I314" s="14" t="inlineStr">
        <is>
          <t>Followup: Busy call back by evenin</t>
        </is>
      </c>
    </row>
    <row r="315" ht="20" customHeight="1">
      <c r="A315" s="58" t="n">
        <v>46278.74566925926</v>
      </c>
      <c r="B315" s="19" t="inlineStr">
        <is>
          <t>3. This Month (Sep 2026)</t>
        </is>
      </c>
      <c r="C315" s="17" t="inlineStr">
        <is>
          <t>Meta Ads (NB PropertyTech Survey Ad 3108)</t>
        </is>
      </c>
      <c r="D315" s="17" t="inlineStr">
        <is>
          <t>Sanjay Parmar (8275252922)</t>
        </is>
      </c>
      <c r="E315" s="17" t="inlineStr">
        <is>
          <t>Prexa Vithalapara</t>
        </is>
      </c>
      <c r="F315" s="17" t="inlineStr">
        <is>
          <t>Interested</t>
        </is>
      </c>
      <c r="G315" s="17" t="inlineStr">
        <is>
          <t>Not Assigned</t>
        </is>
      </c>
      <c r="H315" s="17" t="inlineStr">
        <is>
          <t>N/A (Not Assigned)</t>
        </is>
      </c>
      <c r="I315" s="17" t="inlineStr">
        <is>
          <t>[Staying: family] [Campaign: NB PropertyTech Survey Ad 3108] Imported from Campaign Leads (Meta Ads).</t>
        </is>
      </c>
    </row>
    <row r="316" ht="20" customHeight="1">
      <c r="A316" s="57" t="n">
        <v>46278.72622131944</v>
      </c>
      <c r="B316" s="16" t="inlineStr">
        <is>
          <t>3. This Month (Sep 2026)</t>
        </is>
      </c>
      <c r="C316" s="14" t="inlineStr">
        <is>
          <t>Meta Ads (NB PropertyTech Survey Ad 3108)</t>
        </is>
      </c>
      <c r="D316" s="14" t="inlineStr">
        <is>
          <t>Vipul Thakkar (9904377393)</t>
        </is>
      </c>
      <c r="E316" s="14" t="inlineStr">
        <is>
          <t>Prexa Vithalapara</t>
        </is>
      </c>
      <c r="F316" s="14" t="inlineStr">
        <is>
          <t>Interested</t>
        </is>
      </c>
      <c r="G316" s="14" t="inlineStr">
        <is>
          <t>Not Assigned</t>
        </is>
      </c>
      <c r="H316" s="14" t="inlineStr">
        <is>
          <t>N/A (Not Assigned)</t>
        </is>
      </c>
      <c r="I316" s="14" t="inlineStr">
        <is>
          <t>-</t>
        </is>
      </c>
    </row>
    <row r="317" ht="20" customHeight="1">
      <c r="A317" s="58" t="n">
        <v>46278.69844332176</v>
      </c>
      <c r="B317" s="19" t="inlineStr">
        <is>
          <t>3. This Month (Sep 2026)</t>
        </is>
      </c>
      <c r="C317" s="17" t="inlineStr">
        <is>
          <t>Meta Ads (NB PropertyTech Survey Ad 3108)</t>
        </is>
      </c>
      <c r="D317" s="17" t="inlineStr">
        <is>
          <t>Nimil Pandya (7016934755)</t>
        </is>
      </c>
      <c r="E317" s="17" t="inlineStr">
        <is>
          <t>Prexa Vithalapara</t>
        </is>
      </c>
      <c r="F317" s="17" t="inlineStr">
        <is>
          <t>Interested</t>
        </is>
      </c>
      <c r="G317" s="17" t="inlineStr">
        <is>
          <t>Not Assigned</t>
        </is>
      </c>
      <c r="H317" s="17" t="inlineStr">
        <is>
          <t>N/A (Not Assigned)</t>
        </is>
      </c>
      <c r="I317" s="17" t="inlineStr">
        <is>
          <t>[Staying: family] [Campaign: NB PropertyTech Survey Ad 3108] Imported from Campaign Leads (Meta Ads).</t>
        </is>
      </c>
    </row>
    <row r="318" ht="20" customHeight="1">
      <c r="A318" s="57" t="n">
        <v>46278.61870210648</v>
      </c>
      <c r="B318" s="16" t="inlineStr">
        <is>
          <t>3. This Month (Sep 2026)</t>
        </is>
      </c>
      <c r="C318" s="14" t="inlineStr">
        <is>
          <t>Meta Ads (NB PropertyTech Survey Ad 3108)</t>
        </is>
      </c>
      <c r="D318" s="14" t="inlineStr">
        <is>
          <t>Sanskruti (8080983728)</t>
        </is>
      </c>
      <c r="E318" s="14" t="inlineStr">
        <is>
          <t>Prexa Vithalapara</t>
        </is>
      </c>
      <c r="F318" s="14" t="inlineStr">
        <is>
          <t>Rejected / Lost</t>
        </is>
      </c>
      <c r="G318" s="14" t="inlineStr">
        <is>
          <t>Not Assigned</t>
        </is>
      </c>
      <c r="H318" s="14" t="inlineStr">
        <is>
          <t>N/A (Not Assigned)</t>
        </is>
      </c>
      <c r="I318" s="14" t="inlineStr">
        <is>
          <t>[Staying: working professionals] [Campaign: NB PropertyTech Survey Ad 3108] Imported from Campaign Leads (Meta Ads). | CRM: [Staying: working professionals] [Campaign: NB PropertyTech Survey Ad 3108] Imported from Campaign Leads (Meta Ads).</t>
        </is>
      </c>
    </row>
    <row r="319" ht="20" customHeight="1">
      <c r="A319" s="58" t="n">
        <v>46278.60781446759</v>
      </c>
      <c r="B319" s="19" t="inlineStr">
        <is>
          <t>3. This Month (Sep 2026)</t>
        </is>
      </c>
      <c r="C319" s="17" t="inlineStr">
        <is>
          <t>Meta Ads (NB PropertyTech Survey Ad 3108)</t>
        </is>
      </c>
      <c r="D319" s="17" t="inlineStr">
        <is>
          <t>Jayantilal Hansaliya (9601303530)</t>
        </is>
      </c>
      <c r="E319" s="17" t="inlineStr">
        <is>
          <t>Prexa Vithalapara</t>
        </is>
      </c>
      <c r="F319" s="17" t="inlineStr">
        <is>
          <t>Rejected / Lost</t>
        </is>
      </c>
      <c r="G319" s="17" t="inlineStr">
        <is>
          <t>Somel Rathod</t>
        </is>
      </c>
      <c r="H319" s="17" t="inlineStr">
        <is>
          <t>Rejected (No Requirement)</t>
        </is>
      </c>
      <c r="I319" s="17" t="inlineStr">
        <is>
          <t>[13 Sep '26, 2:36 PM] Thaltej, Shilaj, Bopal, 2bhk, for family, fully furnished,, rent budget 20-25K, possession required on december, can visit after 15 days. | Followup: CNR | CRM: hu pachi call karu | CRM Followup: CNR | hu pachi call karu</t>
        </is>
      </c>
    </row>
    <row r="320" ht="20" customHeight="1">
      <c r="A320" s="57" t="n">
        <v>46278.60265105324</v>
      </c>
      <c r="B320" s="16" t="inlineStr">
        <is>
          <t>3. This Month (Sep 2026)</t>
        </is>
      </c>
      <c r="C320" s="14" t="inlineStr">
        <is>
          <t>Meta Ads (NB PropertyTech Survey Ad 3108)</t>
        </is>
      </c>
      <c r="D320" s="14" t="inlineStr">
        <is>
          <t>Vimal Shah (9825777920)</t>
        </is>
      </c>
      <c r="E320" s="14" t="inlineStr">
        <is>
          <t>Prexa Vithalapara</t>
        </is>
      </c>
      <c r="F320" s="14" t="inlineStr">
        <is>
          <t>Interested</t>
        </is>
      </c>
      <c r="G320" s="14" t="inlineStr">
        <is>
          <t>Somel Rathod</t>
        </is>
      </c>
      <c r="H320" s="14" t="inlineStr">
        <is>
          <t>Re-Followup</t>
        </is>
      </c>
      <c r="I320" s="14" t="inlineStr">
        <is>
          <t>[13 Sep '26, 2:30 PM] Location Shilaj, 3bhk, 200 sq yard, for family, fully furnished, Rent budget 40 50k, for minimum 3 yrs, New Project, 2 car parking, requires as soon as possible. | Followup: only shilaj area ma jove che bija koi option nathi jova | CRM: CNR | CRM Followup: only shilaj area ma jove che bija koi option nathi jova | CNR</t>
        </is>
      </c>
    </row>
    <row r="321" ht="20" customHeight="1">
      <c r="A321" s="58" t="n">
        <v>46278.54426059028</v>
      </c>
      <c r="B321" s="19" t="inlineStr">
        <is>
          <t>3. This Month (Sep 2026)</t>
        </is>
      </c>
      <c r="C321" s="17" t="inlineStr">
        <is>
          <t>Meta Ads (NB PropertyTech Survey Ad 3108)</t>
        </is>
      </c>
      <c r="D321" s="17" t="inlineStr">
        <is>
          <t>Patel Patel (7218338877)</t>
        </is>
      </c>
      <c r="E321" s="17" t="inlineStr">
        <is>
          <t>Prexa Vithalapara</t>
        </is>
      </c>
      <c r="F321" s="17" t="inlineStr">
        <is>
          <t>Rejected / Lost</t>
        </is>
      </c>
      <c r="G321" s="17" t="inlineStr">
        <is>
          <t>Not Assigned</t>
        </is>
      </c>
      <c r="H321" s="17" t="inlineStr">
        <is>
          <t>N/A (Not Assigned)</t>
        </is>
      </c>
      <c r="I321" s="17" t="inlineStr">
        <is>
          <t>-</t>
        </is>
      </c>
    </row>
    <row r="322" ht="20" customHeight="1">
      <c r="A322" s="57" t="n">
        <v>46278.51950401621</v>
      </c>
      <c r="B322" s="16" t="inlineStr">
        <is>
          <t>3. This Month (Sep 2026)</t>
        </is>
      </c>
      <c r="C322" s="14" t="inlineStr">
        <is>
          <t>Meta Ads (NB PropertyTech Survey Ad 3108)</t>
        </is>
      </c>
      <c r="D322" s="14" t="inlineStr">
        <is>
          <t>Dïshu Patel (9016633505)</t>
        </is>
      </c>
      <c r="E322" s="14" t="inlineStr">
        <is>
          <t>Prexa Vithalapara</t>
        </is>
      </c>
      <c r="F322" s="14" t="inlineStr">
        <is>
          <t>Interested</t>
        </is>
      </c>
      <c r="G322" s="14" t="inlineStr">
        <is>
          <t>Somel Rathod</t>
        </is>
      </c>
      <c r="H322" s="14" t="inlineStr">
        <is>
          <t>Rejected (Others)</t>
        </is>
      </c>
      <c r="I322" s="14" t="inlineStr">
        <is>
          <t>[13 Sep '26, 12:30 PM] Bopal and nearby SG Highway, 1/2 bhk, 16/18K budget, family (two sisters),  semi furnished, next month possession required. | Followup: rakesh bhai jode vat chalu che | CRM: rakesh bhai jode vat chalu che | CRM Followup: rakesh bhai jode vat chalu che | rakesh bhai jode vat chalu che</t>
        </is>
      </c>
    </row>
    <row r="323" ht="20" customHeight="1">
      <c r="A323" s="58" t="n">
        <v>46278.51126447917</v>
      </c>
      <c r="B323" s="19" t="inlineStr">
        <is>
          <t>3. This Month (Sep 2026)</t>
        </is>
      </c>
      <c r="C323" s="17" t="inlineStr">
        <is>
          <t>Meta Ads (NB PropertyTech Survey Ad 3108)</t>
        </is>
      </c>
      <c r="D323" s="17" t="inlineStr">
        <is>
          <t>Sunita Valecha (9374573888)</t>
        </is>
      </c>
      <c r="E323" s="17" t="inlineStr">
        <is>
          <t>Prexa Vithalapara</t>
        </is>
      </c>
      <c r="F323" s="17" t="inlineStr">
        <is>
          <t>Rejected / Lost</t>
        </is>
      </c>
      <c r="G323" s="17" t="inlineStr">
        <is>
          <t>Rakesh Jadav</t>
        </is>
      </c>
      <c r="H323" s="17" t="inlineStr">
        <is>
          <t>Rejected (Locality Mismatch)</t>
        </is>
      </c>
      <c r="I323" s="17" t="inlineStr">
        <is>
          <t>[13 Sep '26, 12:18 PM] Location is Chandkheda, Motera, Sughad, Rent 15k, 2bhk, for fam, requires after navratri, non/semi furnished. Told to contact them after 1:30 on working days. | Followup: option work out krva | CRM: amne chandkheda and indira brigge aspas joye che | CRM Followup: option work out krva | amne chandkheda and indira brigge aspas joye che</t>
        </is>
      </c>
    </row>
    <row r="324" ht="20" customHeight="1">
      <c r="A324" s="57" t="n">
        <v>46278.50484371528</v>
      </c>
      <c r="B324" s="16" t="inlineStr">
        <is>
          <t>3. This Month (Sep 2026)</t>
        </is>
      </c>
      <c r="C324" s="14" t="inlineStr">
        <is>
          <t>Meta Ads (NB PropertyTech Survey Ad 3108)</t>
        </is>
      </c>
      <c r="D324" s="14" t="inlineStr">
        <is>
          <t>Ca Nail Boutique (9974658980)</t>
        </is>
      </c>
      <c r="E324" s="14" t="inlineStr">
        <is>
          <t>Prexa Vithalapara</t>
        </is>
      </c>
      <c r="F324" s="14" t="inlineStr">
        <is>
          <t>Interested</t>
        </is>
      </c>
      <c r="G324" s="14" t="inlineStr">
        <is>
          <t>Rakesh Jadav</t>
        </is>
      </c>
      <c r="H324" s="14" t="inlineStr">
        <is>
          <t>Rejected (No Requirement)</t>
        </is>
      </c>
      <c r="I324" s="14" t="inlineStr">
        <is>
          <t>[13 Sep '26, 12:08 PM] Location is Thaltejj, Vastrapur, Ghatlodia, 3 bhk, budget 30k, for family, fully furnished with basic electronic acc., possession on Nov. | Followup: cnr | CRM: [Staying: family] [Campaign: NB PropertyTech Survey Ad 3108] Imported from Campaign Leads (Meta Ads). | CRM Followup: cnr | [Staying: family] [Campaign: NB PropertyTech Survey Ad 3108] Imported from Campaign Leads (Meta Ads).</t>
        </is>
      </c>
    </row>
    <row r="325" ht="20" customHeight="1">
      <c r="A325" s="58" t="n">
        <v>46278.49904512731</v>
      </c>
      <c r="B325" s="19" t="inlineStr">
        <is>
          <t>3. This Month (Sep 2026)</t>
        </is>
      </c>
      <c r="C325" s="17" t="inlineStr">
        <is>
          <t>Meta Ads (NB PropertyTech Survey Ad 3108)</t>
        </is>
      </c>
      <c r="D325" s="17" t="inlineStr">
        <is>
          <t>Neha (9737719205)</t>
        </is>
      </c>
      <c r="E325" s="17" t="inlineStr">
        <is>
          <t>Prexa Vithalapara</t>
        </is>
      </c>
      <c r="F325" s="17" t="inlineStr">
        <is>
          <t>Interested</t>
        </is>
      </c>
      <c r="G325" s="17" t="inlineStr">
        <is>
          <t>Somel Rathod</t>
        </is>
      </c>
      <c r="H325" s="17" t="inlineStr">
        <is>
          <t>Rejected (Others)</t>
        </is>
      </c>
      <c r="I325" s="17" t="inlineStr">
        <is>
          <t>[13 Sep '26, 12:00 PM] 30/40k budget, 2/3/4bhk, commercial for PG, noc required, Bodakdev or 3 to 4 km radius, prime location, requires as soon as possible. | Followup: CNR | CRM: CNR | CRM Followup: CNR | CNR</t>
        </is>
      </c>
    </row>
    <row r="326" ht="20" customHeight="1">
      <c r="A326" s="57" t="n">
        <v>46278.49216862269</v>
      </c>
      <c r="B326" s="16" t="inlineStr">
        <is>
          <t>3. This Month (Sep 2026)</t>
        </is>
      </c>
      <c r="C326" s="14" t="inlineStr">
        <is>
          <t>Meta Ads (NB PropertyTech Survey Ad 3108)</t>
        </is>
      </c>
      <c r="D326" s="14" t="inlineStr">
        <is>
          <t>Neha (9737719205)</t>
        </is>
      </c>
      <c r="E326" s="14" t="inlineStr">
        <is>
          <t>Prexa Vithalapara</t>
        </is>
      </c>
      <c r="F326" s="14" t="inlineStr">
        <is>
          <t>Interested</t>
        </is>
      </c>
      <c r="G326" s="14" t="inlineStr">
        <is>
          <t>Not Assigned</t>
        </is>
      </c>
      <c r="H326" s="14" t="inlineStr">
        <is>
          <t>N/A (Not Assigned)</t>
        </is>
      </c>
      <c r="I326" s="14" t="inlineStr">
        <is>
          <t>CNR</t>
        </is>
      </c>
    </row>
    <row r="327" ht="20" customHeight="1">
      <c r="A327" s="58" t="n">
        <v>46278.41507541667</v>
      </c>
      <c r="B327" s="19" t="inlineStr">
        <is>
          <t>3. This Month (Sep 2026)</t>
        </is>
      </c>
      <c r="C327" s="17" t="inlineStr">
        <is>
          <t>Meta Ads (NB PropertyTech Survey Ad 3108)</t>
        </is>
      </c>
      <c r="D327" s="17" t="inlineStr">
        <is>
          <t>Jayantilal Hansaliya (9601303530)</t>
        </is>
      </c>
      <c r="E327" s="17" t="inlineStr">
        <is>
          <t>Prexa Vithalapara</t>
        </is>
      </c>
      <c r="F327" s="17" t="inlineStr">
        <is>
          <t>Interested</t>
        </is>
      </c>
      <c r="G327" s="17" t="inlineStr">
        <is>
          <t>Not Assigned</t>
        </is>
      </c>
      <c r="H327" s="17" t="inlineStr">
        <is>
          <t>N/A (Not Assigned)</t>
        </is>
      </c>
      <c r="I327" s="17" t="inlineStr">
        <is>
          <t>hu pachi call karu</t>
        </is>
      </c>
    </row>
    <row r="328" ht="20" customHeight="1">
      <c r="A328" s="57" t="n">
        <v>46278.39424123843</v>
      </c>
      <c r="B328" s="16" t="inlineStr">
        <is>
          <t>3. This Month (Sep 2026)</t>
        </is>
      </c>
      <c r="C328" s="14" t="inlineStr">
        <is>
          <t>Meta Ads (NB PropertyTech Survey Ad 3108)</t>
        </is>
      </c>
      <c r="D328" s="14" t="inlineStr">
        <is>
          <t>Monica (6351721811)</t>
        </is>
      </c>
      <c r="E328" s="14" t="inlineStr">
        <is>
          <t>Prexa Vithalapara</t>
        </is>
      </c>
      <c r="F328" s="14" t="inlineStr">
        <is>
          <t>CNR (Could Not Reach)</t>
        </is>
      </c>
      <c r="G328" s="14" t="inlineStr">
        <is>
          <t>Not Assigned</t>
        </is>
      </c>
      <c r="H328" s="14" t="inlineStr">
        <is>
          <t>N/A (Not Assigned)</t>
        </is>
      </c>
      <c r="I328" s="14" t="inlineStr">
        <is>
          <t>Transfer Note: Marked as CNR | Followup: Untouched</t>
        </is>
      </c>
    </row>
    <row r="329" ht="20" customHeight="1">
      <c r="A329" s="58" t="n">
        <v>46278.31714777778</v>
      </c>
      <c r="B329" s="19" t="inlineStr">
        <is>
          <t>3. This Month (Sep 2026)</t>
        </is>
      </c>
      <c r="C329" s="17" t="inlineStr">
        <is>
          <t>Meta Ads (NB PropertyTech Survey Ad 3108)</t>
        </is>
      </c>
      <c r="D329" s="17" t="inlineStr">
        <is>
          <t>Artworld Creative (9825651178)</t>
        </is>
      </c>
      <c r="E329" s="17" t="inlineStr">
        <is>
          <t>Prexa Vithalapara</t>
        </is>
      </c>
      <c r="F329" s="17" t="inlineStr">
        <is>
          <t>Interested</t>
        </is>
      </c>
      <c r="G329" s="17" t="inlineStr">
        <is>
          <t>Not Assigned</t>
        </is>
      </c>
      <c r="H329" s="17" t="inlineStr">
        <is>
          <t>N/A (Not Assigned)</t>
        </is>
      </c>
      <c r="I329" s="17" t="inlineStr">
        <is>
          <t>-</t>
        </is>
      </c>
    </row>
    <row r="330" ht="20" customHeight="1">
      <c r="A330" s="57" t="n">
        <v>46277.95680818287</v>
      </c>
      <c r="B330" s="16" t="inlineStr">
        <is>
          <t>3. This Month (Sep 2026)</t>
        </is>
      </c>
      <c r="C330" s="14" t="inlineStr">
        <is>
          <t>Meta Ads (NB PropertyTech Survey Ad 3108)</t>
        </is>
      </c>
      <c r="D330" s="14" t="inlineStr">
        <is>
          <t>Ca Nail Boutique (9974658980)</t>
        </is>
      </c>
      <c r="E330" s="14" t="inlineStr">
        <is>
          <t>Prexa Vithalapara</t>
        </is>
      </c>
      <c r="F330" s="14" t="inlineStr">
        <is>
          <t>Interested</t>
        </is>
      </c>
      <c r="G330" s="14" t="inlineStr">
        <is>
          <t>Not Assigned</t>
        </is>
      </c>
      <c r="H330" s="14" t="inlineStr">
        <is>
          <t>N/A (Not Assigned)</t>
        </is>
      </c>
      <c r="I330" s="14" t="inlineStr">
        <is>
          <t>[Staying: family] [Campaign: NB PropertyTech Survey Ad 3108] Imported from Campaign Leads (Meta Ads).</t>
        </is>
      </c>
    </row>
    <row r="331" ht="20" customHeight="1">
      <c r="A331" s="58" t="n">
        <v>46277.94221309027</v>
      </c>
      <c r="B331" s="19" t="inlineStr">
        <is>
          <t>3. This Month (Sep 2026)</t>
        </is>
      </c>
      <c r="C331" s="17" t="inlineStr">
        <is>
          <t>Meta Ads (NB PropertyTech Survey Ad 3108)</t>
        </is>
      </c>
      <c r="D331" s="17" t="inlineStr">
        <is>
          <t>Vimal Shah (9825777920)</t>
        </is>
      </c>
      <c r="E331" s="17" t="inlineStr">
        <is>
          <t>Prexa Vithalapara</t>
        </is>
      </c>
      <c r="F331" s="17" t="inlineStr">
        <is>
          <t>Interested</t>
        </is>
      </c>
      <c r="G331" s="17" t="inlineStr">
        <is>
          <t>Not Assigned</t>
        </is>
      </c>
      <c r="H331" s="17" t="inlineStr">
        <is>
          <t>N/A (Not Assigned)</t>
        </is>
      </c>
      <c r="I331" s="17" t="inlineStr">
        <is>
          <t>CNR</t>
        </is>
      </c>
    </row>
    <row r="332" ht="20" customHeight="1">
      <c r="A332" s="57" t="n">
        <v>46277.8845674537</v>
      </c>
      <c r="B332" s="16" t="inlineStr">
        <is>
          <t>3. This Month (Sep 2026)</t>
        </is>
      </c>
      <c r="C332" s="14" t="inlineStr">
        <is>
          <t>Meta Ads (NB PropertyTech Survey Ad 3108)</t>
        </is>
      </c>
      <c r="D332" s="14" t="inlineStr">
        <is>
          <t>Gaurav Patil (9503653169)</t>
        </is>
      </c>
      <c r="E332" s="14" t="inlineStr">
        <is>
          <t>Prexa Vithalapara</t>
        </is>
      </c>
      <c r="F332" s="14" t="inlineStr">
        <is>
          <t>Rejected / Lost</t>
        </is>
      </c>
      <c r="G332" s="14" t="inlineStr">
        <is>
          <t>Not Assigned</t>
        </is>
      </c>
      <c r="H332" s="14" t="inlineStr">
        <is>
          <t>N/A (Not Assigned)</t>
        </is>
      </c>
      <c r="I332" s="14" t="inlineStr">
        <is>
          <t>-</t>
        </is>
      </c>
    </row>
    <row r="333" ht="20" customHeight="1">
      <c r="A333" s="58" t="n">
        <v>46277.86025873842</v>
      </c>
      <c r="B333" s="19" t="inlineStr">
        <is>
          <t>3. This Month (Sep 2026)</t>
        </is>
      </c>
      <c r="C333" s="17" t="inlineStr">
        <is>
          <t>Meta Ads (NB PropertyTech Survey Ad 3108)</t>
        </is>
      </c>
      <c r="D333" s="17" t="inlineStr">
        <is>
          <t>Sunita Valecha (9374573888)</t>
        </is>
      </c>
      <c r="E333" s="17" t="inlineStr">
        <is>
          <t>Prexa Vithalapara</t>
        </is>
      </c>
      <c r="F333" s="17" t="inlineStr">
        <is>
          <t>Interested</t>
        </is>
      </c>
      <c r="G333" s="17" t="inlineStr">
        <is>
          <t>Not Assigned</t>
        </is>
      </c>
      <c r="H333" s="17" t="inlineStr">
        <is>
          <t>N/A (Not Assigned)</t>
        </is>
      </c>
      <c r="I333" s="17" t="inlineStr">
        <is>
          <t>amne chandkheda and indira brigge aspas joye che</t>
        </is>
      </c>
    </row>
    <row r="334" ht="20" customHeight="1">
      <c r="A334" s="57" t="n">
        <v>46277.75677596065</v>
      </c>
      <c r="B334" s="16" t="inlineStr">
        <is>
          <t>3. This Month (Sep 2026)</t>
        </is>
      </c>
      <c r="C334" s="14" t="inlineStr">
        <is>
          <t>Meta Ads (NB PropertyTech Survey Ad 3108)</t>
        </is>
      </c>
      <c r="D334" s="14" t="inlineStr">
        <is>
          <t>Sweta Katrodiya (9099437430)</t>
        </is>
      </c>
      <c r="E334" s="14" t="inlineStr">
        <is>
          <t>Prexa Vithalapara</t>
        </is>
      </c>
      <c r="F334" s="14" t="inlineStr">
        <is>
          <t>CNR (Could Not Reach)</t>
        </is>
      </c>
      <c r="G334" s="14" t="inlineStr">
        <is>
          <t>Not Assigned</t>
        </is>
      </c>
      <c r="H334" s="14" t="inlineStr">
        <is>
          <t>N/A (Not Assigned)</t>
        </is>
      </c>
      <c r="I334" s="14" t="inlineStr">
        <is>
          <t>Transfer Note: Out of service | Followup: Out of service</t>
        </is>
      </c>
    </row>
    <row r="335" ht="20" customHeight="1">
      <c r="A335" s="58" t="n">
        <v>46277.72652631944</v>
      </c>
      <c r="B335" s="19" t="inlineStr">
        <is>
          <t>3. This Month (Sep 2026)</t>
        </is>
      </c>
      <c r="C335" s="17" t="inlineStr">
        <is>
          <t>Meta Ads (NB PropertyTech Survey Ad 3108)</t>
        </is>
      </c>
      <c r="D335" s="17" t="inlineStr">
        <is>
          <t>Mr.p@tel'$ (9106380216)</t>
        </is>
      </c>
      <c r="E335" s="17" t="inlineStr">
        <is>
          <t>Prexa Vithalapara</t>
        </is>
      </c>
      <c r="F335" s="17" t="inlineStr">
        <is>
          <t>Rejected / Lost</t>
        </is>
      </c>
      <c r="G335" s="17" t="inlineStr">
        <is>
          <t>Rakesh Jadav</t>
        </is>
      </c>
      <c r="H335" s="17" t="inlineStr">
        <is>
          <t>Rejected (Others)</t>
        </is>
      </c>
      <c r="I335" s="17" t="inlineStr">
        <is>
          <t>[12 Sep '26, 5:27 PM] Ghatlodia, Sola, Kargil, Satadhar, 2 bhk, 1 female, 15-17k, possession asap | Followup: cnr | CRM: [Staying: students] [Campaign: NB PropertyTech Survey Ad 3108] Imported from Campaign Leads (Meta Ads). | CRM Followup: cnr | [Staying: students] [Campaign: NB PropertyTech Survey Ad 3108] Imported from Campaign Leads (Meta Ads).</t>
        </is>
      </c>
    </row>
    <row r="336" ht="20" customHeight="1">
      <c r="A336" s="57" t="n">
        <v>46277.72033034722</v>
      </c>
      <c r="B336" s="16" t="inlineStr">
        <is>
          <t>3. This Month (Sep 2026)</t>
        </is>
      </c>
      <c r="C336" s="14" t="inlineStr">
        <is>
          <t>Meta Ads (NB PropertyTech Survey Ad 3108)</t>
        </is>
      </c>
      <c r="D336" s="14" t="inlineStr">
        <is>
          <t>ભાવના ચૌહાણ ગેડીયા (7265084173)</t>
        </is>
      </c>
      <c r="E336" s="14" t="inlineStr">
        <is>
          <t>Prexa Vithalapara</t>
        </is>
      </c>
      <c r="F336" s="14" t="inlineStr">
        <is>
          <t>Rejected / Lost</t>
        </is>
      </c>
      <c r="G336" s="14" t="inlineStr">
        <is>
          <t>Somel Rathod</t>
        </is>
      </c>
      <c r="H336" s="14" t="inlineStr">
        <is>
          <t>Rejected (Budget Mismatch)</t>
        </is>
      </c>
      <c r="I336" s="14" t="inlineStr">
        <is>
          <t>[12 Sep '26, 5:19 PM] Satellite, Iskcon, Jodhpur 3 km around , Memnagar, Gurukul, 1/2 bhk, for family, 15-20k, requires before 1 oct, tenament or ground floor would be more prefferable, wants to visit tom. on 13 sunday
[12 Sep '26, 6:44 PM] budget Low | Followup: budget Low che | CRM: budget Low che | CRM Followup: budget Low che | budget Low che</t>
        </is>
      </c>
    </row>
    <row r="337" ht="20" customHeight="1">
      <c r="A337" s="58" t="n">
        <v>46277.71067975694</v>
      </c>
      <c r="B337" s="19" t="inlineStr">
        <is>
          <t>3. This Month (Sep 2026)</t>
        </is>
      </c>
      <c r="C337" s="17" t="inlineStr">
        <is>
          <t>Meta Ads (NB PropertyTech Survey Ad 3108)</t>
        </is>
      </c>
      <c r="D337" s="17" t="inlineStr">
        <is>
          <t>Shweta Maheshwari (9549331058)</t>
        </is>
      </c>
      <c r="E337" s="17" t="inlineStr">
        <is>
          <t>Prexa Vithalapara</t>
        </is>
      </c>
      <c r="F337" s="17" t="inlineStr">
        <is>
          <t>Interested</t>
        </is>
      </c>
      <c r="G337" s="17" t="inlineStr">
        <is>
          <t>Somel Rathod</t>
        </is>
      </c>
      <c r="H337" s="17" t="inlineStr">
        <is>
          <t>Re-Followup</t>
        </is>
      </c>
      <c r="I337" s="17" t="inlineStr">
        <is>
          <t>[12 Sep '26, 5:07 PM] Bodakdev, Thaltej, Gurudwara, Doordarshan, 2.5 or 3 bhk, for family, semi furnished with invloves wardrobes, 45K rent budget, possession asap. | Followup: CNR | CRM: call not responding | CRM Followup: CNR | call not responding</t>
        </is>
      </c>
    </row>
    <row r="338" ht="20" customHeight="1">
      <c r="A338" s="57" t="n">
        <v>46277.70266421296</v>
      </c>
      <c r="B338" s="16" t="inlineStr">
        <is>
          <t>3. This Month (Sep 2026)</t>
        </is>
      </c>
      <c r="C338" s="14" t="inlineStr">
        <is>
          <t>Meta Ads (NB PropertyTech Survey Ad 3108)</t>
        </is>
      </c>
      <c r="D338" s="14" t="inlineStr">
        <is>
          <t>Harshil (9537718915)</t>
        </is>
      </c>
      <c r="E338" s="14" t="inlineStr">
        <is>
          <t>Prexa Vithalapara</t>
        </is>
      </c>
      <c r="F338" s="14" t="inlineStr">
        <is>
          <t>Interested</t>
        </is>
      </c>
      <c r="G338" s="14" t="inlineStr">
        <is>
          <t>Rajan Purani</t>
        </is>
      </c>
      <c r="H338" s="14" t="inlineStr">
        <is>
          <t>Re-Followup</t>
        </is>
      </c>
      <c r="I338" s="14" t="inlineStr">
        <is>
          <t>[12 Sep '26, 4:56 PM] Location- Narangpura, Navrangpura, Prahladnagar, Shyamal Vastrapur,  3/4 BHK, fully furnished, for family, rent up to 50K, Possession on 1 nov, Wants to visit as soon as possible.
[13 Sep '26, 3:16 PM] wp msg drop call for update | Followup: CNR i texted on wp call back again not responding so close | CRM: The call is not respndig i texted on wp but not responding | CRM Followup: CNR i texted on wp call back again not responding so close | The call is not respndig i texted on wp but not responding</t>
        </is>
      </c>
    </row>
    <row r="339" ht="20" customHeight="1">
      <c r="A339" s="58" t="n">
        <v>46277.68184940972</v>
      </c>
      <c r="B339" s="19" t="inlineStr">
        <is>
          <t>3. This Month (Sep 2026)</t>
        </is>
      </c>
      <c r="C339" s="17" t="inlineStr">
        <is>
          <t>Meta Ads (NB PropertyTech Survey Ad 3108)</t>
        </is>
      </c>
      <c r="D339" s="17" t="inlineStr">
        <is>
          <t>Smriti (7300048389)</t>
        </is>
      </c>
      <c r="E339" s="17" t="inlineStr">
        <is>
          <t>Prexa Vithalapara</t>
        </is>
      </c>
      <c r="F339" s="17" t="inlineStr">
        <is>
          <t>Interested</t>
        </is>
      </c>
      <c r="G339" s="17" t="inlineStr">
        <is>
          <t>Somel Rathod</t>
        </is>
      </c>
      <c r="H339" s="17" t="inlineStr">
        <is>
          <t>Re-Followup</t>
        </is>
      </c>
      <c r="I339" s="17" t="inlineStr">
        <is>
          <t>call not responding | Followup: Client need by near thaltej, drive in road 3Bhk semi furnished Budget-30to35k | CRM: call not responding | CRM Followup: Client need by near thaltej, drive in road 3Bhk semi furnished Budget-30to35k</t>
        </is>
      </c>
    </row>
    <row r="340" ht="20" customHeight="1">
      <c r="A340" s="57" t="n">
        <v>46277.67968629629</v>
      </c>
      <c r="B340" s="16" t="inlineStr">
        <is>
          <t>3. This Month (Sep 2026)</t>
        </is>
      </c>
      <c r="C340" s="14" t="inlineStr">
        <is>
          <t>Meta Ads (NB PropertyTech Survey Ad 3108)</t>
        </is>
      </c>
      <c r="D340" s="14" t="inlineStr">
        <is>
          <t>Smriti (7300048389)</t>
        </is>
      </c>
      <c r="E340" s="14" t="inlineStr">
        <is>
          <t>Prexa Vithalapara</t>
        </is>
      </c>
      <c r="F340" s="14" t="inlineStr">
        <is>
          <t>Interested</t>
        </is>
      </c>
      <c r="G340" s="14" t="inlineStr">
        <is>
          <t>Not Assigned</t>
        </is>
      </c>
      <c r="H340" s="14" t="inlineStr">
        <is>
          <t>N/A (Not Assigned)</t>
        </is>
      </c>
      <c r="I340" s="14" t="inlineStr">
        <is>
          <t>call not responding</t>
        </is>
      </c>
    </row>
    <row r="341" ht="20" customHeight="1">
      <c r="A341" s="58" t="n">
        <v>46277.66788037037</v>
      </c>
      <c r="B341" s="19" t="inlineStr">
        <is>
          <t>3. This Month (Sep 2026)</t>
        </is>
      </c>
      <c r="C341" s="17" t="inlineStr">
        <is>
          <t>Meta Ads (NB PropertyTech Survey Ad 3108)</t>
        </is>
      </c>
      <c r="D341" s="17" t="inlineStr">
        <is>
          <t>Harshil (9537718915)</t>
        </is>
      </c>
      <c r="E341" s="17" t="inlineStr">
        <is>
          <t>Prexa Vithalapara</t>
        </is>
      </c>
      <c r="F341" s="17" t="inlineStr">
        <is>
          <t>Interested</t>
        </is>
      </c>
      <c r="G341" s="17" t="inlineStr">
        <is>
          <t>Not Assigned</t>
        </is>
      </c>
      <c r="H341" s="17" t="inlineStr">
        <is>
          <t>N/A (Not Assigned)</t>
        </is>
      </c>
      <c r="I341" s="17" t="inlineStr">
        <is>
          <t>The call is not respndig i texted on wp but not responding</t>
        </is>
      </c>
    </row>
    <row r="342" ht="20" customHeight="1">
      <c r="A342" s="57" t="n">
        <v>46277.66380956019</v>
      </c>
      <c r="B342" s="16" t="inlineStr">
        <is>
          <t>3. This Month (Sep 2026)</t>
        </is>
      </c>
      <c r="C342" s="14" t="inlineStr">
        <is>
          <t>Meta Ads (NB PropertyTech Survey Ad 3108)</t>
        </is>
      </c>
      <c r="D342" s="14" t="inlineStr">
        <is>
          <t>Uma Vyas Vaghela (7043336692)</t>
        </is>
      </c>
      <c r="E342" s="14" t="inlineStr">
        <is>
          <t>Prexa Vithalapara</t>
        </is>
      </c>
      <c r="F342" s="14" t="inlineStr">
        <is>
          <t>Interested</t>
        </is>
      </c>
      <c r="G342" s="14" t="inlineStr">
        <is>
          <t>Not Assigned</t>
        </is>
      </c>
      <c r="H342" s="14" t="inlineStr">
        <is>
          <t>N/A (Not Assigned)</t>
        </is>
      </c>
      <c r="I342" s="14" t="inlineStr">
        <is>
          <t>[Staying: family] [Campaign: NB PropertyTech Survey Ad 3108] Imported from Campaign Leads (Meta Ads).</t>
        </is>
      </c>
    </row>
    <row r="343" ht="20" customHeight="1">
      <c r="A343" s="58" t="n">
        <v>46277.66232482639</v>
      </c>
      <c r="B343" s="19" t="inlineStr">
        <is>
          <t>3. This Month (Sep 2026)</t>
        </is>
      </c>
      <c r="C343" s="17" t="inlineStr">
        <is>
          <t>Meta Ads (NB PropertyTech Survey Ad 3108)</t>
        </is>
      </c>
      <c r="D343" s="17" t="inlineStr">
        <is>
          <t>Uma Vyas Vaghela (7043336692)</t>
        </is>
      </c>
      <c r="E343" s="17" t="inlineStr">
        <is>
          <t>Prexa Vithalapara</t>
        </is>
      </c>
      <c r="F343" s="17" t="inlineStr">
        <is>
          <t>Interested</t>
        </is>
      </c>
      <c r="G343" s="17" t="inlineStr">
        <is>
          <t>Not Assigned</t>
        </is>
      </c>
      <c r="H343" s="17" t="inlineStr">
        <is>
          <t>N/A (Not Assigned)</t>
        </is>
      </c>
      <c r="I343" s="17" t="inlineStr">
        <is>
          <t>[Staying: family] [Campaign: NB PropertyTech Survey Ad 3108] Imported from Campaign Leads (Meta Ads).</t>
        </is>
      </c>
    </row>
    <row r="344" ht="20" customHeight="1">
      <c r="A344" s="57" t="n">
        <v>46277.65990644676</v>
      </c>
      <c r="B344" s="16" t="inlineStr">
        <is>
          <t>3. This Month (Sep 2026)</t>
        </is>
      </c>
      <c r="C344" s="14" t="inlineStr">
        <is>
          <t>Meta Ads (NB PropertyTech Survey Ad 3108)</t>
        </is>
      </c>
      <c r="D344" s="14" t="inlineStr">
        <is>
          <t>Mahesh Jasani (9904958998)</t>
        </is>
      </c>
      <c r="E344" s="14" t="inlineStr">
        <is>
          <t>Zeel Mudaliyar</t>
        </is>
      </c>
      <c r="F344" s="14" t="inlineStr">
        <is>
          <t>Interested</t>
        </is>
      </c>
      <c r="G344" s="14" t="inlineStr">
        <is>
          <t>Not Assigned</t>
        </is>
      </c>
      <c r="H344" s="14" t="inlineStr">
        <is>
          <t>N/A (Not Assigned)</t>
        </is>
      </c>
      <c r="I344" s="14" t="inlineStr">
        <is>
          <t>[Staying: family] Imported from Campaign Leads (Meta Ads).</t>
        </is>
      </c>
    </row>
    <row r="345" ht="20" customHeight="1">
      <c r="A345" s="58" t="n">
        <v>46277.65990618055</v>
      </c>
      <c r="B345" s="19" t="inlineStr">
        <is>
          <t>3. This Month (Sep 2026)</t>
        </is>
      </c>
      <c r="C345" s="17" t="inlineStr">
        <is>
          <t>Meta Ads (NB PropertyTech Survey Ad 3108)</t>
        </is>
      </c>
      <c r="D345" s="17" t="inlineStr">
        <is>
          <t>Dr. Jayesh Munjani (9265224514)</t>
        </is>
      </c>
      <c r="E345" s="17" t="inlineStr">
        <is>
          <t>Prexa Vithalapara</t>
        </is>
      </c>
      <c r="F345" s="17" t="inlineStr">
        <is>
          <t>Interested</t>
        </is>
      </c>
      <c r="G345" s="17" t="inlineStr">
        <is>
          <t>Rajan Purani</t>
        </is>
      </c>
      <c r="H345" s="17" t="inlineStr">
        <is>
          <t>Re-Followup</t>
        </is>
      </c>
      <c r="I345" s="17" t="inlineStr">
        <is>
          <t>[12 Sep '26, 3:52 PM] Customer looking for 2bhk semi-furnished in and around satellite with the budget of 22k , family
[13 Sep '26, 3:36 PM] the call is not responding call after tomorrow | Followup: call is nnot connected | CRM: [Staying: couple] [Campaign: NB PropertyTech Survey Ad 3108] Imported from Campaign Leads (Meta Ads). | CRM Followup: call is nnot connected | [Staying: couple] [Campaign: NB PropertyTech Survey Ad 3108] Imported from Campaign Leads (Meta Ads).</t>
        </is>
      </c>
    </row>
    <row r="346" ht="20" customHeight="1">
      <c r="A346" s="57" t="n">
        <v>46277.60399119213</v>
      </c>
      <c r="B346" s="16" t="inlineStr">
        <is>
          <t>3. This Month (Sep 2026)</t>
        </is>
      </c>
      <c r="C346" s="14" t="inlineStr">
        <is>
          <t>Meta Ads (NB PropertyTech Survey Ad 3108)</t>
        </is>
      </c>
      <c r="D346" s="14" t="inlineStr">
        <is>
          <t>Dr. Jayesh Munjani (9265224514)</t>
        </is>
      </c>
      <c r="E346" s="14" t="inlineStr">
        <is>
          <t>Prexa Vithalapara</t>
        </is>
      </c>
      <c r="F346" s="14" t="inlineStr">
        <is>
          <t>Interested</t>
        </is>
      </c>
      <c r="G346" s="14" t="inlineStr">
        <is>
          <t>Not Assigned</t>
        </is>
      </c>
      <c r="H346" s="14" t="inlineStr">
        <is>
          <t>N/A (Not Assigned)</t>
        </is>
      </c>
      <c r="I346" s="14" t="inlineStr">
        <is>
          <t>[Staying: couple] [Campaign: NB PropertyTech Survey Ad 3108] Imported from Campaign Leads (Meta Ads).</t>
        </is>
      </c>
    </row>
    <row r="347" ht="20" customHeight="1">
      <c r="A347" s="58" t="n">
        <v>46277.5797153588</v>
      </c>
      <c r="B347" s="19" t="inlineStr">
        <is>
          <t>3. This Month (Sep 2026)</t>
        </is>
      </c>
      <c r="C347" s="17" t="inlineStr">
        <is>
          <t>Meta Ads (NB PropertyTech Survey Ad 3108)</t>
        </is>
      </c>
      <c r="D347" s="17" t="inlineStr">
        <is>
          <t>Shweta Maheshwari (9549331058)</t>
        </is>
      </c>
      <c r="E347" s="17" t="inlineStr">
        <is>
          <t>Prexa Vithalapara</t>
        </is>
      </c>
      <c r="F347" s="17" t="inlineStr">
        <is>
          <t>Interested</t>
        </is>
      </c>
      <c r="G347" s="17" t="inlineStr">
        <is>
          <t>Not Assigned</t>
        </is>
      </c>
      <c r="H347" s="17" t="inlineStr">
        <is>
          <t>N/A (Not Assigned)</t>
        </is>
      </c>
      <c r="I347" s="17" t="inlineStr">
        <is>
          <t>call not responding</t>
        </is>
      </c>
    </row>
    <row r="348" ht="20" customHeight="1">
      <c r="A348" s="57" t="n">
        <v>46277.53842396991</v>
      </c>
      <c r="B348" s="16" t="inlineStr">
        <is>
          <t>3. This Month (Sep 2026)</t>
        </is>
      </c>
      <c r="C348" s="14" t="inlineStr">
        <is>
          <t>Meta Ads (NB PropertyTech Survey Ad 0308)</t>
        </is>
      </c>
      <c r="D348" s="14" t="inlineStr">
        <is>
          <t>Hiren Patoliya (9638516939)</t>
        </is>
      </c>
      <c r="E348" s="14" t="inlineStr">
        <is>
          <t>Prexa Vithalapara</t>
        </is>
      </c>
      <c r="F348" s="14" t="inlineStr">
        <is>
          <t>Rejected / Lost</t>
        </is>
      </c>
      <c r="G348" s="14" t="inlineStr">
        <is>
          <t>Not Assigned</t>
        </is>
      </c>
      <c r="H348" s="14" t="inlineStr">
        <is>
          <t>N/A (Not Assigned)</t>
        </is>
      </c>
      <c r="I348" s="14" t="inlineStr">
        <is>
          <t>option workout krva</t>
        </is>
      </c>
    </row>
    <row r="349" ht="20" customHeight="1">
      <c r="A349" s="58" t="n">
        <v>46277.53701936342</v>
      </c>
      <c r="B349" s="19" t="inlineStr">
        <is>
          <t>3. This Month (Sep 2026)</t>
        </is>
      </c>
      <c r="C349" s="17" t="inlineStr">
        <is>
          <t>Meta Ads (NB PropertyTech Survey Ad 3108)</t>
        </is>
      </c>
      <c r="D349" s="17" t="inlineStr">
        <is>
          <t>Y@sh @khani (9023488155)</t>
        </is>
      </c>
      <c r="E349" s="17" t="inlineStr">
        <is>
          <t>Zeel Mudaliyar</t>
        </is>
      </c>
      <c r="F349" s="17" t="inlineStr">
        <is>
          <t>Interested</t>
        </is>
      </c>
      <c r="G349" s="17" t="inlineStr">
        <is>
          <t>Not Assigned</t>
        </is>
      </c>
      <c r="H349" s="17" t="inlineStr">
        <is>
          <t>N/A (Not Assigned)</t>
        </is>
      </c>
      <c r="I349" s="17" t="inlineStr">
        <is>
          <t>[Staying: working professionals] [Campaign: NB PropertyTech Survey Ad 3108] Imported from Campaign Leads (Meta Ads).</t>
        </is>
      </c>
    </row>
    <row r="350" ht="20" customHeight="1">
      <c r="A350" s="57" t="n">
        <v>46277.08416057871</v>
      </c>
      <c r="B350" s="16" t="inlineStr">
        <is>
          <t>3. This Month (Sep 2026)</t>
        </is>
      </c>
      <c r="C350" s="14" t="inlineStr">
        <is>
          <t>Meta Ads (NB PropertyTech Survey Ad 3108)</t>
        </is>
      </c>
      <c r="D350" s="14" t="inlineStr">
        <is>
          <t>ભાવના ચૌહાણ ગેડીયા (7265084173)</t>
        </is>
      </c>
      <c r="E350" s="14" t="inlineStr">
        <is>
          <t>Prexa Vithalapara</t>
        </is>
      </c>
      <c r="F350" s="14" t="inlineStr">
        <is>
          <t>Rejected / Lost</t>
        </is>
      </c>
      <c r="G350" s="14" t="inlineStr">
        <is>
          <t>Not Assigned</t>
        </is>
      </c>
      <c r="H350" s="14" t="inlineStr">
        <is>
          <t>N/A (Not Assigned)</t>
        </is>
      </c>
      <c r="I350" s="14" t="inlineStr">
        <is>
          <t>budget Low che</t>
        </is>
      </c>
    </row>
    <row r="351" ht="20" customHeight="1">
      <c r="A351" s="58" t="n">
        <v>46277.06888017361</v>
      </c>
      <c r="B351" s="19" t="inlineStr">
        <is>
          <t>3. This Month (Sep 2026)</t>
        </is>
      </c>
      <c r="C351" s="17" t="inlineStr">
        <is>
          <t>Meta Ads (NB PropertyTech Survey Ad 3108)</t>
        </is>
      </c>
      <c r="D351" s="17" t="inlineStr">
        <is>
          <t>Sanskruti (8080983728)</t>
        </is>
      </c>
      <c r="E351" s="17" t="inlineStr">
        <is>
          <t>Prexa Vithalapara</t>
        </is>
      </c>
      <c r="F351" s="17" t="inlineStr">
        <is>
          <t>Rejected / Lost</t>
        </is>
      </c>
      <c r="G351" s="17" t="inlineStr">
        <is>
          <t>Not Assigned</t>
        </is>
      </c>
      <c r="H351" s="17" t="inlineStr">
        <is>
          <t>N/A (Not Assigned)</t>
        </is>
      </c>
      <c r="I351" s="17" t="inlineStr">
        <is>
          <t>[Staying: working professionals] [Campaign: NB PropertyTech Survey Ad 3108] Imported from Campaign Leads (Meta Ads).</t>
        </is>
      </c>
    </row>
    <row r="352" ht="20" customHeight="1">
      <c r="A352" s="57" t="n">
        <v>46277.05637929398</v>
      </c>
      <c r="B352" s="16" t="inlineStr">
        <is>
          <t>3. This Month (Sep 2026)</t>
        </is>
      </c>
      <c r="C352" s="14" t="inlineStr">
        <is>
          <t>Meta Ads (NB PropertyTech Survey Ad 3108)</t>
        </is>
      </c>
      <c r="D352" s="14" t="inlineStr">
        <is>
          <t>Mr.p@tel'$ (9106380216)</t>
        </is>
      </c>
      <c r="E352" s="14" t="inlineStr">
        <is>
          <t>Prexa Vithalapara</t>
        </is>
      </c>
      <c r="F352" s="14" t="inlineStr">
        <is>
          <t>Interested</t>
        </is>
      </c>
      <c r="G352" s="14" t="inlineStr">
        <is>
          <t>Not Assigned</t>
        </is>
      </c>
      <c r="H352" s="14" t="inlineStr">
        <is>
          <t>N/A (Not Assigned)</t>
        </is>
      </c>
      <c r="I352" s="14" t="inlineStr">
        <is>
          <t>[Staying: students] [Campaign: NB PropertyTech Survey Ad 3108] Imported from Campaign Leads (Meta Ads).</t>
        </is>
      </c>
    </row>
    <row r="353" ht="20" customHeight="1">
      <c r="A353" s="58" t="n">
        <v>46276.87718457176</v>
      </c>
      <c r="B353" s="19" t="inlineStr">
        <is>
          <t>3. This Month (Sep 2026)</t>
        </is>
      </c>
      <c r="C353" s="17" t="inlineStr">
        <is>
          <t>Meta Ads (NB PropertyTech Survey Ad 3108)</t>
        </is>
      </c>
      <c r="D353" s="17" t="inlineStr">
        <is>
          <t>Dharmista Sanandiya (7016442049)</t>
        </is>
      </c>
      <c r="E353" s="17" t="inlineStr">
        <is>
          <t>Prexa Vithalapara</t>
        </is>
      </c>
      <c r="F353" s="17" t="inlineStr">
        <is>
          <t>Rejected / Lost</t>
        </is>
      </c>
      <c r="G353" s="17" t="inlineStr">
        <is>
          <t>Not Assigned</t>
        </is>
      </c>
      <c r="H353" s="17" t="inlineStr">
        <is>
          <t>N/A (Not Assigned)</t>
        </is>
      </c>
      <c r="I353" s="17" t="inlineStr">
        <is>
          <t>-</t>
        </is>
      </c>
    </row>
    <row r="354" ht="20" customHeight="1">
      <c r="A354" s="57" t="n">
        <v>46276.86468291667</v>
      </c>
      <c r="B354" s="16" t="inlineStr">
        <is>
          <t>3. This Month (Sep 2026)</t>
        </is>
      </c>
      <c r="C354" s="14" t="inlineStr">
        <is>
          <t>Meta Ads (NB PropertyTech Survey Ad 3108)</t>
        </is>
      </c>
      <c r="D354" s="14" t="inlineStr">
        <is>
          <t>Pankaj Gangadiya (9426233218)</t>
        </is>
      </c>
      <c r="E354" s="14" t="inlineStr">
        <is>
          <t>Unassigned</t>
        </is>
      </c>
      <c r="F354" s="14" t="inlineStr">
        <is>
          <t>Sales</t>
        </is>
      </c>
      <c r="G354" s="14" t="inlineStr">
        <is>
          <t>Rajan Purani</t>
        </is>
      </c>
      <c r="H354" s="14" t="inlineStr">
        <is>
          <t>Rejected (No Requirement)</t>
        </is>
      </c>
      <c r="I354" s="14" t="inlineStr">
        <is>
          <t>required gurukul,satelite 30k budget 2BHK furnished | Transfer: required gurukul,satelite 30k budget 2BHK furnished | Transfer Note: required gurukul,satelite 30k budget 2BHK furnished</t>
        </is>
      </c>
    </row>
    <row r="355" ht="20" customHeight="1">
      <c r="A355" s="58" t="n">
        <v>46276.70924657407</v>
      </c>
      <c r="B355" s="19" t="inlineStr">
        <is>
          <t>3. This Month (Sep 2026)</t>
        </is>
      </c>
      <c r="C355" s="17" t="inlineStr">
        <is>
          <t>Meta Ads (NB PropertyTech Survey Ad 3108)</t>
        </is>
      </c>
      <c r="D355" s="17" t="inlineStr">
        <is>
          <t>Jagruti Akhani (9925009106)</t>
        </is>
      </c>
      <c r="E355" s="17" t="inlineStr">
        <is>
          <t>Prexa Vithalapara</t>
        </is>
      </c>
      <c r="F355" s="17" t="inlineStr">
        <is>
          <t>Interested</t>
        </is>
      </c>
      <c r="G355" s="17" t="inlineStr">
        <is>
          <t>Rajan Purani</t>
        </is>
      </c>
      <c r="H355" s="17" t="inlineStr">
        <is>
          <t>Rejected (Budget Mismatch)</t>
        </is>
      </c>
      <c r="I355" s="17" t="inlineStr">
        <is>
          <t>[13 Sep '26, 6:28 PM] options not availabe for rent 12k semi furnished | Followup: 12 k ma semi furnished flat joye che naranpura,thaltej gota boadkdev 
options not available so close | CRM: [Staying: family] [Campaign: NB PropertyTech Survey Ad 3108] Imported from Campaign Leads (Meta Ads). | CRM Followup: 12 k ma semi furnished flat joye che naranpura,thaltej gota boadkdev 
options not available so close | [Staying: family] [Campaign: NB PropertyTech Survey Ad 3108] Imported from Campaign Leads (Meta Ads).</t>
        </is>
      </c>
    </row>
    <row r="356" ht="20" customHeight="1">
      <c r="A356" s="57" t="n">
        <v>46276.70828800926</v>
      </c>
      <c r="B356" s="16" t="inlineStr">
        <is>
          <t>3. This Month (Sep 2026)</t>
        </is>
      </c>
      <c r="C356" s="14" t="inlineStr">
        <is>
          <t>Meta Ads (NB PropertyTech Survey Ad 3108)</t>
        </is>
      </c>
      <c r="D356" s="14" t="inlineStr">
        <is>
          <t>Lalit Gediya (8401182211)</t>
        </is>
      </c>
      <c r="E356" s="14" t="inlineStr">
        <is>
          <t>Prexa Vithalapara</t>
        </is>
      </c>
      <c r="F356" s="14" t="inlineStr">
        <is>
          <t>Interested</t>
        </is>
      </c>
      <c r="G356" s="14" t="inlineStr">
        <is>
          <t>Rakesh Jadav</t>
        </is>
      </c>
      <c r="H356" s="14" t="inlineStr">
        <is>
          <t>Rejected (Locality Mismatch)</t>
        </is>
      </c>
      <c r="I356" s="14" t="inlineStr">
        <is>
          <t>[12 Sep '26, 1:43 PM] New ranip, khodiyar mandir, 1/2 km radius, for family, 2/3 bhk, 18k/20K, semi furnished, possession  next month
[18 Sep '26, 1:51 PM] option workout krva | Followup: option work out krva | CRM: [Staying: family] [Campaign: NB PropertyTech Survey Ad 3108] Imported from Campaign Leads (Meta Ads). | CRM Followup: option work out krva | [Staying: family] [Campaign: NB PropertyTech Survey Ad 3108] Imported from Campaign Leads (Meta Ads).</t>
        </is>
      </c>
    </row>
    <row r="357" ht="20" customHeight="1">
      <c r="A357" s="58" t="n">
        <v>46276.70557707176</v>
      </c>
      <c r="B357" s="19" t="inlineStr">
        <is>
          <t>3. This Month (Sep 2026)</t>
        </is>
      </c>
      <c r="C357" s="17" t="inlineStr">
        <is>
          <t>Meta Ads (NB PropertyTech Survey Ad 3108)</t>
        </is>
      </c>
      <c r="D357" s="17" t="inlineStr">
        <is>
          <t>Ashok Brahmbhatt (9099006768)</t>
        </is>
      </c>
      <c r="E357" s="17" t="inlineStr">
        <is>
          <t>Prexa Vithalapara</t>
        </is>
      </c>
      <c r="F357" s="17" t="inlineStr">
        <is>
          <t>Interested</t>
        </is>
      </c>
      <c r="G357" s="17" t="inlineStr">
        <is>
          <t>Not Assigned</t>
        </is>
      </c>
      <c r="H357" s="17" t="inlineStr">
        <is>
          <t>N/A (Not Assigned)</t>
        </is>
      </c>
      <c r="I357" s="17" t="inlineStr">
        <is>
          <t>[Staying: family] [Campaign: NB PropertyTech Survey Ad 3108] Imported from Campaign Leads (Meta Ads).</t>
        </is>
      </c>
    </row>
    <row r="358" ht="20" customHeight="1">
      <c r="A358" s="57" t="n">
        <v>46276.67926408565</v>
      </c>
      <c r="B358" s="16" t="inlineStr">
        <is>
          <t>3. This Month (Sep 2026)</t>
        </is>
      </c>
      <c r="C358" s="14" t="inlineStr">
        <is>
          <t>Meta Ads (NB PropertyTech Survey Ad 3108)</t>
        </is>
      </c>
      <c r="D358" s="14" t="inlineStr">
        <is>
          <t>Ashok Brahmbhatt (9099006768)</t>
        </is>
      </c>
      <c r="E358" s="14" t="inlineStr">
        <is>
          <t>Prexa Vithalapara</t>
        </is>
      </c>
      <c r="F358" s="14" t="inlineStr">
        <is>
          <t>Interested</t>
        </is>
      </c>
      <c r="G358" s="14" t="inlineStr">
        <is>
          <t>Not Assigned</t>
        </is>
      </c>
      <c r="H358" s="14" t="inlineStr">
        <is>
          <t>N/A (Not Assigned)</t>
        </is>
      </c>
      <c r="I358" s="14" t="inlineStr">
        <is>
          <t>[Staying: family] [Campaign: NB PropertyTech Survey Ad 3108] Imported from Campaign Leads (Meta Ads).</t>
        </is>
      </c>
    </row>
    <row r="359" ht="20" customHeight="1">
      <c r="A359" s="58" t="n">
        <v>46276.65217200232</v>
      </c>
      <c r="B359" s="19" t="inlineStr">
        <is>
          <t>3. This Month (Sep 2026)</t>
        </is>
      </c>
      <c r="C359" s="17" t="inlineStr">
        <is>
          <t>Meta Ads (NB PropertyTech Survey Ad 3108)</t>
        </is>
      </c>
      <c r="D359" s="17" t="inlineStr">
        <is>
          <t>Lalit Gediya (8401182211)</t>
        </is>
      </c>
      <c r="E359" s="17" t="inlineStr">
        <is>
          <t>Prexa Vithalapara</t>
        </is>
      </c>
      <c r="F359" s="17" t="inlineStr">
        <is>
          <t>Interested</t>
        </is>
      </c>
      <c r="G359" s="17" t="inlineStr">
        <is>
          <t>Not Assigned</t>
        </is>
      </c>
      <c r="H359" s="17" t="inlineStr">
        <is>
          <t>N/A (Not Assigned)</t>
        </is>
      </c>
      <c r="I359" s="17" t="inlineStr">
        <is>
          <t>[Staying: family] [Campaign: NB PropertyTech Survey Ad 3108] Imported from Campaign Leads (Meta Ads).</t>
        </is>
      </c>
    </row>
    <row r="360" ht="20" customHeight="1">
      <c r="A360" s="57" t="n">
        <v>46276.62098383102</v>
      </c>
      <c r="B360" s="16" t="inlineStr">
        <is>
          <t>3. This Month (Sep 2026)</t>
        </is>
      </c>
      <c r="C360" s="14" t="inlineStr">
        <is>
          <t>Meta Ads (NB PropertyTech Survey Ad 3108)</t>
        </is>
      </c>
      <c r="D360" s="14" t="inlineStr">
        <is>
          <t>Kkjand (9825320033)</t>
        </is>
      </c>
      <c r="E360" s="14" t="inlineStr">
        <is>
          <t>Prexa Vithalapara</t>
        </is>
      </c>
      <c r="F360" s="14" t="inlineStr">
        <is>
          <t>Interested</t>
        </is>
      </c>
      <c r="G360" s="14" t="inlineStr">
        <is>
          <t>Not Assigned</t>
        </is>
      </c>
      <c r="H360" s="14" t="inlineStr">
        <is>
          <t>N/A (Not Assigned)</t>
        </is>
      </c>
      <c r="I360" s="14" t="inlineStr">
        <is>
          <t>[Staying: family] [Campaign: NB PropertyTech Survey Ad 3108] Imported from Campaign Leads (Meta Ads).</t>
        </is>
      </c>
    </row>
    <row r="361" ht="20" customHeight="1">
      <c r="A361" s="58" t="n">
        <v>46276.56784545139</v>
      </c>
      <c r="B361" s="19" t="inlineStr">
        <is>
          <t>3. This Month (Sep 2026)</t>
        </is>
      </c>
      <c r="C361" s="17" t="inlineStr">
        <is>
          <t>Meta Ads (NB PropertyTech Survey Ad 3108)</t>
        </is>
      </c>
      <c r="D361" s="17" t="inlineStr">
        <is>
          <t>Arif (9521534922)</t>
        </is>
      </c>
      <c r="E361" s="17" t="inlineStr">
        <is>
          <t>Prexa Vithalapara</t>
        </is>
      </c>
      <c r="F361" s="17" t="inlineStr">
        <is>
          <t>Interested</t>
        </is>
      </c>
      <c r="G361" s="17" t="inlineStr">
        <is>
          <t>Not Assigned</t>
        </is>
      </c>
      <c r="H361" s="17" t="inlineStr">
        <is>
          <t>N/A (Not Assigned)</t>
        </is>
      </c>
      <c r="I361" s="17" t="inlineStr">
        <is>
          <t>[Staying: working professionals] [Campaign: NB PropertyTech Survey Ad 3108] Imported from Campaign Leads (Meta Ads).</t>
        </is>
      </c>
    </row>
    <row r="362" ht="20" customHeight="1">
      <c r="A362" s="57" t="n">
        <v>46276.56784532408</v>
      </c>
      <c r="B362" s="16" t="inlineStr">
        <is>
          <t>3. This Month (Sep 2026)</t>
        </is>
      </c>
      <c r="C362" s="14" t="inlineStr">
        <is>
          <t>Meta Ads (NB PropertyTech Survey Ad 3108)</t>
        </is>
      </c>
      <c r="D362" s="14" t="inlineStr">
        <is>
          <t>Gurjar Devansh (9157230464)</t>
        </is>
      </c>
      <c r="E362" s="14" t="inlineStr">
        <is>
          <t>Zeel Mudaliyar</t>
        </is>
      </c>
      <c r="F362" s="14" t="inlineStr">
        <is>
          <t>Interested</t>
        </is>
      </c>
      <c r="G362" s="14" t="inlineStr">
        <is>
          <t>Not Assigned</t>
        </is>
      </c>
      <c r="H362" s="14" t="inlineStr">
        <is>
          <t>N/A (Not Assigned)</t>
        </is>
      </c>
      <c r="I362" s="14" t="inlineStr">
        <is>
          <t>[Staying: family] [Campaign: NB PropertyTech Survey Ad 3108] Imported from Campaign Leads (Meta Ads).</t>
        </is>
      </c>
    </row>
    <row r="363" ht="20" customHeight="1">
      <c r="A363" s="58" t="n">
        <v>46276.5627827662</v>
      </c>
      <c r="B363" s="19" t="inlineStr">
        <is>
          <t>3. This Month (Sep 2026)</t>
        </is>
      </c>
      <c r="C363" s="17" t="inlineStr">
        <is>
          <t>Meta Ads (NB PropertyTech Survey Ad 3108)</t>
        </is>
      </c>
      <c r="D363" s="17" t="inlineStr">
        <is>
          <t>Bhumi Lakhani (8866508728)</t>
        </is>
      </c>
      <c r="E363" s="17" t="inlineStr">
        <is>
          <t>Prexa Vithalapara</t>
        </is>
      </c>
      <c r="F363" s="17" t="inlineStr">
        <is>
          <t>Interested</t>
        </is>
      </c>
      <c r="G363" s="17" t="inlineStr">
        <is>
          <t>Not Assigned</t>
        </is>
      </c>
      <c r="H363" s="17" t="inlineStr">
        <is>
          <t>N/A (Not Assigned)</t>
        </is>
      </c>
      <c r="I363" s="17" t="inlineStr">
        <is>
          <t>[Staying: family] [Campaign: NB PropertyTech Survey Ad 3108] Imported from Campaign Leads (Meta Ads). | CRM: [Staying: family] [Campaign: NB PropertyTech Survey Ad 3108] Imported from Campaign Leads (Meta Ads).</t>
        </is>
      </c>
    </row>
    <row r="364" ht="20" customHeight="1">
      <c r="A364" s="57" t="n">
        <v>46276.556066875</v>
      </c>
      <c r="B364" s="16" t="inlineStr">
        <is>
          <t>3. This Month (Sep 2026)</t>
        </is>
      </c>
      <c r="C364" s="14" t="inlineStr">
        <is>
          <t>Meta Ads (NB PropertyTech Survey Ad 3108)</t>
        </is>
      </c>
      <c r="D364" s="14" t="inlineStr">
        <is>
          <t>Nirav Vaishnav (9016820480)</t>
        </is>
      </c>
      <c r="E364" s="14" t="inlineStr">
        <is>
          <t>Zeel Mudaliyar</t>
        </is>
      </c>
      <c r="F364" s="14" t="inlineStr">
        <is>
          <t>Interested</t>
        </is>
      </c>
      <c r="G364" s="14" t="inlineStr">
        <is>
          <t>Rakesh Jadav</t>
        </is>
      </c>
      <c r="H364" s="14" t="inlineStr">
        <is>
          <t>Re-Followup</t>
        </is>
      </c>
      <c r="I364" s="14" t="inlineStr">
        <is>
          <t>[17 Sep '26, 5:48 PM] Req bopal,south bopal, sela, silaj, family, no budget issue ,depend on facality | Followup: call him and know proper requrment | CRM: [Staying: family] [Campaign: NB PropertyTech Survey Ad 3108] Imported from Campaign Leads (Meta Ads). | CRM Followup: call him and know proper requrment | [Staying: family] [Campaign: NB PropertyTech Survey Ad 3108] Imported from Campaign Leads (Meta Ads).</t>
        </is>
      </c>
    </row>
    <row r="365" ht="20" customHeight="1">
      <c r="A365" s="58" t="n">
        <v>46276.54581491898</v>
      </c>
      <c r="B365" s="19" t="inlineStr">
        <is>
          <t>3. This Month (Sep 2026)</t>
        </is>
      </c>
      <c r="C365" s="17" t="inlineStr">
        <is>
          <t>Meta Ads (NB PropertyTech Survey Ad 3108)</t>
        </is>
      </c>
      <c r="D365" s="17" t="inlineStr">
        <is>
          <t>Urmila Anjana (9669480093)</t>
        </is>
      </c>
      <c r="E365" s="17" t="inlineStr">
        <is>
          <t>Zeel Mudaliyar</t>
        </is>
      </c>
      <c r="F365" s="17" t="inlineStr">
        <is>
          <t>Interested</t>
        </is>
      </c>
      <c r="G365" s="17" t="inlineStr">
        <is>
          <t>Not Assigned</t>
        </is>
      </c>
      <c r="H365" s="17" t="inlineStr">
        <is>
          <t>N/A (Not Assigned)</t>
        </is>
      </c>
      <c r="I365" s="17" t="inlineStr">
        <is>
          <t>[Staying: family] [Campaign: NB PropertyTech Survey Ad 3108] Imported from Campaign Leads (Meta Ads).</t>
        </is>
      </c>
    </row>
    <row r="366" ht="20" customHeight="1">
      <c r="A366" s="57" t="n">
        <v>46276.51055965278</v>
      </c>
      <c r="B366" s="16" t="inlineStr">
        <is>
          <t>3. This Month (Sep 2026)</t>
        </is>
      </c>
      <c r="C366" s="14" t="inlineStr">
        <is>
          <t>Meta Ads (NB PropertyTech Survey Ad 0308)</t>
        </is>
      </c>
      <c r="D366" s="14" t="inlineStr">
        <is>
          <t>Riddhil Lathia (9819051025)</t>
        </is>
      </c>
      <c r="E366" s="14" t="inlineStr">
        <is>
          <t>Unassigned</t>
        </is>
      </c>
      <c r="F366" s="14" t="inlineStr">
        <is>
          <t>Rejected / Lost</t>
        </is>
      </c>
      <c r="G366" s="14" t="inlineStr">
        <is>
          <t>Rajan Purani</t>
        </is>
      </c>
      <c r="H366" s="14" t="inlineStr">
        <is>
          <t>Interested</t>
        </is>
      </c>
      <c r="I366" s="14" t="inlineStr">
        <is>
          <t>this is testing lead | Transfer: this is testing lead | Transfer Note: this is testing lead | ---</t>
        </is>
      </c>
    </row>
    <row r="367" ht="20" customHeight="1">
      <c r="A367" s="58" t="n">
        <v>46276.51055943287</v>
      </c>
      <c r="B367" s="19" t="inlineStr">
        <is>
          <t>3. This Month (Sep 2026)</t>
        </is>
      </c>
      <c r="C367" s="17" t="inlineStr">
        <is>
          <t>Meta Ads (NB PropertyTech Survey Ad 0308)</t>
        </is>
      </c>
      <c r="D367" s="17" t="inlineStr">
        <is>
          <t>Meghavi Limbachiya (7990276497)</t>
        </is>
      </c>
      <c r="E367" s="17" t="inlineStr">
        <is>
          <t>Prexa Vithalapara</t>
        </is>
      </c>
      <c r="F367" s="17" t="inlineStr">
        <is>
          <t>Rejected / Lost</t>
        </is>
      </c>
      <c r="G367" s="17" t="inlineStr">
        <is>
          <t>Not Assigned</t>
        </is>
      </c>
      <c r="H367" s="17" t="inlineStr">
        <is>
          <t>N/A (Not Assigned)</t>
        </is>
      </c>
      <c r="I367" s="17" t="inlineStr">
        <is>
          <t>-</t>
        </is>
      </c>
    </row>
    <row r="368" ht="20" customHeight="1">
      <c r="A368" s="57" t="n">
        <v>46276.51051770833</v>
      </c>
      <c r="B368" s="16" t="inlineStr">
        <is>
          <t>3. This Month (Sep 2026)</t>
        </is>
      </c>
      <c r="C368" s="14" t="inlineStr">
        <is>
          <t>Meta Ads (NB PropertyTech Survey Ad 0308)</t>
        </is>
      </c>
      <c r="D368" s="14" t="inlineStr">
        <is>
          <t>Dolly Popat (9106626596)</t>
        </is>
      </c>
      <c r="E368" s="14" t="inlineStr">
        <is>
          <t>Prexa Vithalapara</t>
        </is>
      </c>
      <c r="F368" s="14" t="inlineStr">
        <is>
          <t>Rejected / Lost</t>
        </is>
      </c>
      <c r="G368" s="14" t="inlineStr">
        <is>
          <t>Not Assigned</t>
        </is>
      </c>
      <c r="H368" s="14" t="inlineStr">
        <is>
          <t>N/A (Not Assigned)</t>
        </is>
      </c>
      <c r="I368" s="14" t="inlineStr">
        <is>
          <t>-</t>
        </is>
      </c>
    </row>
    <row r="369" ht="20" customHeight="1">
      <c r="A369" s="58" t="n">
        <v>46276.5105169213</v>
      </c>
      <c r="B369" s="19" t="inlineStr">
        <is>
          <t>3. This Month (Sep 2026)</t>
        </is>
      </c>
      <c r="C369" s="17" t="inlineStr">
        <is>
          <t>Meta Ads (NB PropertyTech Survey Ad 0308)</t>
        </is>
      </c>
      <c r="D369" s="17" t="inlineStr">
        <is>
          <t>Shraddha Vyas (9979843397)</t>
        </is>
      </c>
      <c r="E369" s="17" t="inlineStr">
        <is>
          <t>Unassigned</t>
        </is>
      </c>
      <c r="F369" s="17" t="inlineStr">
        <is>
          <t>New</t>
        </is>
      </c>
      <c r="G369" s="17" t="inlineStr">
        <is>
          <t>Not Assigned</t>
        </is>
      </c>
      <c r="H369" s="17" t="inlineStr">
        <is>
          <t>N/A (Not Assigned)</t>
        </is>
      </c>
      <c r="I369" s="17" t="inlineStr">
        <is>
          <t>call for visit update</t>
        </is>
      </c>
    </row>
    <row r="370" ht="20" customHeight="1">
      <c r="A370" s="57" t="n">
        <v>46276.51051613426</v>
      </c>
      <c r="B370" s="16" t="inlineStr">
        <is>
          <t>3. This Month (Sep 2026)</t>
        </is>
      </c>
      <c r="C370" s="14" t="inlineStr">
        <is>
          <t>Meta Ads (NB PropertyTech Survey Ad 0308)</t>
        </is>
      </c>
      <c r="D370" s="14" t="inlineStr">
        <is>
          <t>Sejjal Upadhyay (9586232537)</t>
        </is>
      </c>
      <c r="E370" s="14" t="inlineStr">
        <is>
          <t>Unassigned</t>
        </is>
      </c>
      <c r="F370" s="14" t="inlineStr">
        <is>
          <t>New</t>
        </is>
      </c>
      <c r="G370" s="14" t="inlineStr">
        <is>
          <t>Not Assigned</t>
        </is>
      </c>
      <c r="H370" s="14" t="inlineStr">
        <is>
          <t>N/A (Not Assigned)</t>
        </is>
      </c>
      <c r="I370" s="14" t="inlineStr">
        <is>
          <t>-</t>
        </is>
      </c>
    </row>
    <row r="371" ht="20" customHeight="1">
      <c r="A371" s="58" t="n">
        <v>46276.51051539352</v>
      </c>
      <c r="B371" s="19" t="inlineStr">
        <is>
          <t>3. This Month (Sep 2026)</t>
        </is>
      </c>
      <c r="C371" s="17" t="inlineStr">
        <is>
          <t>Meta Ads (NB PropertyTech Survey Ad 0308)</t>
        </is>
      </c>
      <c r="D371" s="17" t="inlineStr">
        <is>
          <t>Rakesh (9251060587)</t>
        </is>
      </c>
      <c r="E371" s="17" t="inlineStr">
        <is>
          <t>Unassigned</t>
        </is>
      </c>
      <c r="F371" s="17" t="inlineStr">
        <is>
          <t>New</t>
        </is>
      </c>
      <c r="G371" s="17" t="inlineStr">
        <is>
          <t>Not Assigned</t>
        </is>
      </c>
      <c r="H371" s="17" t="inlineStr">
        <is>
          <t>N/A (Not Assigned)</t>
        </is>
      </c>
      <c r="I371" s="17" t="inlineStr">
        <is>
          <t>-</t>
        </is>
      </c>
    </row>
    <row r="372" ht="20" customHeight="1">
      <c r="A372" s="57" t="n">
        <v>46276.51051450231</v>
      </c>
      <c r="B372" s="16" t="inlineStr">
        <is>
          <t>3. This Month (Sep 2026)</t>
        </is>
      </c>
      <c r="C372" s="14" t="inlineStr">
        <is>
          <t>Meta Ads (NB PropertyTech Survey Ad 0308)</t>
        </is>
      </c>
      <c r="D372" s="14" t="inlineStr">
        <is>
          <t>Ripal Ashish Mistry (9712256167)</t>
        </is>
      </c>
      <c r="E372" s="14" t="inlineStr">
        <is>
          <t>Unassigned</t>
        </is>
      </c>
      <c r="F372" s="14" t="inlineStr">
        <is>
          <t>New</t>
        </is>
      </c>
      <c r="G372" s="14" t="inlineStr">
        <is>
          <t>Not Assigned</t>
        </is>
      </c>
      <c r="H372" s="14" t="inlineStr">
        <is>
          <t>N/A (Not Assigned)</t>
        </is>
      </c>
      <c r="I372" s="14" t="inlineStr">
        <is>
          <t>Call Cut kare che call for tomorrow</t>
        </is>
      </c>
    </row>
    <row r="373" ht="20" customHeight="1">
      <c r="A373" s="58" t="n">
        <v>46276.51051310185</v>
      </c>
      <c r="B373" s="19" t="inlineStr">
        <is>
          <t>3. This Month (Sep 2026)</t>
        </is>
      </c>
      <c r="C373" s="17" t="inlineStr">
        <is>
          <t>Meta Ads (NB PropertyTech Survey Ad 0308)</t>
        </is>
      </c>
      <c r="D373" s="17" t="inlineStr">
        <is>
          <t>Ummed Gehlot (9829317114)</t>
        </is>
      </c>
      <c r="E373" s="17" t="inlineStr">
        <is>
          <t>Unassigned</t>
        </is>
      </c>
      <c r="F373" s="17" t="inlineStr">
        <is>
          <t>New</t>
        </is>
      </c>
      <c r="G373" s="17" t="inlineStr">
        <is>
          <t>Not Assigned</t>
        </is>
      </c>
      <c r="H373" s="17" t="inlineStr">
        <is>
          <t>N/A (Not Assigned)</t>
        </is>
      </c>
      <c r="I373" s="17" t="inlineStr">
        <is>
          <t>-</t>
        </is>
      </c>
    </row>
    <row r="374" ht="20" customHeight="1">
      <c r="A374" s="57" t="n">
        <v>46276.51051240741</v>
      </c>
      <c r="B374" s="16" t="inlineStr">
        <is>
          <t>3. This Month (Sep 2026)</t>
        </is>
      </c>
      <c r="C374" s="14" t="inlineStr">
        <is>
          <t>Meta Ads (NB PropertyTech Survey Ad 0308)</t>
        </is>
      </c>
      <c r="D374" s="14" t="inlineStr">
        <is>
          <t>Rina Deepak Parmar (9724387776)</t>
        </is>
      </c>
      <c r="E374" s="14" t="inlineStr">
        <is>
          <t>Unassigned</t>
        </is>
      </c>
      <c r="F374" s="14" t="inlineStr">
        <is>
          <t>New</t>
        </is>
      </c>
      <c r="G374" s="14" t="inlineStr">
        <is>
          <t>Not Assigned</t>
        </is>
      </c>
      <c r="H374" s="14" t="inlineStr">
        <is>
          <t>N/A (Not Assigned)</t>
        </is>
      </c>
      <c r="I374" s="14" t="inlineStr">
        <is>
          <t>-</t>
        </is>
      </c>
    </row>
    <row r="375" ht="20" customHeight="1">
      <c r="A375" s="58" t="n">
        <v>46276.51051180556</v>
      </c>
      <c r="B375" s="19" t="inlineStr">
        <is>
          <t>3. This Month (Sep 2026)</t>
        </is>
      </c>
      <c r="C375" s="17" t="inlineStr">
        <is>
          <t>Meta Ads (NB PropertyTech Survey Ad 0308)</t>
        </is>
      </c>
      <c r="D375" s="17" t="inlineStr">
        <is>
          <t>Khushi Patel (9265602115)</t>
        </is>
      </c>
      <c r="E375" s="17" t="inlineStr">
        <is>
          <t>Unassigned</t>
        </is>
      </c>
      <c r="F375" s="17" t="inlineStr">
        <is>
          <t>New</t>
        </is>
      </c>
      <c r="G375" s="17" t="inlineStr">
        <is>
          <t>Not Assigned</t>
        </is>
      </c>
      <c r="H375" s="17" t="inlineStr">
        <is>
          <t>N/A (Not Assigned)</t>
        </is>
      </c>
      <c r="I375" s="17" t="inlineStr">
        <is>
          <t>Call not responding</t>
        </is>
      </c>
    </row>
    <row r="376" ht="20" customHeight="1">
      <c r="A376" s="57" t="n">
        <v>46276.50690467592</v>
      </c>
      <c r="B376" s="16" t="inlineStr">
        <is>
          <t>3. This Month (Sep 2026)</t>
        </is>
      </c>
      <c r="C376" s="14" t="inlineStr">
        <is>
          <t>Meta Ads (NB PropertyTech Survey Ad 0308)</t>
        </is>
      </c>
      <c r="D376" s="14" t="inlineStr">
        <is>
          <t>Rohit Sharma (9537310448)</t>
        </is>
      </c>
      <c r="E376" s="14" t="inlineStr">
        <is>
          <t>Unassigned</t>
        </is>
      </c>
      <c r="F376" s="14" t="inlineStr">
        <is>
          <t>New</t>
        </is>
      </c>
      <c r="G376" s="14" t="inlineStr">
        <is>
          <t>Not Assigned</t>
        </is>
      </c>
      <c r="H376" s="14" t="inlineStr">
        <is>
          <t>N/A (Not Assigned)</t>
        </is>
      </c>
      <c r="I376" s="14" t="inlineStr">
        <is>
          <t>-</t>
        </is>
      </c>
    </row>
    <row r="377" ht="20" customHeight="1">
      <c r="A377" s="58" t="n">
        <v>46276.50690444445</v>
      </c>
      <c r="B377" s="19" t="inlineStr">
        <is>
          <t>3. This Month (Sep 2026)</t>
        </is>
      </c>
      <c r="C377" s="17" t="inlineStr">
        <is>
          <t>Meta Ads (NB PropertyTech Survey Ad 0308)</t>
        </is>
      </c>
      <c r="D377" s="17" t="inlineStr">
        <is>
          <t>Maria Dodiyar Dodiyar (9879193147)</t>
        </is>
      </c>
      <c r="E377" s="17" t="inlineStr">
        <is>
          <t>Unassigned</t>
        </is>
      </c>
      <c r="F377" s="17" t="inlineStr">
        <is>
          <t>New</t>
        </is>
      </c>
      <c r="G377" s="17" t="inlineStr">
        <is>
          <t>Not Assigned</t>
        </is>
      </c>
      <c r="H377" s="17" t="inlineStr">
        <is>
          <t>N/A (Not Assigned)</t>
        </is>
      </c>
      <c r="I377" s="17" t="inlineStr">
        <is>
          <t>-</t>
        </is>
      </c>
    </row>
    <row r="378" ht="20" customHeight="1">
      <c r="A378" s="57" t="n">
        <v>46276.50291114584</v>
      </c>
      <c r="B378" s="16" t="inlineStr">
        <is>
          <t>3. This Month (Sep 2026)</t>
        </is>
      </c>
      <c r="C378" s="14" t="inlineStr">
        <is>
          <t>Meta Ads (NB PropertyTech Survey Ad 3108)</t>
        </is>
      </c>
      <c r="D378" s="14" t="inlineStr">
        <is>
          <t>Dïshu Patel (9016633505)</t>
        </is>
      </c>
      <c r="E378" s="14" t="inlineStr">
        <is>
          <t>Prexa Vithalapara</t>
        </is>
      </c>
      <c r="F378" s="14" t="inlineStr">
        <is>
          <t>Interested</t>
        </is>
      </c>
      <c r="G378" s="14" t="inlineStr">
        <is>
          <t>Not Assigned</t>
        </is>
      </c>
      <c r="H378" s="14" t="inlineStr">
        <is>
          <t>N/A (Not Assigned)</t>
        </is>
      </c>
      <c r="I378" s="14" t="inlineStr">
        <is>
          <t>rakesh bhai jode vat chalu che</t>
        </is>
      </c>
    </row>
    <row r="379" ht="20" customHeight="1">
      <c r="A379" s="58" t="n">
        <v>46276.50291076389</v>
      </c>
      <c r="B379" s="19" t="inlineStr">
        <is>
          <t>3. This Month (Sep 2026)</t>
        </is>
      </c>
      <c r="C379" s="17" t="inlineStr">
        <is>
          <t>Meta Ads (NB PropertyTech Survey Ad 3108)</t>
        </is>
      </c>
      <c r="D379" s="17" t="inlineStr">
        <is>
          <t>Abhi Photography ( High Click ) (8460381020)</t>
        </is>
      </c>
      <c r="E379" s="17" t="inlineStr">
        <is>
          <t>Prexa Vithalapara</t>
        </is>
      </c>
      <c r="F379" s="17" t="inlineStr">
        <is>
          <t>Rejected / Lost</t>
        </is>
      </c>
      <c r="G379" s="17" t="inlineStr">
        <is>
          <t>Not Assigned</t>
        </is>
      </c>
      <c r="H379" s="17" t="inlineStr">
        <is>
          <t>N/A (Not Assigned)</t>
        </is>
      </c>
      <c r="I379" s="17" t="inlineStr">
        <is>
          <t>-</t>
        </is>
      </c>
    </row>
    <row r="380" ht="20" customHeight="1">
      <c r="A380" s="57" t="n">
        <v>46276.50291047453</v>
      </c>
      <c r="B380" s="16" t="inlineStr">
        <is>
          <t>3. This Month (Sep 2026)</t>
        </is>
      </c>
      <c r="C380" s="14" t="inlineStr">
        <is>
          <t>Meta Ads (NB PropertyTech Survey Ad 3108)</t>
        </is>
      </c>
      <c r="D380" s="14" t="inlineStr">
        <is>
          <t>Shruti Prajapati (9662638003)</t>
        </is>
      </c>
      <c r="E380" s="14" t="inlineStr">
        <is>
          <t>Prexa Vithalapara</t>
        </is>
      </c>
      <c r="F380" s="14" t="inlineStr">
        <is>
          <t>CNR (Could Not Reach)</t>
        </is>
      </c>
      <c r="G380" s="14" t="inlineStr">
        <is>
          <t>Not Assigned</t>
        </is>
      </c>
      <c r="H380" s="14" t="inlineStr">
        <is>
          <t>N/A (Not Assigned)</t>
        </is>
      </c>
      <c r="I380" s="14" t="inlineStr">
        <is>
          <t>Transfer Note: Marked as CNR | Followup: CNR</t>
        </is>
      </c>
    </row>
    <row r="381" ht="20" customHeight="1">
      <c r="A381" s="58" t="n">
        <v>46276.5029102199</v>
      </c>
      <c r="B381" s="19" t="inlineStr">
        <is>
          <t>3. This Month (Sep 2026)</t>
        </is>
      </c>
      <c r="C381" s="17" t="inlineStr">
        <is>
          <t>Meta Ads (NB PropertyTech Survey Ad 3108)</t>
        </is>
      </c>
      <c r="D381" s="17" t="inlineStr">
        <is>
          <t>Sharanya Patil (9325359845)</t>
        </is>
      </c>
      <c r="E381" s="17" t="inlineStr">
        <is>
          <t>Prexa Vithalapara</t>
        </is>
      </c>
      <c r="F381" s="17" t="inlineStr">
        <is>
          <t>CNR (Could Not Reach)</t>
        </is>
      </c>
      <c r="G381" s="17" t="inlineStr">
        <is>
          <t>Not Assigned</t>
        </is>
      </c>
      <c r="H381" s="17" t="inlineStr">
        <is>
          <t>N/A (Not Assigned)</t>
        </is>
      </c>
      <c r="I381" s="17" t="inlineStr">
        <is>
          <t>Transfer Note: Marked as CNR | Followup: thaltej sindhubhavan bodkdev, semi furnished, 2bhk, 22k budget, family</t>
        </is>
      </c>
    </row>
    <row r="382" ht="20" customHeight="1">
      <c r="A382" s="57" t="n">
        <v>46276.50290986111</v>
      </c>
      <c r="B382" s="16" t="inlineStr">
        <is>
          <t>3. This Month (Sep 2026)</t>
        </is>
      </c>
      <c r="C382" s="14" t="inlineStr">
        <is>
          <t>Meta Ads (NB PropertyTech Survey Ad 3108)</t>
        </is>
      </c>
      <c r="D382" s="14" t="inlineStr">
        <is>
          <t>Ansh Shastri (8799495130)</t>
        </is>
      </c>
      <c r="E382" s="14" t="inlineStr">
        <is>
          <t>Prexa Vithalapara</t>
        </is>
      </c>
      <c r="F382" s="14" t="inlineStr">
        <is>
          <t>Rejected / Lost</t>
        </is>
      </c>
      <c r="G382" s="14" t="inlineStr">
        <is>
          <t>Not Assigned</t>
        </is>
      </c>
      <c r="H382" s="14" t="inlineStr">
        <is>
          <t>N/A (Not Assigned)</t>
        </is>
      </c>
      <c r="I382" s="14" t="inlineStr">
        <is>
          <t>-</t>
        </is>
      </c>
    </row>
    <row r="383" ht="20" customHeight="1">
      <c r="A383" s="58" t="n">
        <v>46276.50290957176</v>
      </c>
      <c r="B383" s="19" t="inlineStr">
        <is>
          <t>3. This Month (Sep 2026)</t>
        </is>
      </c>
      <c r="C383" s="17" t="inlineStr">
        <is>
          <t>Meta Ads (NB PropertyTech Survey Ad 3108)</t>
        </is>
      </c>
      <c r="D383" s="17" t="inlineStr">
        <is>
          <t>Jagruti Akhani (9925009106)</t>
        </is>
      </c>
      <c r="E383" s="17" t="inlineStr">
        <is>
          <t>Prexa Vithalapara</t>
        </is>
      </c>
      <c r="F383" s="17" t="inlineStr">
        <is>
          <t>Interested</t>
        </is>
      </c>
      <c r="G383" s="17" t="inlineStr">
        <is>
          <t>Not Assigned</t>
        </is>
      </c>
      <c r="H383" s="17" t="inlineStr">
        <is>
          <t>N/A (Not Assigned)</t>
        </is>
      </c>
      <c r="I383" s="17" t="inlineStr">
        <is>
          <t>[Staying: family] [Campaign: NB PropertyTech Survey Ad 3108] Imported from Campaign Leads (Meta Ads).</t>
        </is>
      </c>
    </row>
    <row r="384" ht="20" customHeight="1">
      <c r="A384" s="57" t="n">
        <v>46276.50290927084</v>
      </c>
      <c r="B384" s="16" t="inlineStr">
        <is>
          <t>3. This Month (Sep 2026)</t>
        </is>
      </c>
      <c r="C384" s="14" t="inlineStr">
        <is>
          <t>Meta Ads (NB PropertyTech Survey Ad 3108)</t>
        </is>
      </c>
      <c r="D384" s="14" t="inlineStr">
        <is>
          <t>Arif (9521534922)</t>
        </is>
      </c>
      <c r="E384" s="14" t="inlineStr">
        <is>
          <t>Prexa Vithalapara</t>
        </is>
      </c>
      <c r="F384" s="14" t="inlineStr">
        <is>
          <t>Interested</t>
        </is>
      </c>
      <c r="G384" s="14" t="inlineStr">
        <is>
          <t>Not Assigned</t>
        </is>
      </c>
      <c r="H384" s="14" t="inlineStr">
        <is>
          <t>N/A (Not Assigned)</t>
        </is>
      </c>
      <c r="I384" s="14" t="inlineStr">
        <is>
          <t>[Staying: working professionals] [Campaign: NB PropertyTech Survey Ad 3108] Imported from Campaign Leads (Meta Ads).</t>
        </is>
      </c>
    </row>
    <row r="385" ht="20" customHeight="1">
      <c r="A385" s="58" t="n">
        <v>46275.88950393518</v>
      </c>
      <c r="B385" s="19" t="inlineStr">
        <is>
          <t>3. This Month (Sep 2026)</t>
        </is>
      </c>
      <c r="C385" s="17" t="inlineStr">
        <is>
          <t>Meta Ads (NB PropertyTech Survey Ad 3108)</t>
        </is>
      </c>
      <c r="D385" s="17" t="inlineStr">
        <is>
          <t>Illusion (7048644304)</t>
        </is>
      </c>
      <c r="E385" s="17" t="inlineStr">
        <is>
          <t>Prexa Vithalapara</t>
        </is>
      </c>
      <c r="F385" s="17" t="inlineStr">
        <is>
          <t>Rejected / Lost</t>
        </is>
      </c>
      <c r="G385" s="17" t="inlineStr">
        <is>
          <t>Not Assigned</t>
        </is>
      </c>
      <c r="H385" s="17" t="inlineStr">
        <is>
          <t>N/A (Not Assigned)</t>
        </is>
      </c>
      <c r="I385" s="17" t="inlineStr">
        <is>
          <t>-</t>
        </is>
      </c>
    </row>
    <row r="386" ht="20" customHeight="1">
      <c r="A386" s="57" t="n">
        <v>46275.55038180556</v>
      </c>
      <c r="B386" s="16" t="inlineStr">
        <is>
          <t>3. This Month (Sep 2026)</t>
        </is>
      </c>
      <c r="C386" s="14" t="inlineStr">
        <is>
          <t>Meta Ads (NB PropertyTech Survey Ad 3108)</t>
        </is>
      </c>
      <c r="D386" s="14" t="inlineStr">
        <is>
          <t>Vijay Joshi (9426314507)</t>
        </is>
      </c>
      <c r="E386" s="14" t="inlineStr">
        <is>
          <t>Prexa Vithalapara</t>
        </is>
      </c>
      <c r="F386" s="14" t="inlineStr">
        <is>
          <t>Rejected / Lost</t>
        </is>
      </c>
      <c r="G386" s="14" t="inlineStr">
        <is>
          <t>Not Assigned</t>
        </is>
      </c>
      <c r="H386" s="14" t="inlineStr">
        <is>
          <t>N/A (Not Assigned)</t>
        </is>
      </c>
      <c r="I386" s="14" t="inlineStr">
        <is>
          <t>-</t>
        </is>
      </c>
    </row>
    <row r="387" ht="20" customHeight="1">
      <c r="A387" s="58" t="n">
        <v>46275.51497475694</v>
      </c>
      <c r="B387" s="19" t="inlineStr">
        <is>
          <t>3. This Month (Sep 2026)</t>
        </is>
      </c>
      <c r="C387" s="17" t="inlineStr">
        <is>
          <t>Meta Ads (NB PropertyTech Survey Ad 3108)</t>
        </is>
      </c>
      <c r="D387" s="17" t="inlineStr">
        <is>
          <t>Hetal Sapan Oza (9909929003)</t>
        </is>
      </c>
      <c r="E387" s="17" t="inlineStr">
        <is>
          <t>Prexa Vithalapara</t>
        </is>
      </c>
      <c r="F387" s="17" t="inlineStr">
        <is>
          <t>Interested</t>
        </is>
      </c>
      <c r="G387" s="17" t="inlineStr">
        <is>
          <t>Rajan Purani</t>
        </is>
      </c>
      <c r="H387" s="17" t="inlineStr">
        <is>
          <t>Interested</t>
        </is>
      </c>
      <c r="I387" s="17" t="inlineStr">
        <is>
          <t>hii
[10 Sep '26, 2:56 PM] 2 BHK semi furnished joye che makarba, vejalpur,jivraj details shared karvi nd call for visit
[12 Sep '26, 11:47 AM] options not avilable | 20k bgt vejalpur redio mirchi aspas joiye che family che | CRM: options not available | options not available</t>
        </is>
      </c>
    </row>
    <row r="388" ht="20" customHeight="1">
      <c r="A388" s="57" t="n">
        <v>46275.51220075232</v>
      </c>
      <c r="B388" s="16" t="inlineStr">
        <is>
          <t>3. This Month (Sep 2026)</t>
        </is>
      </c>
      <c r="C388" s="14" t="inlineStr">
        <is>
          <t>Meta Ads (NB PropertyTech Survey Ad 0308)</t>
        </is>
      </c>
      <c r="D388" s="14" t="inlineStr">
        <is>
          <t>Ca_shail Shah (9328342213)</t>
        </is>
      </c>
      <c r="E388" s="14" t="inlineStr">
        <is>
          <t>Unassigned</t>
        </is>
      </c>
      <c r="F388" s="14" t="inlineStr">
        <is>
          <t>New</t>
        </is>
      </c>
      <c r="G388" s="14" t="inlineStr">
        <is>
          <t>Not Assigned</t>
        </is>
      </c>
      <c r="H388" s="14" t="inlineStr">
        <is>
          <t>N/A (Not Assigned)</t>
        </is>
      </c>
      <c r="I388" s="14" t="inlineStr">
        <is>
          <t>-</t>
        </is>
      </c>
    </row>
    <row r="389" ht="20" customHeight="1">
      <c r="A389" s="58" t="n">
        <v>46275.51220032408</v>
      </c>
      <c r="B389" s="19" t="inlineStr">
        <is>
          <t>3. This Month (Sep 2026)</t>
        </is>
      </c>
      <c r="C389" s="17" t="inlineStr">
        <is>
          <t>Meta Ads (NB PropertyTech Survey Ad 0308)</t>
        </is>
      </c>
      <c r="D389" s="17" t="inlineStr">
        <is>
          <t>Bhagwandas Datwani (9825083766)</t>
        </is>
      </c>
      <c r="E389" s="17" t="inlineStr">
        <is>
          <t>Unassigned</t>
        </is>
      </c>
      <c r="F389" s="17" t="inlineStr">
        <is>
          <t>New</t>
        </is>
      </c>
      <c r="G389" s="17" t="inlineStr">
        <is>
          <t>Not Assigned</t>
        </is>
      </c>
      <c r="H389" s="17" t="inlineStr">
        <is>
          <t>N/A (Not Assigned)</t>
        </is>
      </c>
      <c r="I389" s="17" t="inlineStr">
        <is>
          <t>-</t>
        </is>
      </c>
    </row>
    <row r="390" ht="20" customHeight="1">
      <c r="A390" s="57" t="n">
        <v>46275.51220003473</v>
      </c>
      <c r="B390" s="16" t="inlineStr">
        <is>
          <t>3. This Month (Sep 2026)</t>
        </is>
      </c>
      <c r="C390" s="14" t="inlineStr">
        <is>
          <t>Meta Ads (NB PropertyTech Survey Ad 0308)</t>
        </is>
      </c>
      <c r="D390" s="14" t="inlineStr">
        <is>
          <t>Dêvyãñì Shärmâ (7304029039)</t>
        </is>
      </c>
      <c r="E390" s="14" t="inlineStr">
        <is>
          <t>Unassigned</t>
        </is>
      </c>
      <c r="F390" s="14" t="inlineStr">
        <is>
          <t>New</t>
        </is>
      </c>
      <c r="G390" s="14" t="inlineStr">
        <is>
          <t>Not Assigned</t>
        </is>
      </c>
      <c r="H390" s="14" t="inlineStr">
        <is>
          <t>N/A (Not Assigned)</t>
        </is>
      </c>
      <c r="I390" s="14" t="inlineStr">
        <is>
          <t>-</t>
        </is>
      </c>
    </row>
    <row r="391" ht="20" customHeight="1">
      <c r="A391" s="58" t="n">
        <v>46275.48310819444</v>
      </c>
      <c r="B391" s="19" t="inlineStr">
        <is>
          <t>3. This Month (Sep 2026)</t>
        </is>
      </c>
      <c r="C391" s="17" t="inlineStr">
        <is>
          <t>Meta Ads (NB PropertyTech Survey Ad 3108)</t>
        </is>
      </c>
      <c r="D391" s="17" t="inlineStr">
        <is>
          <t>Dhaval Shah (7990880622)</t>
        </is>
      </c>
      <c r="E391" s="17" t="inlineStr">
        <is>
          <t>Zeel Mudaliyar</t>
        </is>
      </c>
      <c r="F391" s="17" t="inlineStr">
        <is>
          <t>Interested</t>
        </is>
      </c>
      <c r="G391" s="17" t="inlineStr">
        <is>
          <t>Not Assigned</t>
        </is>
      </c>
      <c r="H391" s="17" t="inlineStr">
        <is>
          <t>N/A (Not Assigned)</t>
        </is>
      </c>
      <c r="I391" s="17" t="inlineStr">
        <is>
          <t>[Staying: family] [Campaign: NB PropertyTech Survey Ad 3108] Imported from Campaign Leads (Meta Ads).</t>
        </is>
      </c>
    </row>
    <row r="392" ht="20" customHeight="1">
      <c r="A392" s="57" t="n">
        <v>46275.48310805555</v>
      </c>
      <c r="B392" s="16" t="inlineStr">
        <is>
          <t>3. This Month (Sep 2026)</t>
        </is>
      </c>
      <c r="C392" s="14" t="inlineStr">
        <is>
          <t>Meta Ads (NB PropertyTech Survey Ad 3108)</t>
        </is>
      </c>
      <c r="D392" s="14" t="inlineStr">
        <is>
          <t>Siya (6359731685)</t>
        </is>
      </c>
      <c r="E392" s="14" t="inlineStr">
        <is>
          <t>Zeel Mudaliyar</t>
        </is>
      </c>
      <c r="F392" s="14" t="inlineStr">
        <is>
          <t>Interested</t>
        </is>
      </c>
      <c r="G392" s="14" t="inlineStr">
        <is>
          <t>Not Assigned</t>
        </is>
      </c>
      <c r="H392" s="14" t="inlineStr">
        <is>
          <t>N/A (Not Assigned)</t>
        </is>
      </c>
      <c r="I392" s="14" t="inlineStr">
        <is>
          <t>amne pearl hight mate vat chale avse tyare kese</t>
        </is>
      </c>
    </row>
    <row r="393" ht="20" customHeight="1">
      <c r="A393" s="58" t="n">
        <v>46275.48310788195</v>
      </c>
      <c r="B393" s="19" t="inlineStr">
        <is>
          <t>3. This Month (Sep 2026)</t>
        </is>
      </c>
      <c r="C393" s="17" t="inlineStr">
        <is>
          <t>Meta Ads (NB PropertyTech Survey Ad 3108)</t>
        </is>
      </c>
      <c r="D393" s="17" t="inlineStr">
        <is>
          <t>Ashish Kansara (9328553838)</t>
        </is>
      </c>
      <c r="E393" s="17" t="inlineStr">
        <is>
          <t>Zeel Mudaliyar</t>
        </is>
      </c>
      <c r="F393" s="17" t="inlineStr">
        <is>
          <t>Rejected / Lost</t>
        </is>
      </c>
      <c r="G393" s="17" t="inlineStr">
        <is>
          <t>Not Assigned</t>
        </is>
      </c>
      <c r="H393" s="17" t="inlineStr">
        <is>
          <t>N/A (Not Assigned)</t>
        </is>
      </c>
      <c r="I393" s="17" t="inlineStr">
        <is>
          <t>-</t>
        </is>
      </c>
    </row>
    <row r="394" ht="20" customHeight="1">
      <c r="A394" s="57" t="n">
        <v>46275.48310767361</v>
      </c>
      <c r="B394" s="16" t="inlineStr">
        <is>
          <t>3. This Month (Sep 2026)</t>
        </is>
      </c>
      <c r="C394" s="14" t="inlineStr">
        <is>
          <t>Meta Ads (NB PropertyTech Survey Ad 3108)</t>
        </is>
      </c>
      <c r="D394" s="14" t="inlineStr">
        <is>
          <t>Y@sh @khani (9023488155)</t>
        </is>
      </c>
      <c r="E394" s="14" t="inlineStr">
        <is>
          <t>Zeel Mudaliyar</t>
        </is>
      </c>
      <c r="F394" s="14" t="inlineStr">
        <is>
          <t>Interested</t>
        </is>
      </c>
      <c r="G394" s="14" t="inlineStr">
        <is>
          <t>Not Assigned</t>
        </is>
      </c>
      <c r="H394" s="14" t="inlineStr">
        <is>
          <t>N/A (Not Assigned)</t>
        </is>
      </c>
      <c r="I394" s="14" t="inlineStr">
        <is>
          <t>[Staying: working professionals] [Campaign: NB PropertyTech Survey Ad 3108] Imported from Campaign Leads (Meta Ads).</t>
        </is>
      </c>
    </row>
    <row r="395" ht="20" customHeight="1">
      <c r="A395" s="58" t="n">
        <v>46275.4831075</v>
      </c>
      <c r="B395" s="19" t="inlineStr">
        <is>
          <t>3. This Month (Sep 2026)</t>
        </is>
      </c>
      <c r="C395" s="17" t="inlineStr">
        <is>
          <t>Meta Ads (NB PropertyTech Survey Ad 3108)</t>
        </is>
      </c>
      <c r="D395" s="17" t="inlineStr">
        <is>
          <t>Vimal Vaghela (6355433391)</t>
        </is>
      </c>
      <c r="E395" s="17" t="inlineStr">
        <is>
          <t>Zeel Mudaliyar</t>
        </is>
      </c>
      <c r="F395" s="17" t="inlineStr">
        <is>
          <t>Rejected / Lost</t>
        </is>
      </c>
      <c r="G395" s="17" t="inlineStr">
        <is>
          <t>Not Assigned</t>
        </is>
      </c>
      <c r="H395" s="17" t="inlineStr">
        <is>
          <t>N/A (Not Assigned)</t>
        </is>
      </c>
      <c r="I395" s="17" t="inlineStr">
        <is>
          <t>-</t>
        </is>
      </c>
    </row>
    <row r="396" ht="20" customHeight="1">
      <c r="A396" s="57" t="n">
        <v>46275.48310725694</v>
      </c>
      <c r="B396" s="16" t="inlineStr">
        <is>
          <t>3. This Month (Sep 2026)</t>
        </is>
      </c>
      <c r="C396" s="14" t="inlineStr">
        <is>
          <t>Meta Ads (NB PropertyTech Survey Ad 3108)</t>
        </is>
      </c>
      <c r="D396" s="14" t="inlineStr">
        <is>
          <t>ʜɪʀᴇɴ ᴘʀᴀᴊᴀᴘᴀᴛɪ (7048612207)</t>
        </is>
      </c>
      <c r="E396" s="14" t="inlineStr">
        <is>
          <t>Zeel Mudaliyar</t>
        </is>
      </c>
      <c r="F396" s="14" t="inlineStr">
        <is>
          <t>Interested</t>
        </is>
      </c>
      <c r="G396" s="14" t="inlineStr">
        <is>
          <t>Not Assigned</t>
        </is>
      </c>
      <c r="H396" s="14" t="inlineStr">
        <is>
          <t>N/A (Not Assigned)</t>
        </is>
      </c>
      <c r="I396" s="14" t="inlineStr">
        <is>
          <t>[Staying: family] [Campaign: NB PropertyTech Survey Ad 3108] Imported from Campaign Leads (Meta Ads).</t>
        </is>
      </c>
    </row>
    <row r="397" ht="20" customHeight="1">
      <c r="A397" s="58" t="n">
        <v>46275.48310707176</v>
      </c>
      <c r="B397" s="19" t="inlineStr">
        <is>
          <t>3. This Month (Sep 2026)</t>
        </is>
      </c>
      <c r="C397" s="17" t="inlineStr">
        <is>
          <t>Meta Ads (NB PropertyTech Survey Ad 3108)</t>
        </is>
      </c>
      <c r="D397" s="17" t="inlineStr">
        <is>
          <t>Mayur Garg (7014656900)</t>
        </is>
      </c>
      <c r="E397" s="17" t="inlineStr">
        <is>
          <t>Zeel Mudaliyar</t>
        </is>
      </c>
      <c r="F397" s="17" t="inlineStr">
        <is>
          <t>Interested</t>
        </is>
      </c>
      <c r="G397" s="17" t="inlineStr">
        <is>
          <t>Not Assigned</t>
        </is>
      </c>
      <c r="H397" s="17" t="inlineStr">
        <is>
          <t>N/A (Not Assigned)</t>
        </is>
      </c>
      <c r="I397" s="17" t="inlineStr">
        <is>
          <t>null</t>
        </is>
      </c>
    </row>
    <row r="398" ht="20" customHeight="1">
      <c r="A398" s="57" t="n">
        <v>46275.48310690972</v>
      </c>
      <c r="B398" s="16" t="inlineStr">
        <is>
          <t>3. This Month (Sep 2026)</t>
        </is>
      </c>
      <c r="C398" s="14" t="inlineStr">
        <is>
          <t>Meta Ads (NB PropertyTech Survey Ad 3108)</t>
        </is>
      </c>
      <c r="D398" s="14" t="inlineStr">
        <is>
          <t>Shrenik Mehta (9825267672)</t>
        </is>
      </c>
      <c r="E398" s="14" t="inlineStr">
        <is>
          <t>Zeel Mudaliyar</t>
        </is>
      </c>
      <c r="F398" s="14" t="inlineStr">
        <is>
          <t>Interested</t>
        </is>
      </c>
      <c r="G398" s="14" t="inlineStr">
        <is>
          <t>Not Assigned</t>
        </is>
      </c>
      <c r="H398" s="14" t="inlineStr">
        <is>
          <t>N/A (Not Assigned)</t>
        </is>
      </c>
      <c r="I398" s="14" t="inlineStr">
        <is>
          <t>3 BHK faly req 80 lakh naranpura near ma joye che options search kari ne mokalva 6 month possession hase toh pan chalse</t>
        </is>
      </c>
    </row>
    <row r="399" ht="20" customHeight="1">
      <c r="A399" s="58" t="n">
        <v>46275.48310673611</v>
      </c>
      <c r="B399" s="19" t="inlineStr">
        <is>
          <t>3. This Month (Sep 2026)</t>
        </is>
      </c>
      <c r="C399" s="17" t="inlineStr">
        <is>
          <t>Meta Ads (NB PropertyTech Survey Ad 3108)</t>
        </is>
      </c>
      <c r="D399" s="17" t="inlineStr">
        <is>
          <t>Kapil Satani (9428117094)</t>
        </is>
      </c>
      <c r="E399" s="17" t="inlineStr">
        <is>
          <t>Zeel Mudaliyar</t>
        </is>
      </c>
      <c r="F399" s="17" t="inlineStr">
        <is>
          <t>Rejected / Lost</t>
        </is>
      </c>
      <c r="G399" s="17" t="inlineStr">
        <is>
          <t>Not Assigned</t>
        </is>
      </c>
      <c r="H399" s="17" t="inlineStr">
        <is>
          <t>N/A (Not Assigned)</t>
        </is>
      </c>
      <c r="I399" s="17" t="inlineStr">
        <is>
          <t>-</t>
        </is>
      </c>
    </row>
    <row r="400" ht="20" customHeight="1">
      <c r="A400" s="57" t="n">
        <v>46275.48310655093</v>
      </c>
      <c r="B400" s="16" t="inlineStr">
        <is>
          <t>3. This Month (Sep 2026)</t>
        </is>
      </c>
      <c r="C400" s="14" t="inlineStr">
        <is>
          <t>Meta Ads (NB PropertyTech Survey Ad 3108)</t>
        </is>
      </c>
      <c r="D400" s="14" t="inlineStr">
        <is>
          <t>Kaushik Vyas (9879372360)</t>
        </is>
      </c>
      <c r="E400" s="14" t="inlineStr">
        <is>
          <t>Prexa Vithalapara</t>
        </is>
      </c>
      <c r="F400" s="14" t="inlineStr">
        <is>
          <t>Rejected / Lost</t>
        </is>
      </c>
      <c r="G400" s="14" t="inlineStr">
        <is>
          <t>Not Assigned</t>
        </is>
      </c>
      <c r="H400" s="14" t="inlineStr">
        <is>
          <t>N/A (Not Assigned)</t>
        </is>
      </c>
      <c r="I400" s="14" t="inlineStr">
        <is>
          <t>-</t>
        </is>
      </c>
    </row>
    <row r="401" ht="20" customHeight="1">
      <c r="A401" s="58" t="n">
        <v>46275.4831059838</v>
      </c>
      <c r="B401" s="19" t="inlineStr">
        <is>
          <t>3. This Month (Sep 2026)</t>
        </is>
      </c>
      <c r="C401" s="17" t="inlineStr">
        <is>
          <t>Meta Ads (NB PropertyTech Survey Ad 3108)</t>
        </is>
      </c>
      <c r="D401" s="17" t="inlineStr">
        <is>
          <t>Hetal Sapan Oza (9909929003)</t>
        </is>
      </c>
      <c r="E401" s="17" t="inlineStr">
        <is>
          <t>Prexa Vithalapara</t>
        </is>
      </c>
      <c r="F401" s="17" t="inlineStr">
        <is>
          <t>Interested</t>
        </is>
      </c>
      <c r="G401" s="17" t="inlineStr">
        <is>
          <t>Not Assigned</t>
        </is>
      </c>
      <c r="H401" s="17" t="inlineStr">
        <is>
          <t>N/A (Not Assigned)</t>
        </is>
      </c>
      <c r="I401" s="17" t="inlineStr">
        <is>
          <t>20k bgt vejalpur redio mirchi aspas joiye che family che | options not available</t>
        </is>
      </c>
    </row>
    <row r="402" ht="20" customHeight="1">
      <c r="A402" s="57" t="n">
        <v>46274.77475234953</v>
      </c>
      <c r="B402" s="16" t="inlineStr">
        <is>
          <t>3. This Month (Sep 2026)</t>
        </is>
      </c>
      <c r="C402" s="14" t="inlineStr">
        <is>
          <t>Meta Ads (NB PropertyTech Survey Ad 0308)</t>
        </is>
      </c>
      <c r="D402" s="14" t="inlineStr">
        <is>
          <t>Divyesh Sidhpura (9426766240)</t>
        </is>
      </c>
      <c r="E402" s="14" t="inlineStr">
        <is>
          <t>Prexa Vithalapara</t>
        </is>
      </c>
      <c r="F402" s="14" t="inlineStr">
        <is>
          <t>Rejected / Lost</t>
        </is>
      </c>
      <c r="G402" s="14" t="inlineStr">
        <is>
          <t>Not Assigned</t>
        </is>
      </c>
      <c r="H402" s="14" t="inlineStr">
        <is>
          <t>N/A (Not Assigned)</t>
        </is>
      </c>
      <c r="I402" s="14" t="inlineStr">
        <is>
          <t>[Campaign: NB PropertyTech Survey Ad 0308] Imported from Campaign Leads (Meta Ads).</t>
        </is>
      </c>
    </row>
    <row r="403" ht="20" customHeight="1">
      <c r="A403" s="58" t="n">
        <v>46274.77475224537</v>
      </c>
      <c r="B403" s="19" t="inlineStr">
        <is>
          <t>3. This Month (Sep 2026)</t>
        </is>
      </c>
      <c r="C403" s="17" t="inlineStr">
        <is>
          <t>Meta Ads (NB PropertyTech Survey Ad 0308)</t>
        </is>
      </c>
      <c r="D403" s="17" t="inlineStr">
        <is>
          <t>Kalpesh Chaudhary (9723261573)</t>
        </is>
      </c>
      <c r="E403" s="17" t="inlineStr">
        <is>
          <t>Prexa Vithalapara</t>
        </is>
      </c>
      <c r="F403" s="17" t="inlineStr">
        <is>
          <t>Rejected / Lost</t>
        </is>
      </c>
      <c r="G403" s="17" t="inlineStr">
        <is>
          <t>Not Assigned</t>
        </is>
      </c>
      <c r="H403" s="17" t="inlineStr">
        <is>
          <t>N/A (Not Assigned)</t>
        </is>
      </c>
      <c r="I403" s="17" t="inlineStr">
        <is>
          <t>---</t>
        </is>
      </c>
    </row>
    <row r="404" ht="20" customHeight="1">
      <c r="A404" s="57" t="n">
        <v>46274.77475216435</v>
      </c>
      <c r="B404" s="16" t="inlineStr">
        <is>
          <t>3. This Month (Sep 2026)</t>
        </is>
      </c>
      <c r="C404" s="14" t="inlineStr">
        <is>
          <t>Meta Ads (NB PropertyTech Survey Ad 0308)</t>
        </is>
      </c>
      <c r="D404" s="14" t="inlineStr">
        <is>
          <t>Vinaysinh Chauhan (7575002603)</t>
        </is>
      </c>
      <c r="E404" s="14" t="inlineStr">
        <is>
          <t>Unassigned</t>
        </is>
      </c>
      <c r="F404" s="14" t="inlineStr">
        <is>
          <t>Rejected / Lost</t>
        </is>
      </c>
      <c r="G404" s="14" t="inlineStr">
        <is>
          <t>Rajan Purani</t>
        </is>
      </c>
      <c r="H404" s="14" t="inlineStr">
        <is>
          <t>Assigned</t>
        </is>
      </c>
      <c r="I404" s="14" t="inlineStr">
        <is>
          <t>testing hello | Transfer: testing hello | Transfer Note: testing hello | ---</t>
        </is>
      </c>
    </row>
    <row r="405" ht="20" customHeight="1">
      <c r="A405" s="58" t="n">
        <v>46274.77475206018</v>
      </c>
      <c r="B405" s="19" t="inlineStr">
        <is>
          <t>3. This Month (Sep 2026)</t>
        </is>
      </c>
      <c r="C405" s="17" t="inlineStr">
        <is>
          <t>Meta Ads (NB PropertyTech Survey Ad 0308)</t>
        </is>
      </c>
      <c r="D405" s="17" t="inlineStr">
        <is>
          <t>Mitesh Gurjar (9624118610)</t>
        </is>
      </c>
      <c r="E405" s="17" t="inlineStr">
        <is>
          <t>Unassigned</t>
        </is>
      </c>
      <c r="F405" s="17" t="inlineStr">
        <is>
          <t>Rejected / Lost</t>
        </is>
      </c>
      <c r="G405" s="17" t="inlineStr">
        <is>
          <t>Rakesh Jadav</t>
        </is>
      </c>
      <c r="H405" s="17" t="inlineStr">
        <is>
          <t>Rejected (Already Rented)</t>
        </is>
      </c>
      <c r="I405" s="17" t="inlineStr">
        <is>
          <t>testing leads  mite gurjar | Transfer: testing leads  mite gurjar | Transfer Note: testing leads  mite gurjar | Followup: hello mitesh bhai | [Telecaller Key Points]: testing leads  mitesh gurjar</t>
        </is>
      </c>
    </row>
    <row r="406" ht="20" customHeight="1">
      <c r="A406" s="57" t="n">
        <v>46274.77475192129</v>
      </c>
      <c r="B406" s="16" t="inlineStr">
        <is>
          <t>3. This Month (Sep 2026)</t>
        </is>
      </c>
      <c r="C406" s="14" t="inlineStr">
        <is>
          <t>Meta Ads (NB PropertyTech Survey Ad 0308)</t>
        </is>
      </c>
      <c r="D406" s="14" t="inlineStr">
        <is>
          <t>Engisandip (9638883230)</t>
        </is>
      </c>
      <c r="E406" s="14" t="inlineStr">
        <is>
          <t>Unassigned</t>
        </is>
      </c>
      <c r="F406" s="14" t="inlineStr">
        <is>
          <t>Rejected / Lost</t>
        </is>
      </c>
      <c r="G406" s="14" t="inlineStr">
        <is>
          <t>Somel Rathod</t>
        </is>
      </c>
      <c r="H406" s="14" t="inlineStr">
        <is>
          <t>Assigned</t>
        </is>
      </c>
      <c r="I406" s="14" t="inlineStr">
        <is>
          <t>Testing leads | Transfer: Testing leads | Transfer Note: Testing leads | ---</t>
        </is>
      </c>
    </row>
    <row r="407" ht="20" customHeight="1">
      <c r="A407" s="58" t="n">
        <v>46274.77475177083</v>
      </c>
      <c r="B407" s="19" t="inlineStr">
        <is>
          <t>3. This Month (Sep 2026)</t>
        </is>
      </c>
      <c r="C407" s="17" t="inlineStr">
        <is>
          <t>Meta Ads (NB PropertyTech Survey Ad 0308)</t>
        </is>
      </c>
      <c r="D407" s="17" t="inlineStr">
        <is>
          <t>Uma (9408219793)</t>
        </is>
      </c>
      <c r="E407" s="17" t="inlineStr">
        <is>
          <t>Unassigned</t>
        </is>
      </c>
      <c r="F407" s="17" t="inlineStr">
        <is>
          <t>Rejected / Lost</t>
        </is>
      </c>
      <c r="G407" s="17" t="inlineStr">
        <is>
          <t>Somel Rathod</t>
        </is>
      </c>
      <c r="H407" s="17" t="inlineStr">
        <is>
          <t>Assigned</t>
        </is>
      </c>
      <c r="I407" s="17" t="inlineStr">
        <is>
          <t>final testing uma !! | Transfer: final testing uma !! | Transfer Note: final testing uma !! | Followup: hello uma ? how are you ?</t>
        </is>
      </c>
    </row>
    <row r="408" ht="20" customHeight="1">
      <c r="A408" s="57" t="n">
        <v>46274.77475158565</v>
      </c>
      <c r="B408" s="16" t="inlineStr">
        <is>
          <t>3. This Month (Sep 2026)</t>
        </is>
      </c>
      <c r="C408" s="14" t="inlineStr">
        <is>
          <t>Meta Ads (NB PropertyTech Survey Ad 0308)</t>
        </is>
      </c>
      <c r="D408" s="14" t="inlineStr">
        <is>
          <t>Asif Mansuri (8401414850)</t>
        </is>
      </c>
      <c r="E408" s="14" t="inlineStr">
        <is>
          <t>Unassigned</t>
        </is>
      </c>
      <c r="F408" s="14" t="inlineStr">
        <is>
          <t>Rejected / Lost</t>
        </is>
      </c>
      <c r="G408" s="14" t="inlineStr">
        <is>
          <t>Rajan Purani</t>
        </is>
      </c>
      <c r="H408" s="14" t="inlineStr">
        <is>
          <t>Assigned</t>
        </is>
      </c>
      <c r="I408" s="14" t="inlineStr">
        <is>
          <t>hello this is a testing leads for assign you ! | Transfer: hello this is a testing leads for assign you ! | Transfer Note: hello this is a testing leads for assign you ! | ---</t>
        </is>
      </c>
    </row>
    <row r="409" ht="20" customHeight="1">
      <c r="A409" s="58" t="n">
        <v>46274.77475133102</v>
      </c>
      <c r="B409" s="19" t="inlineStr">
        <is>
          <t>3. This Month (Sep 2026)</t>
        </is>
      </c>
      <c r="C409" s="17" t="inlineStr">
        <is>
          <t>Meta Ads (NB PropertyTech Survey Ad 0308)</t>
        </is>
      </c>
      <c r="D409" s="17" t="inlineStr">
        <is>
          <t>Devika Ck Devika (8320754280)</t>
        </is>
      </c>
      <c r="E409" s="17" t="inlineStr">
        <is>
          <t>Unassigned</t>
        </is>
      </c>
      <c r="F409" s="17" t="inlineStr">
        <is>
          <t>Rejected / Lost</t>
        </is>
      </c>
      <c r="G409" s="17" t="inlineStr">
        <is>
          <t>Rakesh Jadav</t>
        </is>
      </c>
      <c r="H409" s="17" t="inlineStr">
        <is>
          <t>Rejected (Others)</t>
        </is>
      </c>
      <c r="I409" s="17" t="inlineStr">
        <is>
          <t>this is testing leads -- assign for you ! do not take action | Transfer: this is testing leads -- assign for you ! do not take action | Transfer Note: this is testing leads -- assign for you ! do not take action | Followup: hello</t>
        </is>
      </c>
    </row>
    <row r="410" ht="20" customHeight="1">
      <c r="A410" s="57" t="n">
        <v>46274.77475119213</v>
      </c>
      <c r="B410" s="16" t="inlineStr">
        <is>
          <t>3. This Month (Sep 2026)</t>
        </is>
      </c>
      <c r="C410" s="14" t="inlineStr">
        <is>
          <t>Meta Ads (NB PropertyTech Survey Ad 0308)</t>
        </is>
      </c>
      <c r="D410" s="14" t="inlineStr">
        <is>
          <t>Kalpesh Shatvara (9824158759)</t>
        </is>
      </c>
      <c r="E410" s="14" t="inlineStr">
        <is>
          <t>Unassigned</t>
        </is>
      </c>
      <c r="F410" s="14" t="inlineStr">
        <is>
          <t>Rejected / Lost</t>
        </is>
      </c>
      <c r="G410" s="14" t="inlineStr">
        <is>
          <t>Not Assigned</t>
        </is>
      </c>
      <c r="H410" s="14" t="inlineStr">
        <is>
          <t>Interested</t>
        </is>
      </c>
      <c r="I410" s="14" t="inlineStr">
        <is>
          <t>TESTING LEADS | Transfer: TESTING LEADS | Transfer Note: TESTING LEADS | ---</t>
        </is>
      </c>
    </row>
    <row r="411" ht="20" customHeight="1">
      <c r="A411" s="58" t="n">
        <v>46274.77475103009</v>
      </c>
      <c r="B411" s="19" t="inlineStr">
        <is>
          <t>3. This Month (Sep 2026)</t>
        </is>
      </c>
      <c r="C411" s="17" t="inlineStr">
        <is>
          <t>Meta Ads (NB PropertyTech Survey Ad 0308)</t>
        </is>
      </c>
      <c r="D411" s="17" t="inlineStr">
        <is>
          <t>Saurin Shah (9608175772)</t>
        </is>
      </c>
      <c r="E411" s="17" t="inlineStr">
        <is>
          <t>Unassigned</t>
        </is>
      </c>
      <c r="F411" s="17" t="inlineStr">
        <is>
          <t>Interested</t>
        </is>
      </c>
      <c r="G411" s="17" t="inlineStr">
        <is>
          <t>Not Assigned</t>
        </is>
      </c>
      <c r="H411" s="17" t="inlineStr">
        <is>
          <t>Interested</t>
        </is>
      </c>
      <c r="I411" s="17" t="inlineStr">
        <is>
          <t>this is a testing lead -- do not take any action ! | Transfer: this is a testing lead -- do not take any action ! | Transfer Note: this is a testing lead -- do not take any action ! | Followup: hello | ---</t>
        </is>
      </c>
    </row>
    <row r="412" ht="20" customHeight="1">
      <c r="A412" s="57" t="n">
        <v>46274.77475077546</v>
      </c>
      <c r="B412" s="16" t="inlineStr">
        <is>
          <t>3. This Month (Sep 2026)</t>
        </is>
      </c>
      <c r="C412" s="14" t="inlineStr">
        <is>
          <t>Meta Ads (NB PropertyTech Survey Ad 0308)</t>
        </is>
      </c>
      <c r="D412" s="14" t="inlineStr">
        <is>
          <t>Hitesh Solanki (8735865687)</t>
        </is>
      </c>
      <c r="E412" s="14" t="inlineStr">
        <is>
          <t>Unassigned</t>
        </is>
      </c>
      <c r="F412" s="14" t="inlineStr">
        <is>
          <t>Rejected / Lost</t>
        </is>
      </c>
      <c r="G412" s="14" t="inlineStr">
        <is>
          <t>Somel Rathod</t>
        </is>
      </c>
      <c r="H412" s="14" t="inlineStr">
        <is>
          <t>Live</t>
        </is>
      </c>
      <c r="I412" s="14" t="inlineStr">
        <is>
          <t>this is testing leads -- do not any action | Transfer: this is testing leads -- do not any action | Transfer Note: this is testing leads -- do not any action</t>
        </is>
      </c>
    </row>
    <row r="413" ht="20" customHeight="1">
      <c r="A413" s="58" t="n">
        <v>46274.77475052083</v>
      </c>
      <c r="B413" s="19" t="inlineStr">
        <is>
          <t>3. This Month (Sep 2026)</t>
        </is>
      </c>
      <c r="C413" s="17" t="inlineStr">
        <is>
          <t>Meta Ads (NB PropertyTech Survey Ad 0308)</t>
        </is>
      </c>
      <c r="D413" s="17" t="inlineStr">
        <is>
          <t>Umesh Deokar (7869962580)</t>
        </is>
      </c>
      <c r="E413" s="17" t="inlineStr">
        <is>
          <t>Unassigned</t>
        </is>
      </c>
      <c r="F413" s="17" t="inlineStr">
        <is>
          <t>Rejected / Lost</t>
        </is>
      </c>
      <c r="G413" s="17" t="inlineStr">
        <is>
          <t>Rajan Purani</t>
        </is>
      </c>
      <c r="H413" s="17" t="inlineStr">
        <is>
          <t>Live</t>
        </is>
      </c>
      <c r="I413" s="17" t="inlineStr">
        <is>
          <t>this is testing lead -- do not take any actions ! | Transfer: this is testing lead -- do not take any actions ! | Transfer Note: this is testing lead -- do not take any actions ! | Followup: hello umesh</t>
        </is>
      </c>
    </row>
    <row r="414" ht="20" customHeight="1">
      <c r="A414" s="57" t="n">
        <v>46274.77475040509</v>
      </c>
      <c r="B414" s="16" t="inlineStr">
        <is>
          <t>3. This Month (Sep 2026)</t>
        </is>
      </c>
      <c r="C414" s="14" t="inlineStr">
        <is>
          <t>Meta Ads (NB PropertyTech Survey Ad 0308)</t>
        </is>
      </c>
      <c r="D414" s="14" t="inlineStr">
        <is>
          <t>Thakor Mahendra (9662777905)</t>
        </is>
      </c>
      <c r="E414" s="14" t="inlineStr">
        <is>
          <t>Unassigned</t>
        </is>
      </c>
      <c r="F414" s="14" t="inlineStr">
        <is>
          <t>Rejected / Lost</t>
        </is>
      </c>
      <c r="G414" s="14" t="inlineStr">
        <is>
          <t>Rajan Purani</t>
        </is>
      </c>
      <c r="H414" s="14" t="inlineStr">
        <is>
          <t>Interested</t>
        </is>
      </c>
      <c r="I414" s="14" t="inlineStr">
        <is>
          <t>this is testing leads --- | Transfer: this is testing leads --- | Transfer Note: this is testing leads --- | ---</t>
        </is>
      </c>
    </row>
    <row r="415" ht="20" customHeight="1">
      <c r="A415" s="58" t="n">
        <v>46274.77475028935</v>
      </c>
      <c r="B415" s="19" t="inlineStr">
        <is>
          <t>3. This Month (Sep 2026)</t>
        </is>
      </c>
      <c r="C415" s="17" t="inlineStr">
        <is>
          <t>Meta Ads (NB PropertyTech Survey Ad 0308)</t>
        </is>
      </c>
      <c r="D415" s="17" t="inlineStr">
        <is>
          <t>Himanshu Kharwal (9772080368)</t>
        </is>
      </c>
      <c r="E415" s="17" t="inlineStr">
        <is>
          <t>Prexa Vithalapara</t>
        </is>
      </c>
      <c r="F415" s="17" t="inlineStr">
        <is>
          <t>Rejected / Lost</t>
        </is>
      </c>
      <c r="G415" s="17" t="inlineStr">
        <is>
          <t>Not Assigned</t>
        </is>
      </c>
      <c r="H415" s="17" t="inlineStr">
        <is>
          <t>N/A (Not Assigned)</t>
        </is>
      </c>
      <c r="I415" s="17" t="inlineStr">
        <is>
          <t>---</t>
        </is>
      </c>
    </row>
    <row r="416" ht="20" customHeight="1">
      <c r="A416" s="57" t="n">
        <v>46274.77475018518</v>
      </c>
      <c r="B416" s="16" t="inlineStr">
        <is>
          <t>3. This Month (Sep 2026)</t>
        </is>
      </c>
      <c r="C416" s="14" t="inlineStr">
        <is>
          <t>Meta Ads (NB PropertyTech Survey Ad 0308)</t>
        </is>
      </c>
      <c r="D416" s="14" t="inlineStr">
        <is>
          <t>Roshan Tiwari (8758830117)</t>
        </is>
      </c>
      <c r="E416" s="14" t="inlineStr">
        <is>
          <t>Prexa Vithalapara</t>
        </is>
      </c>
      <c r="F416" s="14" t="inlineStr">
        <is>
          <t>Interested</t>
        </is>
      </c>
      <c r="G416" s="14" t="inlineStr">
        <is>
          <t>Rajan Purani</t>
        </is>
      </c>
      <c r="H416" s="14" t="inlineStr">
        <is>
          <t>Assigned</t>
        </is>
      </c>
      <c r="I416" s="14" t="inlineStr">
        <is>
          <t>this is testing leads -- do not take any actions -- | Transfer: this is testing leads -- do not take any actions -- | Transfer Note: this is testing leads -- do not take any actions -- | Followup: Hello roshan | [Telecaller Key Points]: Location Vaishnodevi, Gota, Tragad, Commercial (retail shop), 180-200 sq ft, minimum budget is 20 K</t>
        </is>
      </c>
    </row>
    <row r="417" ht="20" customHeight="1">
      <c r="A417" s="58" t="n">
        <v>46274.77475009259</v>
      </c>
      <c r="B417" s="19" t="inlineStr">
        <is>
          <t>3. This Month (Sep 2026)</t>
        </is>
      </c>
      <c r="C417" s="17" t="inlineStr">
        <is>
          <t>Meta Ads (NB PropertyTech Survey Ad 0308)</t>
        </is>
      </c>
      <c r="D417" s="17" t="inlineStr">
        <is>
          <t>Manish (6354955296)</t>
        </is>
      </c>
      <c r="E417" s="17" t="inlineStr">
        <is>
          <t>Unassigned</t>
        </is>
      </c>
      <c r="F417" s="17" t="inlineStr">
        <is>
          <t>Sales</t>
        </is>
      </c>
      <c r="G417" s="17" t="inlineStr">
        <is>
          <t>Rajan Purani</t>
        </is>
      </c>
      <c r="H417" s="17" t="inlineStr">
        <is>
          <t>Assigned</t>
        </is>
      </c>
      <c r="I417" s="17" t="inlineStr">
        <is>
          <t>this is a testing leads --- do not take any actions | Transfer: this is a testing leads --- do not take any actions | Transfer Note: this is a testing leads --- do not take any actions | [Telecaller Key Points]: this is a testing leads --- do not take any actions</t>
        </is>
      </c>
    </row>
    <row r="418" ht="20" customHeight="1">
      <c r="A418" s="57" t="n">
        <v>46274.77475</v>
      </c>
      <c r="B418" s="16" t="inlineStr">
        <is>
          <t>3. This Month (Sep 2026)</t>
        </is>
      </c>
      <c r="C418" s="14" t="inlineStr">
        <is>
          <t>Meta Ads (NB PropertyTech Survey Ad 0308)</t>
        </is>
      </c>
      <c r="D418" s="14" t="inlineStr">
        <is>
          <t>Paresh Dagha (9574758322)</t>
        </is>
      </c>
      <c r="E418" s="14" t="inlineStr">
        <is>
          <t>Unassigned</t>
        </is>
      </c>
      <c r="F418" s="14" t="inlineStr">
        <is>
          <t>Rejected / Lost</t>
        </is>
      </c>
      <c r="G418" s="14" t="inlineStr">
        <is>
          <t>Rakesh Jadav</t>
        </is>
      </c>
      <c r="H418" s="14" t="inlineStr">
        <is>
          <t>Assigned</t>
        </is>
      </c>
      <c r="I418" s="14" t="inlineStr">
        <is>
          <t>hello testing leads | Transfer: hello testing leads | Transfer Note: hello testing leads | ---</t>
        </is>
      </c>
    </row>
    <row r="419" ht="20" customHeight="1">
      <c r="A419" s="58" t="n">
        <v>46274.77474956019</v>
      </c>
      <c r="B419" s="19" t="inlineStr">
        <is>
          <t>3. This Month (Sep 2026)</t>
        </is>
      </c>
      <c r="C419" s="17" t="inlineStr">
        <is>
          <t>Meta Ads (NB PropertyTech Survey Ad 0308)</t>
        </is>
      </c>
      <c r="D419" s="17" t="inlineStr">
        <is>
          <t>Patel Bhumika (6352245004)</t>
        </is>
      </c>
      <c r="E419" s="17" t="inlineStr">
        <is>
          <t>Unassigned</t>
        </is>
      </c>
      <c r="F419" s="17" t="inlineStr">
        <is>
          <t>Rejected / Lost</t>
        </is>
      </c>
      <c r="G419" s="17" t="inlineStr">
        <is>
          <t>Rajan Purani</t>
        </is>
      </c>
      <c r="H419" s="17" t="inlineStr">
        <is>
          <t>Rejected (Budget Mismatch)</t>
        </is>
      </c>
      <c r="I419" s="17" t="inlineStr">
        <is>
          <t>this is testing lead -- do not take any actions ! | Transfer: this is testing lead -- do not take any actions ! | Transfer Note: this is testing lead -- do not take any actions ! | Followup: hello bhumika | ---</t>
        </is>
      </c>
    </row>
    <row r="420" ht="20" customHeight="1">
      <c r="A420" s="57" t="n">
        <v>46274.77474945602</v>
      </c>
      <c r="B420" s="16" t="inlineStr">
        <is>
          <t>3. This Month (Sep 2026)</t>
        </is>
      </c>
      <c r="C420" s="14" t="inlineStr">
        <is>
          <t>Meta Ads (NB PropertyTech Survey Ad 0308)</t>
        </is>
      </c>
      <c r="D420" s="14" t="inlineStr">
        <is>
          <t>Reena K Gajjar (8160572906)</t>
        </is>
      </c>
      <c r="E420" s="14" t="inlineStr">
        <is>
          <t>Unassigned</t>
        </is>
      </c>
      <c r="F420" s="14" t="inlineStr">
        <is>
          <t>Rejected / Lost</t>
        </is>
      </c>
      <c r="G420" s="14" t="inlineStr">
        <is>
          <t>Rajan Purani</t>
        </is>
      </c>
      <c r="H420" s="14" t="inlineStr">
        <is>
          <t>Rejected (No Requirement)</t>
        </is>
      </c>
      <c r="I420" s="14" t="inlineStr">
        <is>
          <t>hello | Transfer: hello | Transfer Note: hello | ---</t>
        </is>
      </c>
    </row>
    <row r="421" ht="20" customHeight="1">
      <c r="A421" s="58" t="n">
        <v>46274.77474931713</v>
      </c>
      <c r="B421" s="19" t="inlineStr">
        <is>
          <t>3. This Month (Sep 2026)</t>
        </is>
      </c>
      <c r="C421" s="17" t="inlineStr">
        <is>
          <t>Meta Ads (NB PropertyTech Survey Ad 0308)</t>
        </is>
      </c>
      <c r="D421" s="17" t="inlineStr">
        <is>
          <t>Patel Kaushik (8866559730)</t>
        </is>
      </c>
      <c r="E421" s="17" t="inlineStr">
        <is>
          <t>Unassigned</t>
        </is>
      </c>
      <c r="F421" s="17" t="inlineStr">
        <is>
          <t>Rejected / Lost</t>
        </is>
      </c>
      <c r="G421" s="17" t="inlineStr">
        <is>
          <t>Rajan Purani</t>
        </is>
      </c>
      <c r="H421" s="17" t="inlineStr">
        <is>
          <t>Interested</t>
        </is>
      </c>
      <c r="I421" s="17" t="inlineStr">
        <is>
          <t>this is testing lead -- do not take any actions | Transfer: this is testing lead -- do not take any actions | Transfer Note: this is testing lead -- do not take any actions | ---</t>
        </is>
      </c>
    </row>
    <row r="422" ht="20" customHeight="1">
      <c r="A422" s="57" t="n">
        <v>46274.77474899306</v>
      </c>
      <c r="B422" s="16" t="inlineStr">
        <is>
          <t>3. This Month (Sep 2026)</t>
        </is>
      </c>
      <c r="C422" s="14" t="inlineStr">
        <is>
          <t>Meta Ads (NB PropertyTech Survey Ad 0308)</t>
        </is>
      </c>
      <c r="D422" s="14" t="inlineStr">
        <is>
          <t>Urvi Dave (8866555863)</t>
        </is>
      </c>
      <c r="E422" s="14" t="inlineStr">
        <is>
          <t>Unassigned</t>
        </is>
      </c>
      <c r="F422" s="14" t="inlineStr">
        <is>
          <t>Rejected / Lost</t>
        </is>
      </c>
      <c r="G422" s="14" t="inlineStr">
        <is>
          <t>Rajan Purani</t>
        </is>
      </c>
      <c r="H422" s="14" t="inlineStr">
        <is>
          <t>Rejected (Others)</t>
        </is>
      </c>
      <c r="I422" s="14" t="inlineStr">
        <is>
          <t>hellp | Transfer: hellp | Transfer Note: hellp</t>
        </is>
      </c>
    </row>
    <row r="423" ht="20" customHeight="1">
      <c r="A423" s="58" t="n">
        <v>46274.77474887732</v>
      </c>
      <c r="B423" s="19" t="inlineStr">
        <is>
          <t>3. This Month (Sep 2026)</t>
        </is>
      </c>
      <c r="C423" s="17" t="inlineStr">
        <is>
          <t>Meta Ads (NB PropertyTech Survey Ad 0308)</t>
        </is>
      </c>
      <c r="D423" s="17" t="inlineStr">
        <is>
          <t>Sakshi Mehul Jain (9950443872)</t>
        </is>
      </c>
      <c r="E423" s="17" t="inlineStr">
        <is>
          <t>Unassigned</t>
        </is>
      </c>
      <c r="F423" s="17" t="inlineStr">
        <is>
          <t>Rejected / Lost</t>
        </is>
      </c>
      <c r="G423" s="17" t="inlineStr">
        <is>
          <t>Somel Rathod</t>
        </is>
      </c>
      <c r="H423" s="17" t="inlineStr">
        <is>
          <t>Assigned</t>
        </is>
      </c>
      <c r="I423" s="17" t="inlineStr">
        <is>
          <t>testing leads | Transfer: testing leads | Transfer Note: testing leads | ---</t>
        </is>
      </c>
    </row>
    <row r="424" ht="20" customHeight="1">
      <c r="A424" s="57" t="n">
        <v>46274.77474871528</v>
      </c>
      <c r="B424" s="16" t="inlineStr">
        <is>
          <t>3. This Month (Sep 2026)</t>
        </is>
      </c>
      <c r="C424" s="14" t="inlineStr">
        <is>
          <t>Meta Ads (NB PropertyTech Survey Ad 0308)</t>
        </is>
      </c>
      <c r="D424" s="14" t="inlineStr">
        <is>
          <t>Manoj Jograna (6359587117)</t>
        </is>
      </c>
      <c r="E424" s="14" t="inlineStr">
        <is>
          <t>Unassigned</t>
        </is>
      </c>
      <c r="F424" s="14" t="inlineStr">
        <is>
          <t>Rejected / Lost</t>
        </is>
      </c>
      <c r="G424" s="14" t="inlineStr">
        <is>
          <t>Rajan Purani</t>
        </is>
      </c>
      <c r="H424" s="14" t="inlineStr">
        <is>
          <t>Assigned</t>
        </is>
      </c>
      <c r="I424" s="14" t="inlineStr">
        <is>
          <t>testing -leads -- | Transfer: testing -leads -- | Transfer Note: testing -leads -- | Followup: hello | ---</t>
        </is>
      </c>
    </row>
    <row r="425" ht="20" customHeight="1">
      <c r="A425" s="58" t="n">
        <v>46274.77474861111</v>
      </c>
      <c r="B425" s="19" t="inlineStr">
        <is>
          <t>3. This Month (Sep 2026)</t>
        </is>
      </c>
      <c r="C425" s="17" t="inlineStr">
        <is>
          <t>Meta Ads (NB PropertyTech Survey Ad 0308)</t>
        </is>
      </c>
      <c r="D425" s="17" t="inlineStr">
        <is>
          <t>Gopi Parmar (9328241229)</t>
        </is>
      </c>
      <c r="E425" s="17" t="inlineStr">
        <is>
          <t>Unassigned</t>
        </is>
      </c>
      <c r="F425" s="17" t="inlineStr">
        <is>
          <t>Rejected / Lost</t>
        </is>
      </c>
      <c r="G425" s="17" t="inlineStr">
        <is>
          <t>Rajan Purani</t>
        </is>
      </c>
      <c r="H425" s="17" t="inlineStr">
        <is>
          <t>Assigned</t>
        </is>
      </c>
      <c r="I425" s="17" t="inlineStr">
        <is>
          <t>this is testing leads -- | Transfer: this is testing leads -- | Transfer Note: this is testing leads -- | [Telecaller Key Points]: this is testing leads --</t>
        </is>
      </c>
    </row>
    <row r="426" ht="20" customHeight="1">
      <c r="A426" s="57" t="n">
        <v>46274.77474849537</v>
      </c>
      <c r="B426" s="16" t="inlineStr">
        <is>
          <t>3. This Month (Sep 2026)</t>
        </is>
      </c>
      <c r="C426" s="14" t="inlineStr">
        <is>
          <t>Meta Ads (NB PropertyTech Survey Ad 0308)</t>
        </is>
      </c>
      <c r="D426" s="14" t="inlineStr">
        <is>
          <t>Rîna Ssh@lanî (8141939884)</t>
        </is>
      </c>
      <c r="E426" s="14" t="inlineStr">
        <is>
          <t>Prexa Vithalapara</t>
        </is>
      </c>
      <c r="F426" s="14" t="inlineStr">
        <is>
          <t>Rejected / Lost</t>
        </is>
      </c>
      <c r="G426" s="14" t="inlineStr">
        <is>
          <t>Not Assigned</t>
        </is>
      </c>
      <c r="H426" s="14" t="inlineStr">
        <is>
          <t>N/A (Not Assigned)</t>
        </is>
      </c>
      <c r="I426" s="14" t="inlineStr">
        <is>
          <t>amne shivranjani final kri diidhu che</t>
        </is>
      </c>
    </row>
    <row r="427" ht="20" customHeight="1">
      <c r="A427" s="58" t="n">
        <v>46274.7747483912</v>
      </c>
      <c r="B427" s="19" t="inlineStr">
        <is>
          <t>3. This Month (Sep 2026)</t>
        </is>
      </c>
      <c r="C427" s="17" t="inlineStr">
        <is>
          <t>Meta Ads (NB PropertyTech Survey Ad 0308)</t>
        </is>
      </c>
      <c r="D427" s="17" t="inlineStr">
        <is>
          <t>Asmita Patel (9723230415)</t>
        </is>
      </c>
      <c r="E427" s="17" t="inlineStr">
        <is>
          <t>Prexa Vithalapara</t>
        </is>
      </c>
      <c r="F427" s="17" t="inlineStr">
        <is>
          <t>Rejected / Lost</t>
        </is>
      </c>
      <c r="G427" s="17" t="inlineStr">
        <is>
          <t>Not Assigned</t>
        </is>
      </c>
      <c r="H427" s="17" t="inlineStr">
        <is>
          <t>N/A (Not Assigned)</t>
        </is>
      </c>
      <c r="I427" s="17" t="inlineStr">
        <is>
          <t>-</t>
        </is>
      </c>
    </row>
    <row r="428" ht="20" customHeight="1">
      <c r="A428" s="57" t="n">
        <v>46274.77474828704</v>
      </c>
      <c r="B428" s="16" t="inlineStr">
        <is>
          <t>3. This Month (Sep 2026)</t>
        </is>
      </c>
      <c r="C428" s="14" t="inlineStr">
        <is>
          <t>Meta Ads (NB PropertyTech Survey Ad 0308)</t>
        </is>
      </c>
      <c r="D428" s="14" t="inlineStr">
        <is>
          <t>Akash Gupta (7976535242)</t>
        </is>
      </c>
      <c r="E428" s="14" t="inlineStr">
        <is>
          <t>Unassigned</t>
        </is>
      </c>
      <c r="F428" s="14" t="inlineStr">
        <is>
          <t>Rejected / Lost</t>
        </is>
      </c>
      <c r="G428" s="14" t="inlineStr">
        <is>
          <t>Rakesh Jadav</t>
        </is>
      </c>
      <c r="H428" s="14" t="inlineStr">
        <is>
          <t>Interested</t>
        </is>
      </c>
      <c r="I428" s="14" t="inlineStr">
        <is>
          <t>testing leads | Transfer: testing leads | Transfer Note: testing leads | ---</t>
        </is>
      </c>
    </row>
    <row r="429" ht="20" customHeight="1">
      <c r="A429" s="58" t="n">
        <v>46274.77474818287</v>
      </c>
      <c r="B429" s="19" t="inlineStr">
        <is>
          <t>3. This Month (Sep 2026)</t>
        </is>
      </c>
      <c r="C429" s="17" t="inlineStr">
        <is>
          <t>Meta Ads (NB PropertyTech Survey Ad 0308)</t>
        </is>
      </c>
      <c r="D429" s="17" t="inlineStr">
        <is>
          <t>Pm Patel (6354353965)</t>
        </is>
      </c>
      <c r="E429" s="17" t="inlineStr">
        <is>
          <t>Unassigned</t>
        </is>
      </c>
      <c r="F429" s="17" t="inlineStr">
        <is>
          <t>Rejected / Lost</t>
        </is>
      </c>
      <c r="G429" s="17" t="inlineStr">
        <is>
          <t>Rakesh Jadav</t>
        </is>
      </c>
      <c r="H429" s="17" t="inlineStr">
        <is>
          <t>Assigned</t>
        </is>
      </c>
      <c r="I429" s="17" t="inlineStr">
        <is>
          <t>testing lead | Transfer: testing lead | Transfer Note: testing lead | ---</t>
        </is>
      </c>
    </row>
    <row r="430" ht="20" customHeight="1">
      <c r="A430" s="57" t="n">
        <v>46274.7747480787</v>
      </c>
      <c r="B430" s="16" t="inlineStr">
        <is>
          <t>3. This Month (Sep 2026)</t>
        </is>
      </c>
      <c r="C430" s="14" t="inlineStr">
        <is>
          <t>Meta Ads (NB PropertyTech Survey Ad 0308)</t>
        </is>
      </c>
      <c r="D430" s="14" t="inlineStr">
        <is>
          <t>Nishant Patel (9081143029)</t>
        </is>
      </c>
      <c r="E430" s="14" t="inlineStr">
        <is>
          <t>Prexa Vithalapara</t>
        </is>
      </c>
      <c r="F430" s="14" t="inlineStr">
        <is>
          <t>Rejected / Lost</t>
        </is>
      </c>
      <c r="G430" s="14" t="inlineStr">
        <is>
          <t>Not Assigned</t>
        </is>
      </c>
      <c r="H430" s="14" t="inlineStr">
        <is>
          <t>N/A (Not Assigned)</t>
        </is>
      </c>
      <c r="I430" s="14" t="inlineStr">
        <is>
          <t>-</t>
        </is>
      </c>
    </row>
    <row r="431" ht="20" customHeight="1">
      <c r="A431" s="58" t="n">
        <v>46274.77474798611</v>
      </c>
      <c r="B431" s="19" t="inlineStr">
        <is>
          <t>3. This Month (Sep 2026)</t>
        </is>
      </c>
      <c r="C431" s="17" t="inlineStr">
        <is>
          <t>Meta Ads (NB PropertyTech Survey Ad 0308)</t>
        </is>
      </c>
      <c r="D431" s="17" t="inlineStr">
        <is>
          <t>Jaydeep Ahir (9773007902)</t>
        </is>
      </c>
      <c r="E431" s="17" t="inlineStr">
        <is>
          <t>Prexa Vithalapara</t>
        </is>
      </c>
      <c r="F431" s="17" t="inlineStr">
        <is>
          <t>Rejected / Lost</t>
        </is>
      </c>
      <c r="G431" s="17" t="inlineStr">
        <is>
          <t>Not Assigned</t>
        </is>
      </c>
      <c r="H431" s="17" t="inlineStr">
        <is>
          <t>N/A (Not Assigned)</t>
        </is>
      </c>
      <c r="I431" s="17" t="inlineStr">
        <is>
          <t>-</t>
        </is>
      </c>
    </row>
    <row r="432" ht="20" customHeight="1">
      <c r="A432" s="57" t="n">
        <v>46274.77474773148</v>
      </c>
      <c r="B432" s="16" t="inlineStr">
        <is>
          <t>3. This Month (Sep 2026)</t>
        </is>
      </c>
      <c r="C432" s="14" t="inlineStr">
        <is>
          <t>Meta Ads (NB PropertyTech Survey Ad 0308)</t>
        </is>
      </c>
      <c r="D432" s="14" t="inlineStr">
        <is>
          <t>Rakesh Desai (9821522660)</t>
        </is>
      </c>
      <c r="E432" s="14" t="inlineStr">
        <is>
          <t>Prexa Vithalapara</t>
        </is>
      </c>
      <c r="F432" s="14" t="inlineStr">
        <is>
          <t>Rejected / Lost</t>
        </is>
      </c>
      <c r="G432" s="14" t="inlineStr">
        <is>
          <t>Not Assigned</t>
        </is>
      </c>
      <c r="H432" s="14" t="inlineStr">
        <is>
          <t>N/A (Not Assigned)</t>
        </is>
      </c>
      <c r="I432" s="14" t="inlineStr">
        <is>
          <t>-</t>
        </is>
      </c>
    </row>
    <row r="433" ht="20" customHeight="1">
      <c r="A433" s="58" t="n">
        <v>46274.77474763889</v>
      </c>
      <c r="B433" s="19" t="inlineStr">
        <is>
          <t>3. This Month (Sep 2026)</t>
        </is>
      </c>
      <c r="C433" s="17" t="inlineStr">
        <is>
          <t>Meta Ads (NB PropertyTech Survey Ad 0308)</t>
        </is>
      </c>
      <c r="D433" s="17" t="inlineStr">
        <is>
          <t>Kapil Shaarma (7903232369)</t>
        </is>
      </c>
      <c r="E433" s="17" t="inlineStr">
        <is>
          <t>Prexa Vithalapara</t>
        </is>
      </c>
      <c r="F433" s="17" t="inlineStr">
        <is>
          <t>Rejected / Lost</t>
        </is>
      </c>
      <c r="G433" s="17" t="inlineStr">
        <is>
          <t>Not Assigned</t>
        </is>
      </c>
      <c r="H433" s="17" t="inlineStr">
        <is>
          <t>N/A (Not Assigned)</t>
        </is>
      </c>
      <c r="I433" s="17" t="inlineStr">
        <is>
          <t>-</t>
        </is>
      </c>
    </row>
    <row r="434" ht="20" customHeight="1">
      <c r="A434" s="57" t="n">
        <v>46274.7747474537</v>
      </c>
      <c r="B434" s="16" t="inlineStr">
        <is>
          <t>3. This Month (Sep 2026)</t>
        </is>
      </c>
      <c r="C434" s="14" t="inlineStr">
        <is>
          <t>Meta Ads (NB PropertyTech Survey Ad 0308)</t>
        </is>
      </c>
      <c r="D434" s="14" t="inlineStr">
        <is>
          <t>Prajesh (9687482151)</t>
        </is>
      </c>
      <c r="E434" s="14" t="inlineStr">
        <is>
          <t>Prexa Vithalapara</t>
        </is>
      </c>
      <c r="F434" s="14" t="inlineStr">
        <is>
          <t>Rejected / Lost</t>
        </is>
      </c>
      <c r="G434" s="14" t="inlineStr">
        <is>
          <t>Not Assigned</t>
        </is>
      </c>
      <c r="H434" s="14" t="inlineStr">
        <is>
          <t>N/A (Not Assigned)</t>
        </is>
      </c>
      <c r="I434" s="14" t="inlineStr">
        <is>
          <t>-</t>
        </is>
      </c>
    </row>
    <row r="435" ht="20" customHeight="1">
      <c r="A435" s="58" t="n">
        <v>46274.77474725695</v>
      </c>
      <c r="B435" s="19" t="inlineStr">
        <is>
          <t>3. This Month (Sep 2026)</t>
        </is>
      </c>
      <c r="C435" s="17" t="inlineStr">
        <is>
          <t>Meta Ads (NB PropertyTech Survey Ad 0308)</t>
        </is>
      </c>
      <c r="D435" s="17" t="inlineStr">
        <is>
          <t>Vhala Gajjar (9825934065)</t>
        </is>
      </c>
      <c r="E435" s="17" t="inlineStr">
        <is>
          <t>Prexa Vithalapara</t>
        </is>
      </c>
      <c r="F435" s="17" t="inlineStr">
        <is>
          <t>Rejected / Lost</t>
        </is>
      </c>
      <c r="G435" s="17" t="inlineStr">
        <is>
          <t>Not Assigned</t>
        </is>
      </c>
      <c r="H435" s="17" t="inlineStr">
        <is>
          <t>N/A (Not Assigned)</t>
        </is>
      </c>
      <c r="I435" s="17" t="inlineStr">
        <is>
          <t>-</t>
        </is>
      </c>
    </row>
    <row r="436" ht="20" customHeight="1">
      <c r="A436" s="57" t="n">
        <v>46274.77474707176</v>
      </c>
      <c r="B436" s="16" t="inlineStr">
        <is>
          <t>3. This Month (Sep 2026)</t>
        </is>
      </c>
      <c r="C436" s="14" t="inlineStr">
        <is>
          <t>Meta Ads (NB PropertyTech Survey Ad 0308)</t>
        </is>
      </c>
      <c r="D436" s="14" t="inlineStr">
        <is>
          <t>Panara 2213 (7043180013)</t>
        </is>
      </c>
      <c r="E436" s="14" t="inlineStr">
        <is>
          <t>Prexa Vithalapara</t>
        </is>
      </c>
      <c r="F436" s="14" t="inlineStr">
        <is>
          <t>Rejected / Lost</t>
        </is>
      </c>
      <c r="G436" s="14" t="inlineStr">
        <is>
          <t>Not Assigned</t>
        </is>
      </c>
      <c r="H436" s="14" t="inlineStr">
        <is>
          <t>N/A (Not Assigned)</t>
        </is>
      </c>
      <c r="I436" s="14" t="inlineStr">
        <is>
          <t>-</t>
        </is>
      </c>
    </row>
    <row r="437" ht="20" customHeight="1">
      <c r="A437" s="58" t="n">
        <v>46274.77474697916</v>
      </c>
      <c r="B437" s="19" t="inlineStr">
        <is>
          <t>3. This Month (Sep 2026)</t>
        </is>
      </c>
      <c r="C437" s="17" t="inlineStr">
        <is>
          <t>Meta Ads (NB PropertyTech Survey Ad 0308)</t>
        </is>
      </c>
      <c r="D437" s="17" t="inlineStr">
        <is>
          <t>Madhuresh Darji (9898561719)</t>
        </is>
      </c>
      <c r="E437" s="17" t="inlineStr">
        <is>
          <t>Prexa Vithalapara</t>
        </is>
      </c>
      <c r="F437" s="17" t="inlineStr">
        <is>
          <t>Rejected / Lost</t>
        </is>
      </c>
      <c r="G437" s="17" t="inlineStr">
        <is>
          <t>Not Assigned</t>
        </is>
      </c>
      <c r="H437" s="17" t="inlineStr">
        <is>
          <t>N/A (Not Assigned)</t>
        </is>
      </c>
      <c r="I437" s="17" t="inlineStr">
        <is>
          <t>-</t>
        </is>
      </c>
    </row>
    <row r="438" ht="20" customHeight="1">
      <c r="A438" s="57" t="n">
        <v>46274.77474680555</v>
      </c>
      <c r="B438" s="16" t="inlineStr">
        <is>
          <t>3. This Month (Sep 2026)</t>
        </is>
      </c>
      <c r="C438" s="14" t="inlineStr">
        <is>
          <t>Meta Ads (NB PropertyTech Survey Ad 0308)</t>
        </is>
      </c>
      <c r="D438" s="14" t="inlineStr">
        <is>
          <t>Mansi_rutvik _shrimali (6353358599)</t>
        </is>
      </c>
      <c r="E438" s="14" t="inlineStr">
        <is>
          <t>Prexa Vithalapara</t>
        </is>
      </c>
      <c r="F438" s="14" t="inlineStr">
        <is>
          <t>Rejected / Lost</t>
        </is>
      </c>
      <c r="G438" s="14" t="inlineStr">
        <is>
          <t>Not Assigned</t>
        </is>
      </c>
      <c r="H438" s="14" t="inlineStr">
        <is>
          <t>N/A (Not Assigned)</t>
        </is>
      </c>
      <c r="I438" s="14" t="inlineStr">
        <is>
          <t>-</t>
        </is>
      </c>
    </row>
    <row r="439" ht="20" customHeight="1">
      <c r="A439" s="58" t="n">
        <v>46274.77474670139</v>
      </c>
      <c r="B439" s="19" t="inlineStr">
        <is>
          <t>3. This Month (Sep 2026)</t>
        </is>
      </c>
      <c r="C439" s="17" t="inlineStr">
        <is>
          <t>Meta Ads (NB PropertyTech Survey Ad 0308)</t>
        </is>
      </c>
      <c r="D439" s="17" t="inlineStr">
        <is>
          <t>Himanshi Chauhan (9712932621)</t>
        </is>
      </c>
      <c r="E439" s="17" t="inlineStr">
        <is>
          <t>Prexa Vithalapara</t>
        </is>
      </c>
      <c r="F439" s="17" t="inlineStr">
        <is>
          <t>Rejected / Lost</t>
        </is>
      </c>
      <c r="G439" s="17" t="inlineStr">
        <is>
          <t>Not Assigned</t>
        </is>
      </c>
      <c r="H439" s="17" t="inlineStr">
        <is>
          <t>N/A (Not Assigned)</t>
        </is>
      </c>
      <c r="I439" s="17" t="inlineStr">
        <is>
          <t>3 BHK in Gota budget 20k</t>
        </is>
      </c>
    </row>
    <row r="440" ht="20" customHeight="1">
      <c r="A440" s="57" t="n">
        <v>46274.7747466088</v>
      </c>
      <c r="B440" s="16" t="inlineStr">
        <is>
          <t>3. This Month (Sep 2026)</t>
        </is>
      </c>
      <c r="C440" s="14" t="inlineStr">
        <is>
          <t>Meta Ads (NB PropertyTech Survey Ad 0308)</t>
        </is>
      </c>
      <c r="D440" s="14" t="inlineStr">
        <is>
          <t>Sahil Parmar (7756000235)</t>
        </is>
      </c>
      <c r="E440" s="14" t="inlineStr">
        <is>
          <t>Prexa Vithalapara</t>
        </is>
      </c>
      <c r="F440" s="14" t="inlineStr">
        <is>
          <t>Rejected / Lost</t>
        </is>
      </c>
      <c r="G440" s="14" t="inlineStr">
        <is>
          <t>Not Assigned</t>
        </is>
      </c>
      <c r="H440" s="14" t="inlineStr">
        <is>
          <t>N/A (Not Assigned)</t>
        </is>
      </c>
      <c r="I440" s="14" t="inlineStr">
        <is>
          <t>-</t>
        </is>
      </c>
    </row>
    <row r="441" ht="20" customHeight="1">
      <c r="A441" s="58" t="n">
        <v>46274.77474650463</v>
      </c>
      <c r="B441" s="19" t="inlineStr">
        <is>
          <t>3. This Month (Sep 2026)</t>
        </is>
      </c>
      <c r="C441" s="17" t="inlineStr">
        <is>
          <t>Meta Ads (NB PropertyTech Survey Ad 0308)</t>
        </is>
      </c>
      <c r="D441" s="17" t="inlineStr">
        <is>
          <t>Nirav Solanki (6354073846)</t>
        </is>
      </c>
      <c r="E441" s="17" t="inlineStr">
        <is>
          <t>Prexa Vithalapara</t>
        </is>
      </c>
      <c r="F441" s="17" t="inlineStr">
        <is>
          <t>Rejected / Lost</t>
        </is>
      </c>
      <c r="G441" s="17" t="inlineStr">
        <is>
          <t>Not Assigned</t>
        </is>
      </c>
      <c r="H441" s="17" t="inlineStr">
        <is>
          <t>N/A (Not Assigned)</t>
        </is>
      </c>
      <c r="I441" s="17" t="inlineStr">
        <is>
          <t>amdavad aavse tyare kese</t>
        </is>
      </c>
    </row>
    <row r="442" ht="20" customHeight="1">
      <c r="A442" s="57" t="n">
        <v>46274.77474629629</v>
      </c>
      <c r="B442" s="16" t="inlineStr">
        <is>
          <t>3. This Month (Sep 2026)</t>
        </is>
      </c>
      <c r="C442" s="14" t="inlineStr">
        <is>
          <t>Meta Ads (NB PropertyTech Survey Ad 0308)</t>
        </is>
      </c>
      <c r="D442" s="14" t="inlineStr">
        <is>
          <t>Rk Message First (9814804250)</t>
        </is>
      </c>
      <c r="E442" s="14" t="inlineStr">
        <is>
          <t>Prexa Vithalapara</t>
        </is>
      </c>
      <c r="F442" s="14" t="inlineStr">
        <is>
          <t>Rejected / Lost</t>
        </is>
      </c>
      <c r="G442" s="14" t="inlineStr">
        <is>
          <t>Not Assigned</t>
        </is>
      </c>
      <c r="H442" s="14" t="inlineStr">
        <is>
          <t>N/A (Not Assigned)</t>
        </is>
      </c>
      <c r="I442" s="14" t="inlineStr">
        <is>
          <t>-</t>
        </is>
      </c>
    </row>
    <row r="443" ht="20" customHeight="1">
      <c r="A443" s="58" t="n">
        <v>46274.77474612268</v>
      </c>
      <c r="B443" s="19" t="inlineStr">
        <is>
          <t>3. This Month (Sep 2026)</t>
        </is>
      </c>
      <c r="C443" s="17" t="inlineStr">
        <is>
          <t>Meta Ads (NB PropertyTech Survey Ad 0308)</t>
        </is>
      </c>
      <c r="D443" s="17" t="inlineStr">
        <is>
          <t>Nikhil (7990723438)</t>
        </is>
      </c>
      <c r="E443" s="17" t="inlineStr">
        <is>
          <t>Prexa Vithalapara</t>
        </is>
      </c>
      <c r="F443" s="17" t="inlineStr">
        <is>
          <t>Rejected / Lost</t>
        </is>
      </c>
      <c r="G443" s="17" t="inlineStr">
        <is>
          <t>Not Assigned</t>
        </is>
      </c>
      <c r="H443" s="17" t="inlineStr">
        <is>
          <t>N/A (Not Assigned)</t>
        </is>
      </c>
      <c r="I443" s="17" t="inlineStr">
        <is>
          <t>-</t>
        </is>
      </c>
    </row>
    <row r="444" ht="20" customHeight="1">
      <c r="A444" s="57" t="n">
        <v>46274.7747459838</v>
      </c>
      <c r="B444" s="16" t="inlineStr">
        <is>
          <t>3. This Month (Sep 2026)</t>
        </is>
      </c>
      <c r="C444" s="14" t="inlineStr">
        <is>
          <t>Meta Ads (NB PropertyTech Survey Ad 0308)</t>
        </is>
      </c>
      <c r="D444" s="14" t="inlineStr">
        <is>
          <t>↤↤↤↤↤ 𝓶𝓇. 𝐛нⓤℙί ↦↦↦↦↦ (9979062515)</t>
        </is>
      </c>
      <c r="E444" s="14" t="inlineStr">
        <is>
          <t>Prexa Vithalapara</t>
        </is>
      </c>
      <c r="F444" s="14" t="inlineStr">
        <is>
          <t>Rejected / Lost</t>
        </is>
      </c>
      <c r="G444" s="14" t="inlineStr">
        <is>
          <t>Not Assigned</t>
        </is>
      </c>
      <c r="H444" s="14" t="inlineStr">
        <is>
          <t>N/A (Not Assigned)</t>
        </is>
      </c>
      <c r="I444" s="14" t="inlineStr">
        <is>
          <t>-</t>
        </is>
      </c>
    </row>
    <row r="445" ht="20" customHeight="1">
      <c r="A445" s="58" t="n">
        <v>46274.77474578704</v>
      </c>
      <c r="B445" s="19" t="inlineStr">
        <is>
          <t>3. This Month (Sep 2026)</t>
        </is>
      </c>
      <c r="C445" s="17" t="inlineStr">
        <is>
          <t>Meta Ads (NB PropertyTech Survey Ad 0308)</t>
        </is>
      </c>
      <c r="D445" s="17" t="inlineStr">
        <is>
          <t>Kiran Gohil (9723512337)</t>
        </is>
      </c>
      <c r="E445" s="17" t="inlineStr">
        <is>
          <t>Prexa Vithalapara</t>
        </is>
      </c>
      <c r="F445" s="17" t="inlineStr">
        <is>
          <t>Rejected / Lost</t>
        </is>
      </c>
      <c r="G445" s="17" t="inlineStr">
        <is>
          <t>Not Assigned</t>
        </is>
      </c>
      <c r="H445" s="17" t="inlineStr">
        <is>
          <t>N/A (Not Assigned)</t>
        </is>
      </c>
      <c r="I445" s="17" t="inlineStr">
        <is>
          <t>-</t>
        </is>
      </c>
    </row>
    <row r="446" ht="20" customHeight="1">
      <c r="A446" s="57" t="n">
        <v>46274.7747456713</v>
      </c>
      <c r="B446" s="16" t="inlineStr">
        <is>
          <t>3. This Month (Sep 2026)</t>
        </is>
      </c>
      <c r="C446" s="14" t="inlineStr">
        <is>
          <t>Meta Ads (NB PropertyTech Survey Ad 0308)</t>
        </is>
      </c>
      <c r="D446" s="14" t="inlineStr">
        <is>
          <t>Rajesh Dabhi (9426573951)</t>
        </is>
      </c>
      <c r="E446" s="14" t="inlineStr">
        <is>
          <t>Prexa Vithalapara</t>
        </is>
      </c>
      <c r="F446" s="14" t="inlineStr">
        <is>
          <t>Rejected / Lost</t>
        </is>
      </c>
      <c r="G446" s="14" t="inlineStr">
        <is>
          <t>Not Assigned</t>
        </is>
      </c>
      <c r="H446" s="14" t="inlineStr">
        <is>
          <t>N/A (Not Assigned)</t>
        </is>
      </c>
      <c r="I446" s="14" t="inlineStr">
        <is>
          <t>-</t>
        </is>
      </c>
    </row>
    <row r="447" ht="20" customHeight="1">
      <c r="A447" s="58" t="n">
        <v>46274.77474556713</v>
      </c>
      <c r="B447" s="19" t="inlineStr">
        <is>
          <t>3. This Month (Sep 2026)</t>
        </is>
      </c>
      <c r="C447" s="17" t="inlineStr">
        <is>
          <t>Meta Ads (NB PropertyTech Survey Ad 0308)</t>
        </is>
      </c>
      <c r="D447" s="17" t="inlineStr">
        <is>
          <t>dhavuツ  (7861049960)</t>
        </is>
      </c>
      <c r="E447" s="17" t="inlineStr">
        <is>
          <t>Prexa Vithalapara</t>
        </is>
      </c>
      <c r="F447" s="17" t="inlineStr">
        <is>
          <t>Rejected / Lost</t>
        </is>
      </c>
      <c r="G447" s="17" t="inlineStr">
        <is>
          <t>Not Assigned</t>
        </is>
      </c>
      <c r="H447" s="17" t="inlineStr">
        <is>
          <t>N/A (Not Assigned)</t>
        </is>
      </c>
      <c r="I447" s="17" t="inlineStr">
        <is>
          <t>-</t>
        </is>
      </c>
    </row>
    <row r="448" ht="20" customHeight="1">
      <c r="A448" s="57" t="n">
        <v>46274.77474542824</v>
      </c>
      <c r="B448" s="16" t="inlineStr">
        <is>
          <t>3. This Month (Sep 2026)</t>
        </is>
      </c>
      <c r="C448" s="14" t="inlineStr">
        <is>
          <t>Meta Ads (NB PropertyTech Survey Ad 0308)</t>
        </is>
      </c>
      <c r="D448" s="14" t="inlineStr">
        <is>
          <t>चौहान सुरजसिंह (7874585665)</t>
        </is>
      </c>
      <c r="E448" s="14" t="inlineStr">
        <is>
          <t>Prexa Vithalapara</t>
        </is>
      </c>
      <c r="F448" s="14" t="inlineStr">
        <is>
          <t>Rejected / Lost</t>
        </is>
      </c>
      <c r="G448" s="14" t="inlineStr">
        <is>
          <t>Not Assigned</t>
        </is>
      </c>
      <c r="H448" s="14" t="inlineStr">
        <is>
          <t>N/A (Not Assigned)</t>
        </is>
      </c>
      <c r="I448" s="14" t="inlineStr">
        <is>
          <t>-</t>
        </is>
      </c>
    </row>
    <row r="449" ht="20" customHeight="1">
      <c r="A449" s="58" t="n">
        <v>46274.7747453125</v>
      </c>
      <c r="B449" s="19" t="inlineStr">
        <is>
          <t>3. This Month (Sep 2026)</t>
        </is>
      </c>
      <c r="C449" s="17" t="inlineStr">
        <is>
          <t>Meta Ads (NB PropertyTech Survey Ad 0308)</t>
        </is>
      </c>
      <c r="D449" s="17" t="inlineStr">
        <is>
          <t>Ravi C Makwana (9714371419)</t>
        </is>
      </c>
      <c r="E449" s="17" t="inlineStr">
        <is>
          <t>Prexa Vithalapara</t>
        </is>
      </c>
      <c r="F449" s="17" t="inlineStr">
        <is>
          <t>Rejected / Lost</t>
        </is>
      </c>
      <c r="G449" s="17" t="inlineStr">
        <is>
          <t>Not Assigned</t>
        </is>
      </c>
      <c r="H449" s="17" t="inlineStr">
        <is>
          <t>N/A (Not Assigned)</t>
        </is>
      </c>
      <c r="I449" s="17" t="inlineStr">
        <is>
          <t>-</t>
        </is>
      </c>
    </row>
    <row r="450" ht="20" customHeight="1">
      <c r="A450" s="57" t="n">
        <v>46274.77474521991</v>
      </c>
      <c r="B450" s="16" t="inlineStr">
        <is>
          <t>3. This Month (Sep 2026)</t>
        </is>
      </c>
      <c r="C450" s="14" t="inlineStr">
        <is>
          <t>Meta Ads (NB PropertyTech Survey Ad 0308)</t>
        </is>
      </c>
      <c r="D450" s="14" t="inlineStr">
        <is>
          <t>Bhagyashree Dhongde (9925921710)</t>
        </is>
      </c>
      <c r="E450" s="14" t="inlineStr">
        <is>
          <t>Prexa Vithalapara</t>
        </is>
      </c>
      <c r="F450" s="14" t="inlineStr">
        <is>
          <t>Rejected / Lost</t>
        </is>
      </c>
      <c r="G450" s="14" t="inlineStr">
        <is>
          <t>Not Assigned</t>
        </is>
      </c>
      <c r="H450" s="14" t="inlineStr">
        <is>
          <t>N/A (Not Assigned)</t>
        </is>
      </c>
      <c r="I450" s="14" t="inlineStr">
        <is>
          <t>-</t>
        </is>
      </c>
    </row>
    <row r="451" ht="20" customHeight="1">
      <c r="A451" s="58" t="n">
        <v>46274.77474509259</v>
      </c>
      <c r="B451" s="19" t="inlineStr">
        <is>
          <t>3. This Month (Sep 2026)</t>
        </is>
      </c>
      <c r="C451" s="17" t="inlineStr">
        <is>
          <t>Meta Ads (NB PropertyTech Survey Ad 0308)</t>
        </is>
      </c>
      <c r="D451" s="17" t="inlineStr">
        <is>
          <t>Saket Srivastav (9026354181)</t>
        </is>
      </c>
      <c r="E451" s="17" t="inlineStr">
        <is>
          <t>Prexa Vithalapara</t>
        </is>
      </c>
      <c r="F451" s="17" t="inlineStr">
        <is>
          <t>Rejected / Lost</t>
        </is>
      </c>
      <c r="G451" s="17" t="inlineStr">
        <is>
          <t>Not Assigned</t>
        </is>
      </c>
      <c r="H451" s="17" t="inlineStr">
        <is>
          <t>N/A (Not Assigned)</t>
        </is>
      </c>
      <c r="I451" s="17" t="inlineStr">
        <is>
          <t>-</t>
        </is>
      </c>
    </row>
    <row r="452" ht="20" customHeight="1">
      <c r="A452" s="57" t="n">
        <v>46274.77474496527</v>
      </c>
      <c r="B452" s="16" t="inlineStr">
        <is>
          <t>3. This Month (Sep 2026)</t>
        </is>
      </c>
      <c r="C452" s="14" t="inlineStr">
        <is>
          <t>Meta Ads (NB PropertyTech Survey Ad 0308)</t>
        </is>
      </c>
      <c r="D452" s="14" t="inlineStr">
        <is>
          <t>Vijay Patel (9428671953)</t>
        </is>
      </c>
      <c r="E452" s="14" t="inlineStr">
        <is>
          <t>Prexa Vithalapara</t>
        </is>
      </c>
      <c r="F452" s="14" t="inlineStr">
        <is>
          <t>Rejected / Lost</t>
        </is>
      </c>
      <c r="G452" s="14" t="inlineStr">
        <is>
          <t>Not Assigned</t>
        </is>
      </c>
      <c r="H452" s="14" t="inlineStr">
        <is>
          <t>N/A (Not Assigned)</t>
        </is>
      </c>
      <c r="I452" s="14" t="inlineStr">
        <is>
          <t>Budget-20k Location- sola, new ranip - secend 2 floor sudhi ma jove che</t>
        </is>
      </c>
    </row>
    <row r="453" ht="20" customHeight="1">
      <c r="A453" s="58" t="n">
        <v>46274.77474482639</v>
      </c>
      <c r="B453" s="19" t="inlineStr">
        <is>
          <t>3. This Month (Sep 2026)</t>
        </is>
      </c>
      <c r="C453" s="17" t="inlineStr">
        <is>
          <t>Meta Ads (NB PropertyTech Survey Ad 0308)</t>
        </is>
      </c>
      <c r="D453" s="17" t="inlineStr">
        <is>
          <t>Preeti Naik (8733849566)</t>
        </is>
      </c>
      <c r="E453" s="17" t="inlineStr">
        <is>
          <t>Prexa Vithalapara</t>
        </is>
      </c>
      <c r="F453" s="17" t="inlineStr">
        <is>
          <t>Rejected / Lost</t>
        </is>
      </c>
      <c r="G453" s="17" t="inlineStr">
        <is>
          <t>Not Assigned</t>
        </is>
      </c>
      <c r="H453" s="17" t="inlineStr">
        <is>
          <t>N/A (Not Assigned)</t>
        </is>
      </c>
      <c r="I453" s="17" t="inlineStr">
        <is>
          <t>-</t>
        </is>
      </c>
    </row>
    <row r="454" ht="20" customHeight="1">
      <c r="A454" s="57" t="n">
        <v>46274.77474457176</v>
      </c>
      <c r="B454" s="16" t="inlineStr">
        <is>
          <t>3. This Month (Sep 2026)</t>
        </is>
      </c>
      <c r="C454" s="14" t="inlineStr">
        <is>
          <t>Meta Ads (NB PropertyTech Survey Ad 0308)</t>
        </is>
      </c>
      <c r="D454" s="14" t="inlineStr">
        <is>
          <t>Seeima Puri (9687677734)</t>
        </is>
      </c>
      <c r="E454" s="14" t="inlineStr">
        <is>
          <t>Prexa Vithalapara</t>
        </is>
      </c>
      <c r="F454" s="14" t="inlineStr">
        <is>
          <t>Rejected / Lost</t>
        </is>
      </c>
      <c r="G454" s="14" t="inlineStr">
        <is>
          <t>Not Assigned</t>
        </is>
      </c>
      <c r="H454" s="14" t="inlineStr">
        <is>
          <t>N/A (Not Assigned)</t>
        </is>
      </c>
      <c r="I454" s="14" t="inlineStr">
        <is>
          <t>first prefrence penthouse</t>
        </is>
      </c>
    </row>
    <row r="455" ht="20" customHeight="1">
      <c r="A455" s="58" t="n">
        <v>46274.77474445602</v>
      </c>
      <c r="B455" s="19" t="inlineStr">
        <is>
          <t>3. This Month (Sep 2026)</t>
        </is>
      </c>
      <c r="C455" s="17" t="inlineStr">
        <is>
          <t>Meta Ads (NB PropertyTech Survey Ad 0308)</t>
        </is>
      </c>
      <c r="D455" s="17" t="inlineStr">
        <is>
          <t>I_m_janvi (7405737608)</t>
        </is>
      </c>
      <c r="E455" s="17" t="inlineStr">
        <is>
          <t>Prexa Vithalapara</t>
        </is>
      </c>
      <c r="F455" s="17" t="inlineStr">
        <is>
          <t>Rejected / Lost</t>
        </is>
      </c>
      <c r="G455" s="17" t="inlineStr">
        <is>
          <t>Not Assigned</t>
        </is>
      </c>
      <c r="H455" s="17" t="inlineStr">
        <is>
          <t>N/A (Not Assigned)</t>
        </is>
      </c>
      <c r="I455" s="17" t="inlineStr">
        <is>
          <t>-</t>
        </is>
      </c>
    </row>
    <row r="456" ht="20" customHeight="1">
      <c r="A456" s="57" t="n">
        <v>46274.77474435185</v>
      </c>
      <c r="B456" s="16" t="inlineStr">
        <is>
          <t>3. This Month (Sep 2026)</t>
        </is>
      </c>
      <c r="C456" s="14" t="inlineStr">
        <is>
          <t>Meta Ads (NB PropertyTech Survey Ad 0308)</t>
        </is>
      </c>
      <c r="D456" s="14" t="inlineStr">
        <is>
          <t>Jaimini Parmar (8128763948)</t>
        </is>
      </c>
      <c r="E456" s="14" t="inlineStr">
        <is>
          <t>Prexa Vithalapara</t>
        </is>
      </c>
      <c r="F456" s="14" t="inlineStr">
        <is>
          <t>Rejected / Lost</t>
        </is>
      </c>
      <c r="G456" s="14" t="inlineStr">
        <is>
          <t>Not Assigned</t>
        </is>
      </c>
      <c r="H456" s="14" t="inlineStr">
        <is>
          <t>N/A (Not Assigned)</t>
        </is>
      </c>
      <c r="I456" s="14" t="inlineStr">
        <is>
          <t>-</t>
        </is>
      </c>
    </row>
    <row r="457" ht="20" customHeight="1">
      <c r="A457" s="58" t="n">
        <v>46274.77474423611</v>
      </c>
      <c r="B457" s="19" t="inlineStr">
        <is>
          <t>3. This Month (Sep 2026)</t>
        </is>
      </c>
      <c r="C457" s="17" t="inlineStr">
        <is>
          <t>Meta Ads (NB PropertyTech Survey Ad 0308)</t>
        </is>
      </c>
      <c r="D457" s="17" t="inlineStr">
        <is>
          <t>Udayshankar Dubey (9825535878)</t>
        </is>
      </c>
      <c r="E457" s="17" t="inlineStr">
        <is>
          <t>Prexa Vithalapara</t>
        </is>
      </c>
      <c r="F457" s="17" t="inlineStr">
        <is>
          <t>Rejected / Lost</t>
        </is>
      </c>
      <c r="G457" s="17" t="inlineStr">
        <is>
          <t>Not Assigned</t>
        </is>
      </c>
      <c r="H457" s="17" t="inlineStr">
        <is>
          <t>N/A (Not Assigned)</t>
        </is>
      </c>
      <c r="I457" s="17" t="inlineStr">
        <is>
          <t>-</t>
        </is>
      </c>
    </row>
    <row r="458" ht="20" customHeight="1">
      <c r="A458" s="57" t="n">
        <v>46274.77474413194</v>
      </c>
      <c r="B458" s="16" t="inlineStr">
        <is>
          <t>3. This Month (Sep 2026)</t>
        </is>
      </c>
      <c r="C458" s="14" t="inlineStr">
        <is>
          <t>Meta Ads (NB PropertyTech Survey Ad 0308)</t>
        </is>
      </c>
      <c r="D458" s="14" t="inlineStr">
        <is>
          <t>Diviyansh Desai (9023143231)</t>
        </is>
      </c>
      <c r="E458" s="14" t="inlineStr">
        <is>
          <t>Prexa Vithalapara</t>
        </is>
      </c>
      <c r="F458" s="14" t="inlineStr">
        <is>
          <t>Rejected / Lost</t>
        </is>
      </c>
      <c r="G458" s="14" t="inlineStr">
        <is>
          <t>Not Assigned</t>
        </is>
      </c>
      <c r="H458" s="14" t="inlineStr">
        <is>
          <t>N/A (Not Assigned)</t>
        </is>
      </c>
      <c r="I458" s="14" t="inlineStr">
        <is>
          <t>-</t>
        </is>
      </c>
    </row>
    <row r="459" ht="20" customHeight="1">
      <c r="A459" s="58" t="n">
        <v>46274.77474400463</v>
      </c>
      <c r="B459" s="19" t="inlineStr">
        <is>
          <t>3. This Month (Sep 2026)</t>
        </is>
      </c>
      <c r="C459" s="17" t="inlineStr">
        <is>
          <t>Meta Ads (NB PropertyTech Survey Ad 0308)</t>
        </is>
      </c>
      <c r="D459" s="17" t="inlineStr">
        <is>
          <t>Bipin Kumar (9173939333)</t>
        </is>
      </c>
      <c r="E459" s="17" t="inlineStr">
        <is>
          <t>Prexa Vithalapara</t>
        </is>
      </c>
      <c r="F459" s="17" t="inlineStr">
        <is>
          <t>Sales</t>
        </is>
      </c>
      <c r="G459" s="17" t="inlineStr">
        <is>
          <t>Somel Rathod</t>
        </is>
      </c>
      <c r="H459" s="17" t="inlineStr">
        <is>
          <t>Assigned</t>
        </is>
      </c>
      <c r="I459" s="17" t="inlineStr">
        <is>
          <t>Transfer: Gota vaishanodevi, 4bhk, 30-40k budget, with all electric item, family | Transfer Note: Gota vaishanodevi, 4bhk, 30-40k budget, with all electric item, family | CRM: [Telecaller Key Points]: Gota vaishanodevi, 4bhk, 30-40k budget, with all electric item, family | CRM Followup: option serch krva | [Telecaller Key Points]: Gota vaishanodevi, 4bhk, 30-40k budget, with all electric item, family | Gota vaishanodevi, 4bhk, 30-40k budget, with all electric item, family</t>
        </is>
      </c>
    </row>
    <row r="460" ht="20" customHeight="1">
      <c r="A460" s="57" t="n">
        <v>46274.77474386574</v>
      </c>
      <c r="B460" s="16" t="inlineStr">
        <is>
          <t>3. This Month (Sep 2026)</t>
        </is>
      </c>
      <c r="C460" s="14" t="inlineStr">
        <is>
          <t>Meta Ads (NB PropertyTech Survey Ad 0308)</t>
        </is>
      </c>
      <c r="D460" s="14" t="inlineStr">
        <is>
          <t>Ar. Tanvi Agarwal (8890970050)</t>
        </is>
      </c>
      <c r="E460" s="14" t="inlineStr">
        <is>
          <t>Prexa Vithalapara</t>
        </is>
      </c>
      <c r="F460" s="14" t="inlineStr">
        <is>
          <t>New</t>
        </is>
      </c>
      <c r="G460" s="14" t="inlineStr">
        <is>
          <t>Not Assigned</t>
        </is>
      </c>
      <c r="H460" s="14" t="inlineStr">
        <is>
          <t>N/A (Not Assigned)</t>
        </is>
      </c>
      <c r="I460" s="14" t="inlineStr">
        <is>
          <t>-</t>
        </is>
      </c>
    </row>
    <row r="461" ht="20" customHeight="1">
      <c r="A461" s="58" t="n">
        <v>46274.77474372686</v>
      </c>
      <c r="B461" s="19" t="inlineStr">
        <is>
          <t>3. This Month (Sep 2026)</t>
        </is>
      </c>
      <c r="C461" s="17" t="inlineStr">
        <is>
          <t>Meta Ads (NB PropertyTech Survey Ad 0308)</t>
        </is>
      </c>
      <c r="D461" s="17" t="inlineStr">
        <is>
          <t>Jagdish Ghetiya (8401153539)</t>
        </is>
      </c>
      <c r="E461" s="17" t="inlineStr">
        <is>
          <t>Prexa Vithalapara</t>
        </is>
      </c>
      <c r="F461" s="17" t="inlineStr">
        <is>
          <t>New</t>
        </is>
      </c>
      <c r="G461" s="17" t="inlineStr">
        <is>
          <t>Not Assigned</t>
        </is>
      </c>
      <c r="H461" s="17" t="inlineStr">
        <is>
          <t>N/A (Not Assigned)</t>
        </is>
      </c>
      <c r="I461" s="17" t="inlineStr">
        <is>
          <t>whatsp msg kryo che update mate call not receve</t>
        </is>
      </c>
    </row>
    <row r="462" ht="20" customHeight="1">
      <c r="A462" s="57" t="n">
        <v>46274.77474361111</v>
      </c>
      <c r="B462" s="16" t="inlineStr">
        <is>
          <t>3. This Month (Sep 2026)</t>
        </is>
      </c>
      <c r="C462" s="14" t="inlineStr">
        <is>
          <t>Meta Ads (NB PropertyTech Survey Ad 0308)</t>
        </is>
      </c>
      <c r="D462" s="14" t="inlineStr">
        <is>
          <t>Sweta Sweta (9574230161)</t>
        </is>
      </c>
      <c r="E462" s="14" t="inlineStr">
        <is>
          <t>Prexa Vithalapara</t>
        </is>
      </c>
      <c r="F462" s="14" t="inlineStr">
        <is>
          <t>Interested</t>
        </is>
      </c>
      <c r="G462" s="14" t="inlineStr">
        <is>
          <t>Not Assigned</t>
        </is>
      </c>
      <c r="H462" s="14" t="inlineStr">
        <is>
          <t>N/A (Not Assigned)</t>
        </is>
      </c>
      <c r="I462" s="14" t="inlineStr">
        <is>
          <t>this is testing leads</t>
        </is>
      </c>
    </row>
    <row r="463" ht="20" customHeight="1">
      <c r="A463" s="58" t="n">
        <v>46274.77474351852</v>
      </c>
      <c r="B463" s="19" t="inlineStr">
        <is>
          <t>3. This Month (Sep 2026)</t>
        </is>
      </c>
      <c r="C463" s="17" t="inlineStr">
        <is>
          <t>Meta Ads (NB PropertyTech Survey Ad 0308)</t>
        </is>
      </c>
      <c r="D463" s="17" t="inlineStr">
        <is>
          <t>Keval Raval (8200466050)</t>
        </is>
      </c>
      <c r="E463" s="17" t="inlineStr">
        <is>
          <t>Prexa Vithalapara</t>
        </is>
      </c>
      <c r="F463" s="17" t="inlineStr">
        <is>
          <t>Rejected / Lost</t>
        </is>
      </c>
      <c r="G463" s="17" t="inlineStr">
        <is>
          <t>Not Assigned</t>
        </is>
      </c>
      <c r="H463" s="17" t="inlineStr">
        <is>
          <t>N/A (Not Assigned)</t>
        </is>
      </c>
      <c r="I463" s="17" t="inlineStr">
        <is>
          <t>Followup: CNR</t>
        </is>
      </c>
    </row>
    <row r="464" ht="20" customHeight="1">
      <c r="A464" s="57" t="n">
        <v>46274.77474341435</v>
      </c>
      <c r="B464" s="16" t="inlineStr">
        <is>
          <t>3. This Month (Sep 2026)</t>
        </is>
      </c>
      <c r="C464" s="14" t="inlineStr">
        <is>
          <t>Meta Ads (NB PropertyTech Survey Ad 0308)</t>
        </is>
      </c>
      <c r="D464" s="14" t="inlineStr">
        <is>
          <t>Harshad Singh Tanwer (8764449004)</t>
        </is>
      </c>
      <c r="E464" s="14" t="inlineStr">
        <is>
          <t>Prexa Vithalapara</t>
        </is>
      </c>
      <c r="F464" s="14" t="inlineStr">
        <is>
          <t>Rejected / Lost</t>
        </is>
      </c>
      <c r="G464" s="14" t="inlineStr">
        <is>
          <t>Not Assigned</t>
        </is>
      </c>
      <c r="H464" s="14" t="inlineStr">
        <is>
          <t>N/A (Not Assigned)</t>
        </is>
      </c>
      <c r="I464" s="14" t="inlineStr">
        <is>
          <t>-</t>
        </is>
      </c>
    </row>
    <row r="465" ht="20" customHeight="1">
      <c r="A465" s="58" t="n">
        <v>46274.77474332176</v>
      </c>
      <c r="B465" s="19" t="inlineStr">
        <is>
          <t>3. This Month (Sep 2026)</t>
        </is>
      </c>
      <c r="C465" s="17" t="inlineStr">
        <is>
          <t>Meta Ads (NB PropertyTech Survey Ad 0308)</t>
        </is>
      </c>
      <c r="D465" s="17" t="inlineStr">
        <is>
          <t>Ca Piyush Singhal (9521382030)</t>
        </is>
      </c>
      <c r="E465" s="17" t="inlineStr">
        <is>
          <t>Prexa Vithalapara</t>
        </is>
      </c>
      <c r="F465" s="17" t="inlineStr">
        <is>
          <t>Rejected / Lost</t>
        </is>
      </c>
      <c r="G465" s="17" t="inlineStr">
        <is>
          <t>Not Assigned</t>
        </is>
      </c>
      <c r="H465" s="17" t="inlineStr">
        <is>
          <t>N/A (Not Assigned)</t>
        </is>
      </c>
      <c r="I465" s="17" t="inlineStr">
        <is>
          <t>-</t>
        </is>
      </c>
    </row>
    <row r="466" ht="20" customHeight="1">
      <c r="A466" s="57" t="n">
        <v>46274.77474322917</v>
      </c>
      <c r="B466" s="16" t="inlineStr">
        <is>
          <t>3. This Month (Sep 2026)</t>
        </is>
      </c>
      <c r="C466" s="14" t="inlineStr">
        <is>
          <t>Meta Ads (NB PropertyTech Survey Ad 0308)</t>
        </is>
      </c>
      <c r="D466" s="14" t="inlineStr">
        <is>
          <t>Arvind Prajapati (9099595586)</t>
        </is>
      </c>
      <c r="E466" s="14" t="inlineStr">
        <is>
          <t>Prexa Vithalapara</t>
        </is>
      </c>
      <c r="F466" s="14" t="inlineStr">
        <is>
          <t>Rejected / Lost</t>
        </is>
      </c>
      <c r="G466" s="14" t="inlineStr">
        <is>
          <t>Not Assigned</t>
        </is>
      </c>
      <c r="H466" s="14" t="inlineStr">
        <is>
          <t>N/A (Not Assigned)</t>
        </is>
      </c>
      <c r="I466" s="14" t="inlineStr">
        <is>
          <t>-</t>
        </is>
      </c>
    </row>
    <row r="467" ht="20" customHeight="1">
      <c r="A467" s="58" t="n">
        <v>46274.77474313657</v>
      </c>
      <c r="B467" s="19" t="inlineStr">
        <is>
          <t>3. This Month (Sep 2026)</t>
        </is>
      </c>
      <c r="C467" s="17" t="inlineStr">
        <is>
          <t>Meta Ads (NB PropertyTech Survey Ad 0308)</t>
        </is>
      </c>
      <c r="D467" s="17" t="inlineStr">
        <is>
          <t>Anoop Kumar (8447689800)</t>
        </is>
      </c>
      <c r="E467" s="17" t="inlineStr">
        <is>
          <t>Prexa Vithalapara</t>
        </is>
      </c>
      <c r="F467" s="17" t="inlineStr">
        <is>
          <t>Rejected / Lost</t>
        </is>
      </c>
      <c r="G467" s="17" t="inlineStr">
        <is>
          <t>Not Assigned</t>
        </is>
      </c>
      <c r="H467" s="17" t="inlineStr">
        <is>
          <t>N/A (Not Assigned)</t>
        </is>
      </c>
      <c r="I467" s="17" t="inlineStr">
        <is>
          <t>-</t>
        </is>
      </c>
    </row>
    <row r="468" ht="20" customHeight="1">
      <c r="A468" s="57" t="n">
        <v>46274.77474302083</v>
      </c>
      <c r="B468" s="16" t="inlineStr">
        <is>
          <t>3. This Month (Sep 2026)</t>
        </is>
      </c>
      <c r="C468" s="14" t="inlineStr">
        <is>
          <t>Meta Ads (NB PropertyTech Survey Ad 0308)</t>
        </is>
      </c>
      <c r="D468" s="14" t="inlineStr">
        <is>
          <t>Vishal Raghuvanshi(hindu) (9638504114)</t>
        </is>
      </c>
      <c r="E468" s="14" t="inlineStr">
        <is>
          <t>Zeel Mudaliyar</t>
        </is>
      </c>
      <c r="F468" s="14" t="inlineStr">
        <is>
          <t>New</t>
        </is>
      </c>
      <c r="G468" s="14" t="inlineStr">
        <is>
          <t>Not Assigned</t>
        </is>
      </c>
      <c r="H468" s="14" t="inlineStr">
        <is>
          <t>N/A (Not Assigned)</t>
        </is>
      </c>
      <c r="I468" s="14" t="inlineStr">
        <is>
          <t>-</t>
        </is>
      </c>
    </row>
    <row r="469" ht="20" customHeight="1">
      <c r="A469" s="58" t="n">
        <v>46274.77474289352</v>
      </c>
      <c r="B469" s="19" t="inlineStr">
        <is>
          <t>3. This Month (Sep 2026)</t>
        </is>
      </c>
      <c r="C469" s="17" t="inlineStr">
        <is>
          <t>Meta Ads (NB PropertyTech Survey Ad 0308)</t>
        </is>
      </c>
      <c r="D469" s="17" t="inlineStr">
        <is>
          <t>Isha_59 (9510828745)</t>
        </is>
      </c>
      <c r="E469" s="17" t="inlineStr">
        <is>
          <t>Unassigned</t>
        </is>
      </c>
      <c r="F469" s="17" t="inlineStr">
        <is>
          <t>Sales</t>
        </is>
      </c>
      <c r="G469" s="17" t="inlineStr">
        <is>
          <t>Rakesh Jadav</t>
        </is>
      </c>
      <c r="H469" s="17" t="inlineStr">
        <is>
          <t>Assigned</t>
        </is>
      </c>
      <c r="I469" s="17" t="inlineStr">
        <is>
          <t>testing lead | Transfer: testing lead | Transfer Note: testing lead | Followup: dda</t>
        </is>
      </c>
    </row>
    <row r="470" ht="20" customHeight="1">
      <c r="A470" s="57" t="n">
        <v>46274.77474263889</v>
      </c>
      <c r="B470" s="16" t="inlineStr">
        <is>
          <t>3. This Month (Sep 2026)</t>
        </is>
      </c>
      <c r="C470" s="14" t="inlineStr">
        <is>
          <t>Meta Ads (NB PropertyTech Survey Ad 0308)</t>
        </is>
      </c>
      <c r="D470" s="14" t="inlineStr">
        <is>
          <t>Hiral (9377873232)</t>
        </is>
      </c>
      <c r="E470" s="14" t="inlineStr">
        <is>
          <t>Unassigned</t>
        </is>
      </c>
      <c r="F470" s="14" t="inlineStr">
        <is>
          <t>Rejected / Lost</t>
        </is>
      </c>
      <c r="G470" s="14" t="inlineStr">
        <is>
          <t>Rakesh Jadav</t>
        </is>
      </c>
      <c r="H470" s="14" t="inlineStr">
        <is>
          <t>Call Attempted (Open)</t>
        </is>
      </c>
      <c r="I470" s="14" t="inlineStr">
        <is>
          <t>testing lead | Transfer: testing lead | Transfer Note: testing lead | ----</t>
        </is>
      </c>
    </row>
    <row r="471" ht="20" customHeight="1">
      <c r="A471" s="58" t="n">
        <v>46274.77474246528</v>
      </c>
      <c r="B471" s="19" t="inlineStr">
        <is>
          <t>3. This Month (Sep 2026)</t>
        </is>
      </c>
      <c r="C471" s="17" t="inlineStr">
        <is>
          <t>Meta Ads (NB PropertyTech Survey Ad 0308)</t>
        </is>
      </c>
      <c r="D471" s="17" t="inlineStr">
        <is>
          <t>Sachin Sathe (8600011024)</t>
        </is>
      </c>
      <c r="E471" s="17" t="inlineStr">
        <is>
          <t>Prexa Vithalapara</t>
        </is>
      </c>
      <c r="F471" s="17" t="inlineStr">
        <is>
          <t>Rejected / Lost</t>
        </is>
      </c>
      <c r="G471" s="17" t="inlineStr">
        <is>
          <t>Not Assigned</t>
        </is>
      </c>
      <c r="H471" s="17" t="inlineStr">
        <is>
          <t>N/A (Not Assigned)</t>
        </is>
      </c>
      <c r="I471" s="17" t="inlineStr">
        <is>
          <t>-</t>
        </is>
      </c>
    </row>
    <row r="472" ht="20" customHeight="1">
      <c r="A472" s="57" t="n">
        <v>46274.77474224537</v>
      </c>
      <c r="B472" s="16" t="inlineStr">
        <is>
          <t>3. This Month (Sep 2026)</t>
        </is>
      </c>
      <c r="C472" s="14" t="inlineStr">
        <is>
          <t>Meta Ads (NB PropertyTech Survey Ad 0308)</t>
        </is>
      </c>
      <c r="D472" s="14" t="inlineStr">
        <is>
          <t>Kalpana Mehta (9904591885)</t>
        </is>
      </c>
      <c r="E472" s="14" t="inlineStr">
        <is>
          <t>Prexa Vithalapara</t>
        </is>
      </c>
      <c r="F472" s="14" t="inlineStr">
        <is>
          <t>Rejected / Lost</t>
        </is>
      </c>
      <c r="G472" s="14" t="inlineStr">
        <is>
          <t>Not Assigned</t>
        </is>
      </c>
      <c r="H472" s="14" t="inlineStr">
        <is>
          <t>N/A (Not Assigned)</t>
        </is>
      </c>
      <c r="I472" s="14" t="inlineStr">
        <is>
          <t>-</t>
        </is>
      </c>
    </row>
    <row r="473" ht="20" customHeight="1">
      <c r="A473" s="58" t="n">
        <v>46274.77474212963</v>
      </c>
      <c r="B473" s="19" t="inlineStr">
        <is>
          <t>3. This Month (Sep 2026)</t>
        </is>
      </c>
      <c r="C473" s="17" t="inlineStr">
        <is>
          <t>Meta Ads (NB PropertyTech Survey Ad 0308)</t>
        </is>
      </c>
      <c r="D473" s="17" t="inlineStr">
        <is>
          <t>Paras Mistry (8758967380)</t>
        </is>
      </c>
      <c r="E473" s="17" t="inlineStr">
        <is>
          <t>Prexa Vithalapara</t>
        </is>
      </c>
      <c r="F473" s="17" t="inlineStr">
        <is>
          <t>Rejected / Lost</t>
        </is>
      </c>
      <c r="G473" s="17" t="inlineStr">
        <is>
          <t>Not Assigned</t>
        </is>
      </c>
      <c r="H473" s="17" t="inlineStr">
        <is>
          <t>N/A (Not Assigned)</t>
        </is>
      </c>
      <c r="I473" s="17" t="inlineStr">
        <is>
          <t>-</t>
        </is>
      </c>
    </row>
    <row r="474" ht="20" customHeight="1">
      <c r="A474" s="57" t="n">
        <v>46274.77471275463</v>
      </c>
      <c r="B474" s="16" t="inlineStr">
        <is>
          <t>3. This Month (Sep 2026)</t>
        </is>
      </c>
      <c r="C474" s="14" t="inlineStr">
        <is>
          <t>Meta Ads (NB PropertyTech Survey Ad 0308)</t>
        </is>
      </c>
      <c r="D474" s="14" t="inlineStr">
        <is>
          <t>Pooja Solanki (9737768202)</t>
        </is>
      </c>
      <c r="E474" s="14" t="inlineStr">
        <is>
          <t>Prexa Vithalapara</t>
        </is>
      </c>
      <c r="F474" s="14" t="inlineStr">
        <is>
          <t>Rejected / Lost</t>
        </is>
      </c>
      <c r="G474" s="14" t="inlineStr">
        <is>
          <t>Not Assigned</t>
        </is>
      </c>
      <c r="H474" s="14" t="inlineStr">
        <is>
          <t>N/A (Not Assigned)</t>
        </is>
      </c>
      <c r="I474" s="14" t="inlineStr">
        <is>
          <t>-</t>
        </is>
      </c>
    </row>
    <row r="475" ht="20" customHeight="1">
      <c r="A475" s="58" t="n">
        <v>46274.77471263889</v>
      </c>
      <c r="B475" s="19" t="inlineStr">
        <is>
          <t>3. This Month (Sep 2026)</t>
        </is>
      </c>
      <c r="C475" s="17" t="inlineStr">
        <is>
          <t>Meta Ads (NB PropertyTech Survey Ad 0308)</t>
        </is>
      </c>
      <c r="D475" s="17" t="inlineStr">
        <is>
          <t>Rawal Dipali (9327427009)</t>
        </is>
      </c>
      <c r="E475" s="17" t="inlineStr">
        <is>
          <t>Unassigned</t>
        </is>
      </c>
      <c r="F475" s="17" t="inlineStr">
        <is>
          <t>Sales</t>
        </is>
      </c>
      <c r="G475" s="17" t="inlineStr">
        <is>
          <t>Rakesh Jadav</t>
        </is>
      </c>
      <c r="H475" s="17" t="inlineStr">
        <is>
          <t>Assigned</t>
        </is>
      </c>
      <c r="I475" s="17" t="inlineStr">
        <is>
          <t>testing | Transfer: testing | Transfer Note: testing</t>
        </is>
      </c>
    </row>
    <row r="476" ht="20" customHeight="1">
      <c r="A476" s="57" t="n">
        <v>46274.77471252315</v>
      </c>
      <c r="B476" s="16" t="inlineStr">
        <is>
          <t>3. This Month (Sep 2026)</t>
        </is>
      </c>
      <c r="C476" s="14" t="inlineStr">
        <is>
          <t>Meta Ads (NB PropertyTech Survey Ad 0308)</t>
        </is>
      </c>
      <c r="D476" s="14" t="inlineStr">
        <is>
          <t>Bhupendra Kansara (9176304140)</t>
        </is>
      </c>
      <c r="E476" s="14" t="inlineStr">
        <is>
          <t>Prexa Vithalapara</t>
        </is>
      </c>
      <c r="F476" s="14" t="inlineStr">
        <is>
          <t>Rejected / Lost</t>
        </is>
      </c>
      <c r="G476" s="14" t="inlineStr">
        <is>
          <t>Not Assigned</t>
        </is>
      </c>
      <c r="H476" s="14" t="inlineStr">
        <is>
          <t>N/A (Not Assigned)</t>
        </is>
      </c>
      <c r="I476" s="14" t="inlineStr">
        <is>
          <t>-</t>
        </is>
      </c>
    </row>
    <row r="477" ht="20" customHeight="1">
      <c r="A477" s="58" t="n">
        <v>46274.77471241898</v>
      </c>
      <c r="B477" s="19" t="inlineStr">
        <is>
          <t>3. This Month (Sep 2026)</t>
        </is>
      </c>
      <c r="C477" s="17" t="inlineStr">
        <is>
          <t>Meta Ads (NB PropertyTech Survey Ad 0308)</t>
        </is>
      </c>
      <c r="D477" s="17" t="inlineStr">
        <is>
          <t>Krishan Kumar Sharma (8209866095)</t>
        </is>
      </c>
      <c r="E477" s="17" t="inlineStr">
        <is>
          <t>Prexa Vithalapara</t>
        </is>
      </c>
      <c r="F477" s="17" t="inlineStr">
        <is>
          <t>Rejected / Lost</t>
        </is>
      </c>
      <c r="G477" s="17" t="inlineStr">
        <is>
          <t>Not Assigned</t>
        </is>
      </c>
      <c r="H477" s="17" t="inlineStr">
        <is>
          <t>N/A (Not Assigned)</t>
        </is>
      </c>
      <c r="I477" s="17" t="inlineStr">
        <is>
          <t>location- gota  2/3 bhk  rent -25 to 30 k  with furniture &amp; car parking need  ( Bachelor )</t>
        </is>
      </c>
    </row>
    <row r="478" ht="20" customHeight="1">
      <c r="A478" s="57" t="n">
        <v>46274.77471231481</v>
      </c>
      <c r="B478" s="16" t="inlineStr">
        <is>
          <t>3. This Month (Sep 2026)</t>
        </is>
      </c>
      <c r="C478" s="14" t="inlineStr">
        <is>
          <t>Meta Ads (NB PropertyTech Survey Ad 0308)</t>
        </is>
      </c>
      <c r="D478" s="14" t="inlineStr">
        <is>
          <t>Khushi Jadav (9099705696)</t>
        </is>
      </c>
      <c r="E478" s="14" t="inlineStr">
        <is>
          <t>Prexa Vithalapara</t>
        </is>
      </c>
      <c r="F478" s="14" t="inlineStr">
        <is>
          <t>Rejected / Lost</t>
        </is>
      </c>
      <c r="G478" s="14" t="inlineStr">
        <is>
          <t>Not Assigned</t>
        </is>
      </c>
      <c r="H478" s="14" t="inlineStr">
        <is>
          <t>N/A (Not Assigned)</t>
        </is>
      </c>
      <c r="I478" s="14" t="inlineStr">
        <is>
          <t>-</t>
        </is>
      </c>
    </row>
    <row r="479" ht="20" customHeight="1">
      <c r="A479" s="58" t="n">
        <v>46274.77471221064</v>
      </c>
      <c r="B479" s="19" t="inlineStr">
        <is>
          <t>3. This Month (Sep 2026)</t>
        </is>
      </c>
      <c r="C479" s="17" t="inlineStr">
        <is>
          <t>Meta Ads (NB PropertyTech Survey Ad 0308)</t>
        </is>
      </c>
      <c r="D479" s="17" t="inlineStr">
        <is>
          <t>Meet( Mehul) Limbachiya (9054113247)</t>
        </is>
      </c>
      <c r="E479" s="17" t="inlineStr">
        <is>
          <t>Prexa Vithalapara</t>
        </is>
      </c>
      <c r="F479" s="17" t="inlineStr">
        <is>
          <t>Rejected / Lost</t>
        </is>
      </c>
      <c r="G479" s="17" t="inlineStr">
        <is>
          <t>Not Assigned</t>
        </is>
      </c>
      <c r="H479" s="17" t="inlineStr">
        <is>
          <t>N/A (Not Assigned)</t>
        </is>
      </c>
      <c r="I479" s="17" t="inlineStr">
        <is>
          <t>-</t>
        </is>
      </c>
    </row>
    <row r="480" ht="20" customHeight="1">
      <c r="A480" s="57" t="n">
        <v>46274.77471197917</v>
      </c>
      <c r="B480" s="16" t="inlineStr">
        <is>
          <t>3. This Month (Sep 2026)</t>
        </is>
      </c>
      <c r="C480" s="14" t="inlineStr">
        <is>
          <t>Meta Ads (NB PropertyTech Survey Ad 0308)</t>
        </is>
      </c>
      <c r="D480" s="14" t="inlineStr">
        <is>
          <t>Jay Patel (6351191855)</t>
        </is>
      </c>
      <c r="E480" s="14" t="inlineStr">
        <is>
          <t>Prexa Vithalapara</t>
        </is>
      </c>
      <c r="F480" s="14" t="inlineStr">
        <is>
          <t>Rejected / Lost</t>
        </is>
      </c>
      <c r="G480" s="14" t="inlineStr">
        <is>
          <t>Not Assigned</t>
        </is>
      </c>
      <c r="H480" s="14" t="inlineStr">
        <is>
          <t>N/A (Not Assigned)</t>
        </is>
      </c>
      <c r="I480" s="14" t="inlineStr">
        <is>
          <t>-</t>
        </is>
      </c>
    </row>
    <row r="481" ht="20" customHeight="1">
      <c r="A481" s="58" t="n">
        <v>46274.77470611111</v>
      </c>
      <c r="B481" s="19" t="inlineStr">
        <is>
          <t>3. This Month (Sep 2026)</t>
        </is>
      </c>
      <c r="C481" s="17" t="inlineStr">
        <is>
          <t>Meta Ads (NB PropertyTech Survey Ad 0308)</t>
        </is>
      </c>
      <c r="D481" s="17" t="inlineStr">
        <is>
          <t>Mahek Patel (9023867267)</t>
        </is>
      </c>
      <c r="E481" s="17" t="inlineStr">
        <is>
          <t>Prexa Vithalapara</t>
        </is>
      </c>
      <c r="F481" s="17" t="inlineStr">
        <is>
          <t>Rejected / Lost</t>
        </is>
      </c>
      <c r="G481" s="17" t="inlineStr">
        <is>
          <t>Not Assigned</t>
        </is>
      </c>
      <c r="H481" s="17" t="inlineStr">
        <is>
          <t>N/A (Not Assigned)</t>
        </is>
      </c>
      <c r="I481" s="17" t="inlineStr">
        <is>
          <t>-</t>
        </is>
      </c>
    </row>
    <row r="482" ht="20" customHeight="1">
      <c r="A482" s="57" t="n">
        <v>46274.7747059375</v>
      </c>
      <c r="B482" s="16" t="inlineStr">
        <is>
          <t>3. This Month (Sep 2026)</t>
        </is>
      </c>
      <c r="C482" s="14" t="inlineStr">
        <is>
          <t>Meta Ads (NB PropertyTech Survey Ad 0308)</t>
        </is>
      </c>
      <c r="D482" s="14" t="inlineStr">
        <is>
          <t>Prakash (9512180666)</t>
        </is>
      </c>
      <c r="E482" s="14" t="inlineStr">
        <is>
          <t>Prexa Vithalapara</t>
        </is>
      </c>
      <c r="F482" s="14" t="inlineStr">
        <is>
          <t>New</t>
        </is>
      </c>
      <c r="G482" s="14" t="inlineStr">
        <is>
          <t>Not Assigned</t>
        </is>
      </c>
      <c r="H482" s="14" t="inlineStr">
        <is>
          <t>N/A (Not Assigned)</t>
        </is>
      </c>
      <c r="I482" s="14" t="inlineStr">
        <is>
          <t>-</t>
        </is>
      </c>
    </row>
    <row r="483" ht="20" customHeight="1">
      <c r="A483" s="58" t="n">
        <v>46274.77470581019</v>
      </c>
      <c r="B483" s="19" t="inlineStr">
        <is>
          <t>3. This Month (Sep 2026)</t>
        </is>
      </c>
      <c r="C483" s="17" t="inlineStr">
        <is>
          <t>Meta Ads (NB PropertyTech Survey Ad 0308)</t>
        </is>
      </c>
      <c r="D483" s="17" t="inlineStr">
        <is>
          <t>Neha Patel (7621910860)</t>
        </is>
      </c>
      <c r="E483" s="17" t="inlineStr">
        <is>
          <t>Prexa Vithalapara</t>
        </is>
      </c>
      <c r="F483" s="17" t="inlineStr">
        <is>
          <t>New</t>
        </is>
      </c>
      <c r="G483" s="17" t="inlineStr">
        <is>
          <t>Not Assigned</t>
        </is>
      </c>
      <c r="H483" s="17" t="inlineStr">
        <is>
          <t>N/A (Not Assigned)</t>
        </is>
      </c>
      <c r="I483" s="17" t="inlineStr">
        <is>
          <t>-</t>
        </is>
      </c>
    </row>
    <row r="484" ht="20" customHeight="1">
      <c r="A484" s="57" t="n">
        <v>46274.77470564815</v>
      </c>
      <c r="B484" s="16" t="inlineStr">
        <is>
          <t>3. This Month (Sep 2026)</t>
        </is>
      </c>
      <c r="C484" s="14" t="inlineStr">
        <is>
          <t>Meta Ads (NB PropertyTech Survey Ad 0308)</t>
        </is>
      </c>
      <c r="D484" s="14" t="inlineStr">
        <is>
          <t>Ashish Singh (8602042499)</t>
        </is>
      </c>
      <c r="E484" s="14" t="inlineStr">
        <is>
          <t>Zeel Mudaliyar</t>
        </is>
      </c>
      <c r="F484" s="14" t="inlineStr">
        <is>
          <t>New</t>
        </is>
      </c>
      <c r="G484" s="14" t="inlineStr">
        <is>
          <t>Not Assigned</t>
        </is>
      </c>
      <c r="H484" s="14" t="inlineStr">
        <is>
          <t>N/A (Not Assigned)</t>
        </is>
      </c>
      <c r="I484" s="14" t="inlineStr">
        <is>
          <t>-</t>
        </is>
      </c>
    </row>
    <row r="485" ht="20" customHeight="1">
      <c r="A485" s="58" t="n">
        <v>46274.77470554398</v>
      </c>
      <c r="B485" s="19" t="inlineStr">
        <is>
          <t>3. This Month (Sep 2026)</t>
        </is>
      </c>
      <c r="C485" s="17" t="inlineStr">
        <is>
          <t>Meta Ads (NB PropertyTech Survey Ad 0308)</t>
        </is>
      </c>
      <c r="D485" s="17" t="inlineStr">
        <is>
          <t>Jagruti Darji (6354974203)</t>
        </is>
      </c>
      <c r="E485" s="17" t="inlineStr">
        <is>
          <t>Prexa Vithalapara</t>
        </is>
      </c>
      <c r="F485" s="17" t="inlineStr">
        <is>
          <t>New</t>
        </is>
      </c>
      <c r="G485" s="17" t="inlineStr">
        <is>
          <t>Not Assigned</t>
        </is>
      </c>
      <c r="H485" s="17" t="inlineStr">
        <is>
          <t>N/A (Not Assigned)</t>
        </is>
      </c>
      <c r="I485" s="17" t="inlineStr">
        <is>
          <t>-</t>
        </is>
      </c>
    </row>
    <row r="486" ht="20" customHeight="1">
      <c r="A486" s="57" t="n">
        <v>46274.77470537037</v>
      </c>
      <c r="B486" s="16" t="inlineStr">
        <is>
          <t>3. This Month (Sep 2026)</t>
        </is>
      </c>
      <c r="C486" s="14" t="inlineStr">
        <is>
          <t>Meta Ads (NB PropertyTech Survey Ad 0308)</t>
        </is>
      </c>
      <c r="D486" s="14" t="inlineStr">
        <is>
          <t>Trupti Shah (9428914696)</t>
        </is>
      </c>
      <c r="E486" s="14" t="inlineStr">
        <is>
          <t>Prexa Vithalapara</t>
        </is>
      </c>
      <c r="F486" s="14" t="inlineStr">
        <is>
          <t>New</t>
        </is>
      </c>
      <c r="G486" s="14" t="inlineStr">
        <is>
          <t>Not Assigned</t>
        </is>
      </c>
      <c r="H486" s="14" t="inlineStr">
        <is>
          <t>N/A (Not Assigned)</t>
        </is>
      </c>
      <c r="I486" s="14" t="inlineStr">
        <is>
          <t>-</t>
        </is>
      </c>
    </row>
    <row r="487" ht="20" customHeight="1">
      <c r="A487" s="58" t="n">
        <v>46274.7747052662</v>
      </c>
      <c r="B487" s="19" t="inlineStr">
        <is>
          <t>3. This Month (Sep 2026)</t>
        </is>
      </c>
      <c r="C487" s="17" t="inlineStr">
        <is>
          <t>Meta Ads (NB PropertyTech Survey Ad 0308)</t>
        </is>
      </c>
      <c r="D487" s="17" t="inlineStr">
        <is>
          <t>Parin (9586325122)</t>
        </is>
      </c>
      <c r="E487" s="17" t="inlineStr">
        <is>
          <t>Prexa Vithalapara</t>
        </is>
      </c>
      <c r="F487" s="17" t="inlineStr">
        <is>
          <t>Interested</t>
        </is>
      </c>
      <c r="G487" s="17" t="inlineStr">
        <is>
          <t>Not Assigned</t>
        </is>
      </c>
      <c r="H487" s="17" t="inlineStr">
        <is>
          <t>N/A (Not Assigned)</t>
        </is>
      </c>
      <c r="I487" s="17" t="inlineStr">
        <is>
          <t>---</t>
        </is>
      </c>
    </row>
    <row r="488" ht="20" customHeight="1">
      <c r="A488" s="57" t="n">
        <v>46274.77470516204</v>
      </c>
      <c r="B488" s="16" t="inlineStr">
        <is>
          <t>3. This Month (Sep 2026)</t>
        </is>
      </c>
      <c r="C488" s="14" t="inlineStr">
        <is>
          <t>Meta Ads (NB PropertyTech Survey Ad 0308)</t>
        </is>
      </c>
      <c r="D488" s="14" t="inlineStr">
        <is>
          <t>Bhavya (9737335073)</t>
        </is>
      </c>
      <c r="E488" s="14" t="inlineStr">
        <is>
          <t>Prexa Vithalapara</t>
        </is>
      </c>
      <c r="F488" s="14" t="inlineStr">
        <is>
          <t>New</t>
        </is>
      </c>
      <c r="G488" s="14" t="inlineStr">
        <is>
          <t>Not Assigned</t>
        </is>
      </c>
      <c r="H488" s="14" t="inlineStr">
        <is>
          <t>N/A (Not Assigned)</t>
        </is>
      </c>
      <c r="I488" s="14" t="inlineStr">
        <is>
          <t>-</t>
        </is>
      </c>
    </row>
    <row r="489" ht="20" customHeight="1">
      <c r="A489" s="58" t="n">
        <v>46274.77470505787</v>
      </c>
      <c r="B489" s="19" t="inlineStr">
        <is>
          <t>3. This Month (Sep 2026)</t>
        </is>
      </c>
      <c r="C489" s="17" t="inlineStr">
        <is>
          <t>Meta Ads (NB PropertyTech Survey Ad 0308)</t>
        </is>
      </c>
      <c r="D489" s="17" t="inlineStr">
        <is>
          <t>Kalpna Makwana (8780112663)</t>
        </is>
      </c>
      <c r="E489" s="17" t="inlineStr">
        <is>
          <t>Prexa Vithalapara</t>
        </is>
      </c>
      <c r="F489" s="17" t="inlineStr">
        <is>
          <t>New</t>
        </is>
      </c>
      <c r="G489" s="17" t="inlineStr">
        <is>
          <t>Not Assigned</t>
        </is>
      </c>
      <c r="H489" s="17" t="inlineStr">
        <is>
          <t>N/A (Not Assigned)</t>
        </is>
      </c>
      <c r="I489" s="17" t="inlineStr">
        <is>
          <t>otpion work out krva</t>
        </is>
      </c>
    </row>
    <row r="490" ht="20" customHeight="1">
      <c r="A490" s="57" t="n">
        <v>46274.77470495371</v>
      </c>
      <c r="B490" s="16" t="inlineStr">
        <is>
          <t>3. This Month (Sep 2026)</t>
        </is>
      </c>
      <c r="C490" s="14" t="inlineStr">
        <is>
          <t>Meta Ads (NB PropertyTech Survey Ad 0308)</t>
        </is>
      </c>
      <c r="D490" s="14" t="inlineStr">
        <is>
          <t>Naman Singh (7875135770)</t>
        </is>
      </c>
      <c r="E490" s="14" t="inlineStr">
        <is>
          <t>Zeel Mudaliyar</t>
        </is>
      </c>
      <c r="F490" s="14" t="inlineStr">
        <is>
          <t>New</t>
        </is>
      </c>
      <c r="G490" s="14" t="inlineStr">
        <is>
          <t>Not Assigned</t>
        </is>
      </c>
      <c r="H490" s="14" t="inlineStr">
        <is>
          <t>N/A (Not Assigned)</t>
        </is>
      </c>
      <c r="I490" s="14" t="inlineStr">
        <is>
          <t>Call not respondig</t>
        </is>
      </c>
    </row>
    <row r="491" ht="20" customHeight="1">
      <c r="A491" s="58" t="n">
        <v>46274.77470484954</v>
      </c>
      <c r="B491" s="19" t="inlineStr">
        <is>
          <t>3. This Month (Sep 2026)</t>
        </is>
      </c>
      <c r="C491" s="17" t="inlineStr">
        <is>
          <t>Meta Ads (NB PropertyTech Survey Ad 0308)</t>
        </is>
      </c>
      <c r="D491" s="17" t="inlineStr">
        <is>
          <t>Shah Rajesh (7016485688)</t>
        </is>
      </c>
      <c r="E491" s="17" t="inlineStr">
        <is>
          <t>Unassigned</t>
        </is>
      </c>
      <c r="F491" s="17" t="inlineStr">
        <is>
          <t>CNR (Could Not Reach)</t>
        </is>
      </c>
      <c r="G491" s="17" t="inlineStr">
        <is>
          <t>Not Assigned</t>
        </is>
      </c>
      <c r="H491" s="17" t="inlineStr">
        <is>
          <t>N/A (Not Assigned)</t>
        </is>
      </c>
      <c r="I491" s="17" t="inlineStr">
        <is>
          <t>-</t>
        </is>
      </c>
    </row>
    <row r="492" ht="20" customHeight="1">
      <c r="A492" s="57" t="n">
        <v>46274.77470474537</v>
      </c>
      <c r="B492" s="16" t="inlineStr">
        <is>
          <t>3. This Month (Sep 2026)</t>
        </is>
      </c>
      <c r="C492" s="14" t="inlineStr">
        <is>
          <t>Meta Ads (NB PropertyTech Survey Ad 0308)</t>
        </is>
      </c>
      <c r="D492" s="14" t="inlineStr">
        <is>
          <t>Kirankumar S Parmar (9998033509)</t>
        </is>
      </c>
      <c r="E492" s="14" t="inlineStr">
        <is>
          <t>Zeel Mudaliyar</t>
        </is>
      </c>
      <c r="F492" s="14" t="inlineStr">
        <is>
          <t>New</t>
        </is>
      </c>
      <c r="G492" s="14" t="inlineStr">
        <is>
          <t>Not Assigned</t>
        </is>
      </c>
      <c r="H492" s="14" t="inlineStr">
        <is>
          <t>N/A (Not Assigned)</t>
        </is>
      </c>
      <c r="I492" s="14" t="inlineStr">
        <is>
          <t>-</t>
        </is>
      </c>
    </row>
    <row r="493" ht="20" customHeight="1">
      <c r="A493" s="58" t="n">
        <v>46274.77470452547</v>
      </c>
      <c r="B493" s="19" t="inlineStr">
        <is>
          <t>3. This Month (Sep 2026)</t>
        </is>
      </c>
      <c r="C493" s="17" t="inlineStr">
        <is>
          <t>Meta Ads (NB PropertyTech Survey Ad 0308)</t>
        </is>
      </c>
      <c r="D493" s="17" t="inlineStr">
        <is>
          <t>Riddhi Mewada (7043617780)</t>
        </is>
      </c>
      <c r="E493" s="17" t="inlineStr">
        <is>
          <t>Zeel Mudaliyar</t>
        </is>
      </c>
      <c r="F493" s="17" t="inlineStr">
        <is>
          <t>New</t>
        </is>
      </c>
      <c r="G493" s="17" t="inlineStr">
        <is>
          <t>Not Assigned</t>
        </is>
      </c>
      <c r="H493" s="17" t="inlineStr">
        <is>
          <t>N/A (Not Assigned)</t>
        </is>
      </c>
      <c r="I493" s="17" t="inlineStr">
        <is>
          <t>amne kese amnu buget ochu che</t>
        </is>
      </c>
    </row>
    <row r="494" ht="20" customHeight="1">
      <c r="A494" s="57" t="n">
        <v>46274.7747044213</v>
      </c>
      <c r="B494" s="16" t="inlineStr">
        <is>
          <t>3. This Month (Sep 2026)</t>
        </is>
      </c>
      <c r="C494" s="14" t="inlineStr">
        <is>
          <t>Meta Ads (NB PropertyTech Survey Ad 0308)</t>
        </is>
      </c>
      <c r="D494" s="14" t="inlineStr">
        <is>
          <t>Samaarath Talwar (8368774805)</t>
        </is>
      </c>
      <c r="E494" s="14" t="inlineStr">
        <is>
          <t>Prexa Vithalapara</t>
        </is>
      </c>
      <c r="F494" s="14" t="inlineStr">
        <is>
          <t>New</t>
        </is>
      </c>
      <c r="G494" s="14" t="inlineStr">
        <is>
          <t>Not Assigned</t>
        </is>
      </c>
      <c r="H494" s="14" t="inlineStr">
        <is>
          <t>N/A (Not Assigned)</t>
        </is>
      </c>
      <c r="I494" s="14" t="inlineStr">
        <is>
          <t>-</t>
        </is>
      </c>
    </row>
    <row r="495" ht="20" customHeight="1">
      <c r="A495" s="58" t="n">
        <v>46274.77470430556</v>
      </c>
      <c r="B495" s="19" t="inlineStr">
        <is>
          <t>3. This Month (Sep 2026)</t>
        </is>
      </c>
      <c r="C495" s="17" t="inlineStr">
        <is>
          <t>Meta Ads (NB PropertyTech Survey Ad 0308)</t>
        </is>
      </c>
      <c r="D495" s="17" t="inlineStr">
        <is>
          <t>Mihir (7048377376)</t>
        </is>
      </c>
      <c r="E495" s="17" t="inlineStr">
        <is>
          <t>Prexa Vithalapara</t>
        </is>
      </c>
      <c r="F495" s="17" t="inlineStr">
        <is>
          <t>New</t>
        </is>
      </c>
      <c r="G495" s="17" t="inlineStr">
        <is>
          <t>Not Assigned</t>
        </is>
      </c>
      <c r="H495" s="17" t="inlineStr">
        <is>
          <t>N/A (Not Assigned)</t>
        </is>
      </c>
      <c r="I495" s="17" t="inlineStr">
        <is>
          <t>-</t>
        </is>
      </c>
    </row>
    <row r="496" ht="20" customHeight="1">
      <c r="A496" s="57" t="n">
        <v>46274.77470417824</v>
      </c>
      <c r="B496" s="16" t="inlineStr">
        <is>
          <t>3. This Month (Sep 2026)</t>
        </is>
      </c>
      <c r="C496" s="14" t="inlineStr">
        <is>
          <t>Meta Ads (NB PropertyTech Survey Ad 0308)</t>
        </is>
      </c>
      <c r="D496" s="14" t="inlineStr">
        <is>
          <t>Gunjan Sharma (9560276709)</t>
        </is>
      </c>
      <c r="E496" s="14" t="inlineStr">
        <is>
          <t>Zeel Mudaliyar</t>
        </is>
      </c>
      <c r="F496" s="14" t="inlineStr">
        <is>
          <t>New</t>
        </is>
      </c>
      <c r="G496" s="14" t="inlineStr">
        <is>
          <t>Not Assigned</t>
        </is>
      </c>
      <c r="H496" s="14" t="inlineStr">
        <is>
          <t>N/A (Not Assigned)</t>
        </is>
      </c>
      <c r="I496" s="14" t="inlineStr">
        <is>
          <t>-</t>
        </is>
      </c>
    </row>
    <row r="497" ht="20" customHeight="1">
      <c r="A497" s="58" t="n">
        <v>46274.77470402778</v>
      </c>
      <c r="B497" s="19" t="inlineStr">
        <is>
          <t>3. This Month (Sep 2026)</t>
        </is>
      </c>
      <c r="C497" s="17" t="inlineStr">
        <is>
          <t>Meta Ads (NB PropertyTech Survey Ad 0308)</t>
        </is>
      </c>
      <c r="D497" s="17" t="inlineStr">
        <is>
          <t>Unicorn_45y (6351762120)</t>
        </is>
      </c>
      <c r="E497" s="17" t="inlineStr">
        <is>
          <t>Zeel Mudaliyar</t>
        </is>
      </c>
      <c r="F497" s="17" t="inlineStr">
        <is>
          <t>New</t>
        </is>
      </c>
      <c r="G497" s="17" t="inlineStr">
        <is>
          <t>Not Assigned</t>
        </is>
      </c>
      <c r="H497" s="17" t="inlineStr">
        <is>
          <t>N/A (Not Assigned)</t>
        </is>
      </c>
      <c r="I497" s="17" t="inlineStr">
        <is>
          <t>-</t>
        </is>
      </c>
    </row>
    <row r="498" ht="20" customHeight="1">
      <c r="A498" s="57" t="n">
        <v>46274.77470391204</v>
      </c>
      <c r="B498" s="16" t="inlineStr">
        <is>
          <t>3. This Month (Sep 2026)</t>
        </is>
      </c>
      <c r="C498" s="14" t="inlineStr">
        <is>
          <t>Meta Ads (NB PropertyTech Survey Ad 0308)</t>
        </is>
      </c>
      <c r="D498" s="14" t="inlineStr">
        <is>
          <t>Patel Bijal (9898176838)</t>
        </is>
      </c>
      <c r="E498" s="14" t="inlineStr">
        <is>
          <t>Prexa Vithalapara</t>
        </is>
      </c>
      <c r="F498" s="14" t="inlineStr">
        <is>
          <t>New</t>
        </is>
      </c>
      <c r="G498" s="14" t="inlineStr">
        <is>
          <t>Not Assigned</t>
        </is>
      </c>
      <c r="H498" s="14" t="inlineStr">
        <is>
          <t>N/A (Not Assigned)</t>
        </is>
      </c>
      <c r="I498" s="14" t="inlineStr">
        <is>
          <t>-</t>
        </is>
      </c>
    </row>
    <row r="499" ht="20" customHeight="1">
      <c r="A499" s="58" t="n">
        <v>46274.7747037963</v>
      </c>
      <c r="B499" s="19" t="inlineStr">
        <is>
          <t>3. This Month (Sep 2026)</t>
        </is>
      </c>
      <c r="C499" s="17" t="inlineStr">
        <is>
          <t>Meta Ads (NB PropertyTech Survey Ad 0308)</t>
        </is>
      </c>
      <c r="D499" s="17" t="inlineStr">
        <is>
          <t>Tanuj Nandwana (9265426556)</t>
        </is>
      </c>
      <c r="E499" s="17" t="inlineStr">
        <is>
          <t>Prexa Vithalapara</t>
        </is>
      </c>
      <c r="F499" s="17" t="inlineStr">
        <is>
          <t>New</t>
        </is>
      </c>
      <c r="G499" s="17" t="inlineStr">
        <is>
          <t>Not Assigned</t>
        </is>
      </c>
      <c r="H499" s="17" t="inlineStr">
        <is>
          <t>N/A (Not Assigned)</t>
        </is>
      </c>
      <c r="I499" s="17" t="inlineStr">
        <is>
          <t>-</t>
        </is>
      </c>
    </row>
    <row r="500" ht="20" customHeight="1">
      <c r="A500" s="57" t="n">
        <v>46274.77470353009</v>
      </c>
      <c r="B500" s="16" t="inlineStr">
        <is>
          <t>3. This Month (Sep 2026)</t>
        </is>
      </c>
      <c r="C500" s="14" t="inlineStr">
        <is>
          <t>Meta Ads (NB PropertyTech Survey Ad 0308)</t>
        </is>
      </c>
      <c r="D500" s="14" t="inlineStr">
        <is>
          <t>Puja Patel (9499857810)</t>
        </is>
      </c>
      <c r="E500" s="14" t="inlineStr">
        <is>
          <t>Prexa Vithalapara</t>
        </is>
      </c>
      <c r="F500" s="14" t="inlineStr">
        <is>
          <t>New</t>
        </is>
      </c>
      <c r="G500" s="14" t="inlineStr">
        <is>
          <t>Not Assigned</t>
        </is>
      </c>
      <c r="H500" s="14" t="inlineStr">
        <is>
          <t>N/A (Not Assigned)</t>
        </is>
      </c>
      <c r="I500" s="14" t="inlineStr">
        <is>
          <t>-</t>
        </is>
      </c>
    </row>
    <row r="501" ht="20" customHeight="1">
      <c r="A501" s="58" t="n">
        <v>46274.77470342592</v>
      </c>
      <c r="B501" s="19" t="inlineStr">
        <is>
          <t>3. This Month (Sep 2026)</t>
        </is>
      </c>
      <c r="C501" s="17" t="inlineStr">
        <is>
          <t>Meta Ads (NB PropertyTech Survey Ad 0308)</t>
        </is>
      </c>
      <c r="D501" s="17" t="inlineStr">
        <is>
          <t>Dimple Jangid (7073367167)</t>
        </is>
      </c>
      <c r="E501" s="17" t="inlineStr">
        <is>
          <t>Prexa Vithalapara</t>
        </is>
      </c>
      <c r="F501" s="17" t="inlineStr">
        <is>
          <t>Rejected / Lost</t>
        </is>
      </c>
      <c r="G501" s="17" t="inlineStr">
        <is>
          <t>Not Assigned</t>
        </is>
      </c>
      <c r="H501" s="17" t="inlineStr">
        <is>
          <t>N/A (Not Assigned)</t>
        </is>
      </c>
      <c r="I501" s="17" t="inlineStr">
        <is>
          <t>-</t>
        </is>
      </c>
    </row>
    <row r="502" ht="20" customHeight="1">
      <c r="A502" s="57" t="n">
        <v>46274.77470332176</v>
      </c>
      <c r="B502" s="16" t="inlineStr">
        <is>
          <t>3. This Month (Sep 2026)</t>
        </is>
      </c>
      <c r="C502" s="14" t="inlineStr">
        <is>
          <t>Meta Ads (NB PropertyTech Survey Ad 0308)</t>
        </is>
      </c>
      <c r="D502" s="14" t="inlineStr">
        <is>
          <t>Poonam Sharma (9675830933)</t>
        </is>
      </c>
      <c r="E502" s="14" t="inlineStr">
        <is>
          <t>Prexa Vithalapara</t>
        </is>
      </c>
      <c r="F502" s="14" t="inlineStr">
        <is>
          <t>Rejected / Lost</t>
        </is>
      </c>
      <c r="G502" s="14" t="inlineStr">
        <is>
          <t>Not Assigned</t>
        </is>
      </c>
      <c r="H502" s="14" t="inlineStr">
        <is>
          <t>N/A (Not Assigned)</t>
        </is>
      </c>
      <c r="I502" s="14" t="inlineStr">
        <is>
          <t>-</t>
        </is>
      </c>
    </row>
    <row r="503" ht="20" customHeight="1">
      <c r="A503" s="58" t="n">
        <v>46274.77470296296</v>
      </c>
      <c r="B503" s="19" t="inlineStr">
        <is>
          <t>3. This Month (Sep 2026)</t>
        </is>
      </c>
      <c r="C503" s="17" t="inlineStr">
        <is>
          <t>Meta Ads (NB PropertyTech Survey Ad 0308)</t>
        </is>
      </c>
      <c r="D503" s="17" t="inlineStr">
        <is>
          <t>Hetal Pandya (8141905252)</t>
        </is>
      </c>
      <c r="E503" s="17" t="inlineStr">
        <is>
          <t>Prexa Vithalapara</t>
        </is>
      </c>
      <c r="F503" s="17" t="inlineStr">
        <is>
          <t>New</t>
        </is>
      </c>
      <c r="G503" s="17" t="inlineStr">
        <is>
          <t>Not Assigned</t>
        </is>
      </c>
      <c r="H503" s="17" t="inlineStr">
        <is>
          <t>N/A (Not Assigned)</t>
        </is>
      </c>
      <c r="I503" s="17" t="inlineStr">
        <is>
          <t>-</t>
        </is>
      </c>
    </row>
    <row r="504" ht="20" customHeight="1">
      <c r="A504" s="57" t="n">
        <v>46274.77470277778</v>
      </c>
      <c r="B504" s="16" t="inlineStr">
        <is>
          <t>3. This Month (Sep 2026)</t>
        </is>
      </c>
      <c r="C504" s="14" t="inlineStr">
        <is>
          <t>Meta Ads (NB PropertyTech Survey Ad 0308)</t>
        </is>
      </c>
      <c r="D504" s="14" t="inlineStr">
        <is>
          <t>Akhja Jaysukh (8238422249)</t>
        </is>
      </c>
      <c r="E504" s="14" t="inlineStr">
        <is>
          <t>Prexa Vithalapara</t>
        </is>
      </c>
      <c r="F504" s="14" t="inlineStr">
        <is>
          <t>New</t>
        </is>
      </c>
      <c r="G504" s="14" t="inlineStr">
        <is>
          <t>Not Assigned</t>
        </is>
      </c>
      <c r="H504" s="14" t="inlineStr">
        <is>
          <t>N/A (Not Assigned)</t>
        </is>
      </c>
      <c r="I504" s="14" t="inlineStr">
        <is>
          <t>-</t>
        </is>
      </c>
    </row>
    <row r="505" ht="20" customHeight="1">
      <c r="A505" s="58" t="n">
        <v>46274.77470266203</v>
      </c>
      <c r="B505" s="19" t="inlineStr">
        <is>
          <t>3. This Month (Sep 2026)</t>
        </is>
      </c>
      <c r="C505" s="17" t="inlineStr">
        <is>
          <t>Meta Ads (NB PropertyTech Survey Ad 0308)</t>
        </is>
      </c>
      <c r="D505" s="17" t="inlineStr">
        <is>
          <t>Riya Solanki (7383411400)</t>
        </is>
      </c>
      <c r="E505" s="17" t="inlineStr">
        <is>
          <t>Prexa Vithalapara</t>
        </is>
      </c>
      <c r="F505" s="17" t="inlineStr">
        <is>
          <t>New</t>
        </is>
      </c>
      <c r="G505" s="17" t="inlineStr">
        <is>
          <t>Not Assigned</t>
        </is>
      </c>
      <c r="H505" s="17" t="inlineStr">
        <is>
          <t>N/A (Not Assigned)</t>
        </is>
      </c>
      <c r="I505" s="17" t="inlineStr">
        <is>
          <t>-</t>
        </is>
      </c>
    </row>
    <row r="506" ht="20" customHeight="1">
      <c r="A506" s="57" t="n">
        <v>46274.77470255787</v>
      </c>
      <c r="B506" s="16" t="inlineStr">
        <is>
          <t>3. This Month (Sep 2026)</t>
        </is>
      </c>
      <c r="C506" s="14" t="inlineStr">
        <is>
          <t>Meta Ads (NB PropertyTech Survey Ad 0308)</t>
        </is>
      </c>
      <c r="D506" s="14" t="inlineStr">
        <is>
          <t>Krishna (9104861078)</t>
        </is>
      </c>
      <c r="E506" s="14" t="inlineStr">
        <is>
          <t>Unassigned</t>
        </is>
      </c>
      <c r="F506" s="14" t="inlineStr">
        <is>
          <t>CNR (Could Not Reach)</t>
        </is>
      </c>
      <c r="G506" s="14" t="inlineStr">
        <is>
          <t>Not Assigned</t>
        </is>
      </c>
      <c r="H506" s="14" t="inlineStr">
        <is>
          <t>N/A (Not Assigned)</t>
        </is>
      </c>
      <c r="I506" s="14" t="inlineStr">
        <is>
          <t>-</t>
        </is>
      </c>
    </row>
    <row r="507" ht="20" customHeight="1">
      <c r="A507" s="58" t="n">
        <v>46274.77470239584</v>
      </c>
      <c r="B507" s="19" t="inlineStr">
        <is>
          <t>3. This Month (Sep 2026)</t>
        </is>
      </c>
      <c r="C507" s="17" t="inlineStr">
        <is>
          <t>Meta Ads (NB PropertyTech Survey Ad 0308)</t>
        </is>
      </c>
      <c r="D507" s="17" t="inlineStr">
        <is>
          <t>Mmii (9979488184)</t>
        </is>
      </c>
      <c r="E507" s="17" t="inlineStr">
        <is>
          <t>Prexa Vithalapara</t>
        </is>
      </c>
      <c r="F507" s="17" t="inlineStr">
        <is>
          <t>New</t>
        </is>
      </c>
      <c r="G507" s="17" t="inlineStr">
        <is>
          <t>Not Assigned</t>
        </is>
      </c>
      <c r="H507" s="17" t="inlineStr">
        <is>
          <t>N/A (Not Assigned)</t>
        </is>
      </c>
      <c r="I507" s="17" t="inlineStr">
        <is>
          <t>-</t>
        </is>
      </c>
    </row>
    <row r="508" ht="20" customHeight="1">
      <c r="A508" s="57" t="n">
        <v>46274.77470224537</v>
      </c>
      <c r="B508" s="16" t="inlineStr">
        <is>
          <t>3. This Month (Sep 2026)</t>
        </is>
      </c>
      <c r="C508" s="14" t="inlineStr">
        <is>
          <t>Meta Ads (NB PropertyTech Survey Ad 0308)</t>
        </is>
      </c>
      <c r="D508" s="14" t="inlineStr">
        <is>
          <t>Prakruti • Personal Brand Strategist (9033657599)</t>
        </is>
      </c>
      <c r="E508" s="14" t="inlineStr">
        <is>
          <t>Unassigned</t>
        </is>
      </c>
      <c r="F508" s="14" t="inlineStr">
        <is>
          <t>Sales</t>
        </is>
      </c>
      <c r="G508" s="14" t="inlineStr">
        <is>
          <t>Rakesh Jadav</t>
        </is>
      </c>
      <c r="H508" s="14" t="inlineStr">
        <is>
          <t>Re-Followup</t>
        </is>
      </c>
      <c r="I508" s="14" t="inlineStr">
        <is>
          <t>Req 2BHK, furnised, Gota, 25k Budget, family and 1 pet. | Transfer: Req 2BHK, furnised, Gota, 25k Budget, family and 1 pet. | Transfer Note: Req 2BHK, furnised, Gota, 25k Budget, family and 1 pet. | [Telecaller Key Points]: Req 2BHK, furnised, Gota, 25k Budget, family and 1 pet.</t>
        </is>
      </c>
    </row>
    <row r="509" ht="20" customHeight="1">
      <c r="A509" s="58" t="n">
        <v>46274.77470208333</v>
      </c>
      <c r="B509" s="19" t="inlineStr">
        <is>
          <t>3. This Month (Sep 2026)</t>
        </is>
      </c>
      <c r="C509" s="17" t="inlineStr">
        <is>
          <t>Meta Ads (NB PropertyTech Survey Ad 0308)</t>
        </is>
      </c>
      <c r="D509" s="17" t="inlineStr">
        <is>
          <t>Ajay Rathore (8238702589)</t>
        </is>
      </c>
      <c r="E509" s="17" t="inlineStr">
        <is>
          <t>Unassigned</t>
        </is>
      </c>
      <c r="F509" s="17" t="inlineStr">
        <is>
          <t>CNR (Could Not Reach)</t>
        </is>
      </c>
      <c r="G509" s="17" t="inlineStr">
        <is>
          <t>Not Assigned</t>
        </is>
      </c>
      <c r="H509" s="17" t="inlineStr">
        <is>
          <t>N/A (Not Assigned)</t>
        </is>
      </c>
      <c r="I509" s="17" t="inlineStr">
        <is>
          <t>Req - 2/3bhk budget-20 Location- gota vaishnovdevi</t>
        </is>
      </c>
    </row>
    <row r="510" ht="20" customHeight="1">
      <c r="A510" s="57" t="n">
        <v>46274.77470194444</v>
      </c>
      <c r="B510" s="16" t="inlineStr">
        <is>
          <t>3. This Month (Sep 2026)</t>
        </is>
      </c>
      <c r="C510" s="14" t="inlineStr">
        <is>
          <t>Meta Ads (NB PropertyTech Survey Ad 0308)</t>
        </is>
      </c>
      <c r="D510" s="14" t="inlineStr">
        <is>
          <t>Chirag Agrawal (9104547215)</t>
        </is>
      </c>
      <c r="E510" s="14" t="inlineStr">
        <is>
          <t>Prexa Vithalapara</t>
        </is>
      </c>
      <c r="F510" s="14" t="inlineStr">
        <is>
          <t>New</t>
        </is>
      </c>
      <c r="G510" s="14" t="inlineStr">
        <is>
          <t>Not Assigned</t>
        </is>
      </c>
      <c r="H510" s="14" t="inlineStr">
        <is>
          <t>N/A (Not Assigned)</t>
        </is>
      </c>
      <c r="I510" s="14" t="inlineStr">
        <is>
          <t>-</t>
        </is>
      </c>
    </row>
    <row r="511" ht="20" customHeight="1">
      <c r="A511" s="58" t="n">
        <v>46274.77470184028</v>
      </c>
      <c r="B511" s="19" t="inlineStr">
        <is>
          <t>3. This Month (Sep 2026)</t>
        </is>
      </c>
      <c r="C511" s="17" t="inlineStr">
        <is>
          <t>Meta Ads (NB PropertyTech Survey Ad 0308)</t>
        </is>
      </c>
      <c r="D511" s="17" t="inlineStr">
        <is>
          <t>Hitendra Chothani (9979554573)</t>
        </is>
      </c>
      <c r="E511" s="17" t="inlineStr">
        <is>
          <t>Zeel Mudaliyar</t>
        </is>
      </c>
      <c r="F511" s="17" t="inlineStr">
        <is>
          <t>New</t>
        </is>
      </c>
      <c r="G511" s="17" t="inlineStr">
        <is>
          <t>Not Assigned</t>
        </is>
      </c>
      <c r="H511" s="17" t="inlineStr">
        <is>
          <t>N/A (Not Assigned)</t>
        </is>
      </c>
      <c r="I511" s="17" t="inlineStr">
        <is>
          <t>-</t>
        </is>
      </c>
    </row>
    <row r="512" ht="20" customHeight="1">
      <c r="A512" s="57" t="n">
        <v>46274.77470173611</v>
      </c>
      <c r="B512" s="16" t="inlineStr">
        <is>
          <t>3. This Month (Sep 2026)</t>
        </is>
      </c>
      <c r="C512" s="14" t="inlineStr">
        <is>
          <t>Meta Ads (NB PropertyTech Survey Ad 0308)</t>
        </is>
      </c>
      <c r="D512" s="14" t="inlineStr">
        <is>
          <t>Ms. Mv (7600163565)</t>
        </is>
      </c>
      <c r="E512" s="14" t="inlineStr">
        <is>
          <t>Zeel Mudaliyar</t>
        </is>
      </c>
      <c r="F512" s="14" t="inlineStr">
        <is>
          <t>New</t>
        </is>
      </c>
      <c r="G512" s="14" t="inlineStr">
        <is>
          <t>Not Assigned</t>
        </is>
      </c>
      <c r="H512" s="14" t="inlineStr">
        <is>
          <t>N/A (Not Assigned)</t>
        </is>
      </c>
      <c r="I512" s="14" t="inlineStr">
        <is>
          <t>-</t>
        </is>
      </c>
    </row>
    <row r="513" ht="20" customHeight="1">
      <c r="A513" s="58" t="n">
        <v>46274.77470149306</v>
      </c>
      <c r="B513" s="19" t="inlineStr">
        <is>
          <t>3. This Month (Sep 2026)</t>
        </is>
      </c>
      <c r="C513" s="17" t="inlineStr">
        <is>
          <t>Meta Ads (NB PropertyTech Survey Ad 0308)</t>
        </is>
      </c>
      <c r="D513" s="17" t="inlineStr">
        <is>
          <t>Poonam Singh (7984291961)</t>
        </is>
      </c>
      <c r="E513" s="17" t="inlineStr">
        <is>
          <t>Prexa Vithalapara</t>
        </is>
      </c>
      <c r="F513" s="17" t="inlineStr">
        <is>
          <t>New</t>
        </is>
      </c>
      <c r="G513" s="17" t="inlineStr">
        <is>
          <t>Not Assigned</t>
        </is>
      </c>
      <c r="H513" s="17" t="inlineStr">
        <is>
          <t>N/A (Not Assigned)</t>
        </is>
      </c>
      <c r="I513" s="17" t="inlineStr">
        <is>
          <t>-</t>
        </is>
      </c>
    </row>
    <row r="514" ht="20" customHeight="1">
      <c r="A514" s="57" t="n">
        <v>46274.77470137731</v>
      </c>
      <c r="B514" s="16" t="inlineStr">
        <is>
          <t>3. This Month (Sep 2026)</t>
        </is>
      </c>
      <c r="C514" s="14" t="inlineStr">
        <is>
          <t>Meta Ads (NB PropertyTech Survey Ad 0308)</t>
        </is>
      </c>
      <c r="D514" s="14" t="inlineStr">
        <is>
          <t>Bhaumik Parekh (9712966210)</t>
        </is>
      </c>
      <c r="E514" s="14" t="inlineStr">
        <is>
          <t>Unassigned</t>
        </is>
      </c>
      <c r="F514" s="14" t="inlineStr">
        <is>
          <t>CNR (Could Not Reach)</t>
        </is>
      </c>
      <c r="G514" s="14" t="inlineStr">
        <is>
          <t>Not Assigned</t>
        </is>
      </c>
      <c r="H514" s="14" t="inlineStr">
        <is>
          <t>N/A (Not Assigned)</t>
        </is>
      </c>
      <c r="I514" s="14" t="inlineStr">
        <is>
          <t>-</t>
        </is>
      </c>
    </row>
    <row r="515" ht="20" customHeight="1">
      <c r="A515" s="58" t="n">
        <v>46274.77470125</v>
      </c>
      <c r="B515" s="19" t="inlineStr">
        <is>
          <t>3. This Month (Sep 2026)</t>
        </is>
      </c>
      <c r="C515" s="17" t="inlineStr">
        <is>
          <t>Meta Ads (NB PropertyTech Survey Ad 0308)</t>
        </is>
      </c>
      <c r="D515" s="17" t="inlineStr">
        <is>
          <t>Ronak (7779025986)</t>
        </is>
      </c>
      <c r="E515" s="17" t="inlineStr">
        <is>
          <t>Zeel Mudaliyar</t>
        </is>
      </c>
      <c r="F515" s="17" t="inlineStr">
        <is>
          <t>New</t>
        </is>
      </c>
      <c r="G515" s="17" t="inlineStr">
        <is>
          <t>Not Assigned</t>
        </is>
      </c>
      <c r="H515" s="17" t="inlineStr">
        <is>
          <t>N/A (Not Assigned)</t>
        </is>
      </c>
      <c r="I515" s="17" t="inlineStr">
        <is>
          <t>-</t>
        </is>
      </c>
    </row>
    <row r="516" ht="20" customHeight="1">
      <c r="A516" s="57" t="n">
        <v>46274.7747009838</v>
      </c>
      <c r="B516" s="16" t="inlineStr">
        <is>
          <t>3. This Month (Sep 2026)</t>
        </is>
      </c>
      <c r="C516" s="14" t="inlineStr">
        <is>
          <t>Meta Ads (NB PropertyTech Survey Ad 0308)</t>
        </is>
      </c>
      <c r="D516" s="14" t="inlineStr">
        <is>
          <t>Dhara Vyas (6354755987)</t>
        </is>
      </c>
      <c r="E516" s="14" t="inlineStr">
        <is>
          <t>Unassigned</t>
        </is>
      </c>
      <c r="F516" s="14" t="inlineStr">
        <is>
          <t>CNR (Could Not Reach)</t>
        </is>
      </c>
      <c r="G516" s="14" t="inlineStr">
        <is>
          <t>Not Assigned</t>
        </is>
      </c>
      <c r="H516" s="14" t="inlineStr">
        <is>
          <t>N/A (Not Assigned)</t>
        </is>
      </c>
      <c r="I516" s="14" t="inlineStr">
        <is>
          <t>-</t>
        </is>
      </c>
    </row>
    <row r="517" ht="20" customHeight="1">
      <c r="A517" s="58" t="n">
        <v>46274.77470083333</v>
      </c>
      <c r="B517" s="19" t="inlineStr">
        <is>
          <t>3. This Month (Sep 2026)</t>
        </is>
      </c>
      <c r="C517" s="17" t="inlineStr">
        <is>
          <t>Meta Ads (NB PropertyTech Survey Ad 0308)</t>
        </is>
      </c>
      <c r="D517" s="17" t="inlineStr">
        <is>
          <t>सृष्टि (6354574081)</t>
        </is>
      </c>
      <c r="E517" s="17" t="inlineStr">
        <is>
          <t>Unassigned</t>
        </is>
      </c>
      <c r="F517" s="17" t="inlineStr">
        <is>
          <t>CNR (Could Not Reach)</t>
        </is>
      </c>
      <c r="G517" s="17" t="inlineStr">
        <is>
          <t>Not Assigned</t>
        </is>
      </c>
      <c r="H517" s="17" t="inlineStr">
        <is>
          <t>N/A (Not Assigned)</t>
        </is>
      </c>
      <c r="I517" s="17" t="inlineStr">
        <is>
          <t>-</t>
        </is>
      </c>
    </row>
    <row r="518" ht="20" customHeight="1">
      <c r="A518" s="57" t="n">
        <v>46274.77470061342</v>
      </c>
      <c r="B518" s="16" t="inlineStr">
        <is>
          <t>3. This Month (Sep 2026)</t>
        </is>
      </c>
      <c r="C518" s="14" t="inlineStr">
        <is>
          <t>Meta Ads (NB PropertyTech Survey Ad 0308)</t>
        </is>
      </c>
      <c r="D518" s="14" t="inlineStr">
        <is>
          <t>Ila S Chauhan (9824839011)</t>
        </is>
      </c>
      <c r="E518" s="14" t="inlineStr">
        <is>
          <t>Zeel Mudaliyar</t>
        </is>
      </c>
      <c r="F518" s="14" t="inlineStr">
        <is>
          <t>New</t>
        </is>
      </c>
      <c r="G518" s="14" t="inlineStr">
        <is>
          <t>Not Assigned</t>
        </is>
      </c>
      <c r="H518" s="14" t="inlineStr">
        <is>
          <t>N/A (Not Assigned)</t>
        </is>
      </c>
      <c r="I518" s="14" t="inlineStr">
        <is>
          <t>-</t>
        </is>
      </c>
    </row>
    <row r="519" ht="20" customHeight="1">
      <c r="A519" s="58" t="n">
        <v>46274.77470032407</v>
      </c>
      <c r="B519" s="19" t="inlineStr">
        <is>
          <t>3. This Month (Sep 2026)</t>
        </is>
      </c>
      <c r="C519" s="17" t="inlineStr">
        <is>
          <t>Meta Ads (NB PropertyTech Survey Ad 0308)</t>
        </is>
      </c>
      <c r="D519" s="17" t="inlineStr">
        <is>
          <t>Kunal Lohar (9725144839)</t>
        </is>
      </c>
      <c r="E519" s="17" t="inlineStr">
        <is>
          <t>Prexa Vithalapara</t>
        </is>
      </c>
      <c r="F519" s="17" t="inlineStr">
        <is>
          <t>New</t>
        </is>
      </c>
      <c r="G519" s="17" t="inlineStr">
        <is>
          <t>Not Assigned</t>
        </is>
      </c>
      <c r="H519" s="17" t="inlineStr">
        <is>
          <t>N/A (Not Assigned)</t>
        </is>
      </c>
      <c r="I519" s="17" t="inlineStr">
        <is>
          <t>-</t>
        </is>
      </c>
    </row>
    <row r="520" ht="20" customHeight="1">
      <c r="A520" s="57" t="n">
        <v>46274.77470019676</v>
      </c>
      <c r="B520" s="16" t="inlineStr">
        <is>
          <t>3. This Month (Sep 2026)</t>
        </is>
      </c>
      <c r="C520" s="14" t="inlineStr">
        <is>
          <t>Meta Ads (NB PropertyTech Survey Ad 0308)</t>
        </is>
      </c>
      <c r="D520" s="14" t="inlineStr">
        <is>
          <t>Jitu Desai (9909895276)</t>
        </is>
      </c>
      <c r="E520" s="14" t="inlineStr">
        <is>
          <t>Zeel Mudaliyar</t>
        </is>
      </c>
      <c r="F520" s="14" t="inlineStr">
        <is>
          <t>New</t>
        </is>
      </c>
      <c r="G520" s="14" t="inlineStr">
        <is>
          <t>Not Assigned</t>
        </is>
      </c>
      <c r="H520" s="14" t="inlineStr">
        <is>
          <t>N/A (Not Assigned)</t>
        </is>
      </c>
      <c r="I520" s="14" t="inlineStr">
        <is>
          <t>-</t>
        </is>
      </c>
    </row>
    <row r="521" ht="20" customHeight="1">
      <c r="A521" s="58" t="n">
        <v>46274.77470008102</v>
      </c>
      <c r="B521" s="19" t="inlineStr">
        <is>
          <t>3. This Month (Sep 2026)</t>
        </is>
      </c>
      <c r="C521" s="17" t="inlineStr">
        <is>
          <t>Meta Ads (NB PropertyTech Survey Ad 0308)</t>
        </is>
      </c>
      <c r="D521" s="17" t="inlineStr">
        <is>
          <t>Meet Patel (7990131195)</t>
        </is>
      </c>
      <c r="E521" s="17" t="inlineStr">
        <is>
          <t>Prexa Vithalapara</t>
        </is>
      </c>
      <c r="F521" s="17" t="inlineStr">
        <is>
          <t>New</t>
        </is>
      </c>
      <c r="G521" s="17" t="inlineStr">
        <is>
          <t>Not Assigned</t>
        </is>
      </c>
      <c r="H521" s="17" t="inlineStr">
        <is>
          <t>N/A (Not Assigned)</t>
        </is>
      </c>
      <c r="I521" s="17" t="inlineStr">
        <is>
          <t>-</t>
        </is>
      </c>
    </row>
    <row r="522" ht="20" customHeight="1">
      <c r="A522" s="57" t="n">
        <v>46274.7746999537</v>
      </c>
      <c r="B522" s="16" t="inlineStr">
        <is>
          <t>3. This Month (Sep 2026)</t>
        </is>
      </c>
      <c r="C522" s="14" t="inlineStr">
        <is>
          <t>Meta Ads (NB PropertyTech Survey Ad 0308)</t>
        </is>
      </c>
      <c r="D522" s="14" t="inlineStr">
        <is>
          <t>Vrutti Somani (7096205250)</t>
        </is>
      </c>
      <c r="E522" s="14" t="inlineStr">
        <is>
          <t>Prexa Vithalapara</t>
        </is>
      </c>
      <c r="F522" s="14" t="inlineStr">
        <is>
          <t>New</t>
        </is>
      </c>
      <c r="G522" s="14" t="inlineStr">
        <is>
          <t>Not Assigned</t>
        </is>
      </c>
      <c r="H522" s="14" t="inlineStr">
        <is>
          <t>N/A (Not Assigned)</t>
        </is>
      </c>
      <c r="I522" s="14" t="inlineStr">
        <is>
          <t>-</t>
        </is>
      </c>
    </row>
    <row r="523" ht="20" customHeight="1">
      <c r="A523" s="58" t="n">
        <v>46274.77469971065</v>
      </c>
      <c r="B523" s="19" t="inlineStr">
        <is>
          <t>3. This Month (Sep 2026)</t>
        </is>
      </c>
      <c r="C523" s="17" t="inlineStr">
        <is>
          <t>Meta Ads (NB PropertyTech Survey Ad 0308)</t>
        </is>
      </c>
      <c r="D523" s="17" t="inlineStr">
        <is>
          <t>Karansinh Chauhan (9979222255)</t>
        </is>
      </c>
      <c r="E523" s="17" t="inlineStr">
        <is>
          <t>Zeel Mudaliyar</t>
        </is>
      </c>
      <c r="F523" s="17" t="inlineStr">
        <is>
          <t>New</t>
        </is>
      </c>
      <c r="G523" s="17" t="inlineStr">
        <is>
          <t>Not Assigned</t>
        </is>
      </c>
      <c r="H523" s="17" t="inlineStr">
        <is>
          <t>N/A (Not Assigned)</t>
        </is>
      </c>
      <c r="I523" s="17" t="inlineStr">
        <is>
          <t>-</t>
        </is>
      </c>
    </row>
    <row r="524" ht="20" customHeight="1">
      <c r="A524" s="57" t="n">
        <v>46274.77469923611</v>
      </c>
      <c r="B524" s="16" t="inlineStr">
        <is>
          <t>3. This Month (Sep 2026)</t>
        </is>
      </c>
      <c r="C524" s="14" t="inlineStr">
        <is>
          <t>Meta Ads (NB PropertyTech Survey Ad 0308)</t>
        </is>
      </c>
      <c r="D524" s="14" t="inlineStr">
        <is>
          <t>D.k.lefty (9727170161)</t>
        </is>
      </c>
      <c r="E524" s="14" t="inlineStr">
        <is>
          <t>Zeel Mudaliyar</t>
        </is>
      </c>
      <c r="F524" s="14" t="inlineStr">
        <is>
          <t>New</t>
        </is>
      </c>
      <c r="G524" s="14" t="inlineStr">
        <is>
          <t>Not Assigned</t>
        </is>
      </c>
      <c r="H524" s="14" t="inlineStr">
        <is>
          <t>N/A (Not Assigned)</t>
        </is>
      </c>
      <c r="I524" s="14" t="inlineStr">
        <is>
          <t>-</t>
        </is>
      </c>
    </row>
    <row r="525" ht="20" customHeight="1">
      <c r="A525" s="58" t="n">
        <v>46274.7746991088</v>
      </c>
      <c r="B525" s="19" t="inlineStr">
        <is>
          <t>3. This Month (Sep 2026)</t>
        </is>
      </c>
      <c r="C525" s="17" t="inlineStr">
        <is>
          <t>Meta Ads (NB PropertyTech Survey Ad 0308)</t>
        </is>
      </c>
      <c r="D525" s="17" t="inlineStr">
        <is>
          <t>Priya Hariharan (7045001455)</t>
        </is>
      </c>
      <c r="E525" s="17" t="inlineStr">
        <is>
          <t>Zeel Mudaliyar</t>
        </is>
      </c>
      <c r="F525" s="17" t="inlineStr">
        <is>
          <t>New</t>
        </is>
      </c>
      <c r="G525" s="17" t="inlineStr">
        <is>
          <t>Not Assigned</t>
        </is>
      </c>
      <c r="H525" s="17" t="inlineStr">
        <is>
          <t>N/A (Not Assigned)</t>
        </is>
      </c>
      <c r="I525" s="17" t="inlineStr">
        <is>
          <t>-</t>
        </is>
      </c>
    </row>
    <row r="526" ht="20" customHeight="1">
      <c r="A526" s="57" t="n">
        <v>46274.7746990162</v>
      </c>
      <c r="B526" s="16" t="inlineStr">
        <is>
          <t>3. This Month (Sep 2026)</t>
        </is>
      </c>
      <c r="C526" s="14" t="inlineStr">
        <is>
          <t>Meta Ads (NB PropertyTech Survey Ad 0308)</t>
        </is>
      </c>
      <c r="D526" s="14" t="inlineStr">
        <is>
          <t>Shah Vishal (9998871164)</t>
        </is>
      </c>
      <c r="E526" s="14" t="inlineStr">
        <is>
          <t>Unassigned</t>
        </is>
      </c>
      <c r="F526" s="14" t="inlineStr">
        <is>
          <t>CNR (Could Not Reach)</t>
        </is>
      </c>
      <c r="G526" s="14" t="inlineStr">
        <is>
          <t>Not Assigned</t>
        </is>
      </c>
      <c r="H526" s="14" t="inlineStr">
        <is>
          <t>N/A (Not Assigned)</t>
        </is>
      </c>
      <c r="I526" s="14" t="inlineStr">
        <is>
          <t>amne single person mate joiy che 1/2 bhk vaiisnodevi</t>
        </is>
      </c>
    </row>
    <row r="527" ht="20" customHeight="1">
      <c r="A527" s="58" t="n">
        <v>46274.77469891204</v>
      </c>
      <c r="B527" s="19" t="inlineStr">
        <is>
          <t>3. This Month (Sep 2026)</t>
        </is>
      </c>
      <c r="C527" s="17" t="inlineStr">
        <is>
          <t>Meta Ads (NB PropertyTech Survey Ad 0308)</t>
        </is>
      </c>
      <c r="D527" s="17" t="inlineStr">
        <is>
          <t>Harry G (8305455877)</t>
        </is>
      </c>
      <c r="E527" s="17" t="inlineStr">
        <is>
          <t>Prexa Vithalapara</t>
        </is>
      </c>
      <c r="F527" s="17" t="inlineStr">
        <is>
          <t>New</t>
        </is>
      </c>
      <c r="G527" s="17" t="inlineStr">
        <is>
          <t>Not Assigned</t>
        </is>
      </c>
      <c r="H527" s="17" t="inlineStr">
        <is>
          <t>N/A (Not Assigned)</t>
        </is>
      </c>
      <c r="I527" s="17" t="inlineStr">
        <is>
          <t>-</t>
        </is>
      </c>
    </row>
    <row r="528" ht="20" customHeight="1">
      <c r="A528" s="57" t="n">
        <v>46274.77469878472</v>
      </c>
      <c r="B528" s="16" t="inlineStr">
        <is>
          <t>3. This Month (Sep 2026)</t>
        </is>
      </c>
      <c r="C528" s="14" t="inlineStr">
        <is>
          <t>Meta Ads (NB PropertyTech Survey Ad 0308)</t>
        </is>
      </c>
      <c r="D528" s="14" t="inlineStr">
        <is>
          <t>Jaydip Vaza (7096115905)</t>
        </is>
      </c>
      <c r="E528" s="14" t="inlineStr">
        <is>
          <t>Prexa Vithalapara</t>
        </is>
      </c>
      <c r="F528" s="14" t="inlineStr">
        <is>
          <t>New</t>
        </is>
      </c>
      <c r="G528" s="14" t="inlineStr">
        <is>
          <t>Not Assigned</t>
        </is>
      </c>
      <c r="H528" s="14" t="inlineStr">
        <is>
          <t>N/A (Not Assigned)</t>
        </is>
      </c>
      <c r="I528" s="14" t="inlineStr">
        <is>
          <t>-</t>
        </is>
      </c>
    </row>
    <row r="529" ht="20" customHeight="1">
      <c r="A529" s="58" t="n">
        <v>46274.77469862268</v>
      </c>
      <c r="B529" s="19" t="inlineStr">
        <is>
          <t>3. This Month (Sep 2026)</t>
        </is>
      </c>
      <c r="C529" s="17" t="inlineStr">
        <is>
          <t>Meta Ads (NB PropertyTech Survey Ad 0308)</t>
        </is>
      </c>
      <c r="D529" s="17" t="inlineStr">
        <is>
          <t>Joshi Pankaj (9909671736)</t>
        </is>
      </c>
      <c r="E529" s="17" t="inlineStr">
        <is>
          <t>Zeel Mudaliyar</t>
        </is>
      </c>
      <c r="F529" s="17" t="inlineStr">
        <is>
          <t>New</t>
        </is>
      </c>
      <c r="G529" s="17" t="inlineStr">
        <is>
          <t>Not Assigned</t>
        </is>
      </c>
      <c r="H529" s="17" t="inlineStr">
        <is>
          <t>N/A (Not Assigned)</t>
        </is>
      </c>
      <c r="I529" s="17" t="inlineStr">
        <is>
          <t>-</t>
        </is>
      </c>
    </row>
    <row r="530" ht="20" customHeight="1">
      <c r="A530" s="57" t="n">
        <v>46274.77469848379</v>
      </c>
      <c r="B530" s="16" t="inlineStr">
        <is>
          <t>3. This Month (Sep 2026)</t>
        </is>
      </c>
      <c r="C530" s="14" t="inlineStr">
        <is>
          <t>Meta Ads (NB PropertyTech Survey Ad 0308)</t>
        </is>
      </c>
      <c r="D530" s="14" t="inlineStr">
        <is>
          <t>Zalak Patel (9898467881)</t>
        </is>
      </c>
      <c r="E530" s="14" t="inlineStr">
        <is>
          <t>Zeel Mudaliyar</t>
        </is>
      </c>
      <c r="F530" s="14" t="inlineStr">
        <is>
          <t>New</t>
        </is>
      </c>
      <c r="G530" s="14" t="inlineStr">
        <is>
          <t>Not Assigned</t>
        </is>
      </c>
      <c r="H530" s="14" t="inlineStr">
        <is>
          <t>N/A (Not Assigned)</t>
        </is>
      </c>
      <c r="I530" s="14" t="inlineStr">
        <is>
          <t>-</t>
        </is>
      </c>
    </row>
    <row r="531" ht="20" customHeight="1">
      <c r="A531" s="58" t="n">
        <v>46274.77469836806</v>
      </c>
      <c r="B531" s="19" t="inlineStr">
        <is>
          <t>3. This Month (Sep 2026)</t>
        </is>
      </c>
      <c r="C531" s="17" t="inlineStr">
        <is>
          <t>Meta Ads (NB PropertyTech Survey Ad 0308)</t>
        </is>
      </c>
      <c r="D531" s="17" t="inlineStr">
        <is>
          <t>Milan Rathod (9737163042)</t>
        </is>
      </c>
      <c r="E531" s="17" t="inlineStr">
        <is>
          <t>Prexa Vithalapara</t>
        </is>
      </c>
      <c r="F531" s="17" t="inlineStr">
        <is>
          <t>New</t>
        </is>
      </c>
      <c r="G531" s="17" t="inlineStr">
        <is>
          <t>Not Assigned</t>
        </is>
      </c>
      <c r="H531" s="17" t="inlineStr">
        <is>
          <t>N/A (Not Assigned)</t>
        </is>
      </c>
      <c r="I531" s="17" t="inlineStr">
        <is>
          <t>-</t>
        </is>
      </c>
    </row>
    <row r="532" ht="20" customHeight="1">
      <c r="A532" s="57" t="n">
        <v>46274.77469827546</v>
      </c>
      <c r="B532" s="16" t="inlineStr">
        <is>
          <t>3. This Month (Sep 2026)</t>
        </is>
      </c>
      <c r="C532" s="14" t="inlineStr">
        <is>
          <t>Meta Ads (NB PropertyTech Survey Ad 0308)</t>
        </is>
      </c>
      <c r="D532" s="14" t="inlineStr">
        <is>
          <t>Sonal (9924114336)</t>
        </is>
      </c>
      <c r="E532" s="14" t="inlineStr">
        <is>
          <t>Zeel Mudaliyar</t>
        </is>
      </c>
      <c r="F532" s="14" t="inlineStr">
        <is>
          <t>New</t>
        </is>
      </c>
      <c r="G532" s="14" t="inlineStr">
        <is>
          <t>Not Assigned</t>
        </is>
      </c>
      <c r="H532" s="14" t="inlineStr">
        <is>
          <t>N/A (Not Assigned)</t>
        </is>
      </c>
      <c r="I532" s="14" t="inlineStr">
        <is>
          <t>-</t>
        </is>
      </c>
    </row>
    <row r="533" ht="20" customHeight="1">
      <c r="A533" s="58" t="n">
        <v>46274.77469814815</v>
      </c>
      <c r="B533" s="19" t="inlineStr">
        <is>
          <t>3. This Month (Sep 2026)</t>
        </is>
      </c>
      <c r="C533" s="17" t="inlineStr">
        <is>
          <t>Meta Ads (NB PropertyTech Survey Ad 0308)</t>
        </is>
      </c>
      <c r="D533" s="17" t="inlineStr">
        <is>
          <t>Himanshi Solanki (6354288097)</t>
        </is>
      </c>
      <c r="E533" s="17" t="inlineStr">
        <is>
          <t>Prexa Vithalapara</t>
        </is>
      </c>
      <c r="F533" s="17" t="inlineStr">
        <is>
          <t>New</t>
        </is>
      </c>
      <c r="G533" s="17" t="inlineStr">
        <is>
          <t>Not Assigned</t>
        </is>
      </c>
      <c r="H533" s="17" t="inlineStr">
        <is>
          <t>N/A (Not Assigned)</t>
        </is>
      </c>
      <c r="I533" s="17" t="inlineStr">
        <is>
          <t>-</t>
        </is>
      </c>
    </row>
    <row r="534" ht="20" customHeight="1">
      <c r="A534" s="57" t="n">
        <v>46274.77469803241</v>
      </c>
      <c r="B534" s="16" t="inlineStr">
        <is>
          <t>3. This Month (Sep 2026)</t>
        </is>
      </c>
      <c r="C534" s="14" t="inlineStr">
        <is>
          <t>Meta Ads (NB PropertyTech Survey Ad 0308)</t>
        </is>
      </c>
      <c r="D534" s="14" t="inlineStr">
        <is>
          <t>Ayushy Chauhan (8200067097)</t>
        </is>
      </c>
      <c r="E534" s="14" t="inlineStr">
        <is>
          <t>Zeel Mudaliyar</t>
        </is>
      </c>
      <c r="F534" s="14" t="inlineStr">
        <is>
          <t>New</t>
        </is>
      </c>
      <c r="G534" s="14" t="inlineStr">
        <is>
          <t>Not Assigned</t>
        </is>
      </c>
      <c r="H534" s="14" t="inlineStr">
        <is>
          <t>N/A (Not Assigned)</t>
        </is>
      </c>
      <c r="I534" s="14" t="inlineStr">
        <is>
          <t>-</t>
        </is>
      </c>
    </row>
    <row r="535" ht="20" customHeight="1">
      <c r="A535" s="58" t="n">
        <v>46274.77469791667</v>
      </c>
      <c r="B535" s="19" t="inlineStr">
        <is>
          <t>3. This Month (Sep 2026)</t>
        </is>
      </c>
      <c r="C535" s="17" t="inlineStr">
        <is>
          <t>Meta Ads (NB PropertyTech Survey Ad 0308)</t>
        </is>
      </c>
      <c r="D535" s="17" t="inlineStr">
        <is>
          <t>Jayanti Makwana (8000129866)</t>
        </is>
      </c>
      <c r="E535" s="17" t="inlineStr">
        <is>
          <t>Zeel Mudaliyar</t>
        </is>
      </c>
      <c r="F535" s="17" t="inlineStr">
        <is>
          <t>New</t>
        </is>
      </c>
      <c r="G535" s="17" t="inlineStr">
        <is>
          <t>Not Assigned</t>
        </is>
      </c>
      <c r="H535" s="17" t="inlineStr">
        <is>
          <t>N/A (Not Assigned)</t>
        </is>
      </c>
      <c r="I535" s="17" t="inlineStr">
        <is>
          <t>-</t>
        </is>
      </c>
    </row>
    <row r="536" ht="20" customHeight="1">
      <c r="A536" s="57" t="n">
        <v>46274.77469754629</v>
      </c>
      <c r="B536" s="16" t="inlineStr">
        <is>
          <t>3. This Month (Sep 2026)</t>
        </is>
      </c>
      <c r="C536" s="14" t="inlineStr">
        <is>
          <t>Meta Ads (NB PropertyTech Survey Ad 0308)</t>
        </is>
      </c>
      <c r="D536" s="14" t="inlineStr">
        <is>
          <t>Montu (8320100379)</t>
        </is>
      </c>
      <c r="E536" s="14" t="inlineStr">
        <is>
          <t>Prexa Vithalapara</t>
        </is>
      </c>
      <c r="F536" s="14" t="inlineStr">
        <is>
          <t>New</t>
        </is>
      </c>
      <c r="G536" s="14" t="inlineStr">
        <is>
          <t>Not Assigned</t>
        </is>
      </c>
      <c r="H536" s="14" t="inlineStr">
        <is>
          <t>N/A (Not Assigned)</t>
        </is>
      </c>
      <c r="I536" s="14" t="inlineStr">
        <is>
          <t>-</t>
        </is>
      </c>
    </row>
    <row r="537" ht="20" customHeight="1">
      <c r="A537" s="58" t="n">
        <v>46274.77469714121</v>
      </c>
      <c r="B537" s="19" t="inlineStr">
        <is>
          <t>3. This Month (Sep 2026)</t>
        </is>
      </c>
      <c r="C537" s="17" t="inlineStr">
        <is>
          <t>Meta Ads (NB PropertyTech Survey Ad 0308)</t>
        </is>
      </c>
      <c r="D537" s="17" t="inlineStr">
        <is>
          <t>Sugam Singh (7069265309)</t>
        </is>
      </c>
      <c r="E537" s="17" t="inlineStr">
        <is>
          <t>Prexa Vithalapara</t>
        </is>
      </c>
      <c r="F537" s="17" t="inlineStr">
        <is>
          <t>Rejected / Lost</t>
        </is>
      </c>
      <c r="G537" s="17" t="inlineStr">
        <is>
          <t>Not Assigned</t>
        </is>
      </c>
      <c r="H537" s="17" t="inlineStr">
        <is>
          <t>N/A (Not Assigned)</t>
        </is>
      </c>
      <c r="I537" s="17" t="inlineStr">
        <is>
          <t>2 bhk joiye semi furnished bed sofa ac joiye wardrop no electronic</t>
        </is>
      </c>
    </row>
    <row r="538" ht="20" customHeight="1">
      <c r="A538" s="57" t="n">
        <v>46274.77469699074</v>
      </c>
      <c r="B538" s="16" t="inlineStr">
        <is>
          <t>3. This Month (Sep 2026)</t>
        </is>
      </c>
      <c r="C538" s="14" t="inlineStr">
        <is>
          <t>Meta Ads (NB PropertyTech Survey Ad 0308)</t>
        </is>
      </c>
      <c r="D538" s="14" t="inlineStr">
        <is>
          <t>An (9913650475)</t>
        </is>
      </c>
      <c r="E538" s="14" t="inlineStr">
        <is>
          <t>Zeel Mudaliyar</t>
        </is>
      </c>
      <c r="F538" s="14" t="inlineStr">
        <is>
          <t>New</t>
        </is>
      </c>
      <c r="G538" s="14" t="inlineStr">
        <is>
          <t>Not Assigned</t>
        </is>
      </c>
      <c r="H538" s="14" t="inlineStr">
        <is>
          <t>N/A (Not Assigned)</t>
        </is>
      </c>
      <c r="I538" s="14" t="inlineStr">
        <is>
          <t>-</t>
        </is>
      </c>
    </row>
    <row r="539" ht="20" customHeight="1">
      <c r="A539" s="58" t="n">
        <v>46274.77469686342</v>
      </c>
      <c r="B539" s="19" t="inlineStr">
        <is>
          <t>3. This Month (Sep 2026)</t>
        </is>
      </c>
      <c r="C539" s="17" t="inlineStr">
        <is>
          <t>Meta Ads (NB PropertyTech Survey Ad 0308)</t>
        </is>
      </c>
      <c r="D539" s="17" t="inlineStr">
        <is>
          <t>Thakor Vijay (7984358191)</t>
        </is>
      </c>
      <c r="E539" s="17" t="inlineStr">
        <is>
          <t>Prexa Vithalapara</t>
        </is>
      </c>
      <c r="F539" s="17" t="inlineStr">
        <is>
          <t>New</t>
        </is>
      </c>
      <c r="G539" s="17" t="inlineStr">
        <is>
          <t>Not Assigned</t>
        </is>
      </c>
      <c r="H539" s="17" t="inlineStr">
        <is>
          <t>N/A (Not Assigned)</t>
        </is>
      </c>
      <c r="I539" s="17" t="inlineStr">
        <is>
          <t>-</t>
        </is>
      </c>
    </row>
    <row r="540" ht="20" customHeight="1">
      <c r="A540" s="57" t="n">
        <v>46274.77469672454</v>
      </c>
      <c r="B540" s="16" t="inlineStr">
        <is>
          <t>3. This Month (Sep 2026)</t>
        </is>
      </c>
      <c r="C540" s="14" t="inlineStr">
        <is>
          <t>Meta Ads (NB PropertyTech Survey Ad 0308)</t>
        </is>
      </c>
      <c r="D540" s="14" t="inlineStr">
        <is>
          <t>Jinal (9558810573)</t>
        </is>
      </c>
      <c r="E540" s="14" t="inlineStr">
        <is>
          <t>Prexa Vithalapara</t>
        </is>
      </c>
      <c r="F540" s="14" t="inlineStr">
        <is>
          <t>New</t>
        </is>
      </c>
      <c r="G540" s="14" t="inlineStr">
        <is>
          <t>Not Assigned</t>
        </is>
      </c>
      <c r="H540" s="14" t="inlineStr">
        <is>
          <t>N/A (Not Assigned)</t>
        </is>
      </c>
      <c r="I540" s="14" t="inlineStr">
        <is>
          <t>-</t>
        </is>
      </c>
    </row>
    <row r="541" ht="20" customHeight="1">
      <c r="A541" s="58" t="n">
        <v>46274.7746965625</v>
      </c>
      <c r="B541" s="19" t="inlineStr">
        <is>
          <t>3. This Month (Sep 2026)</t>
        </is>
      </c>
      <c r="C541" s="17" t="inlineStr">
        <is>
          <t>Meta Ads (NB PropertyTech Survey Ad 0308)</t>
        </is>
      </c>
      <c r="D541" s="17" t="inlineStr">
        <is>
          <t>Chand Antala (6352763365)</t>
        </is>
      </c>
      <c r="E541" s="17" t="inlineStr">
        <is>
          <t>Zeel Mudaliyar</t>
        </is>
      </c>
      <c r="F541" s="17" t="inlineStr">
        <is>
          <t>New</t>
        </is>
      </c>
      <c r="G541" s="17" t="inlineStr">
        <is>
          <t>Not Assigned</t>
        </is>
      </c>
      <c r="H541" s="17" t="inlineStr">
        <is>
          <t>N/A (Not Assigned)</t>
        </is>
      </c>
      <c r="I541" s="17" t="inlineStr">
        <is>
          <t>-</t>
        </is>
      </c>
    </row>
    <row r="542" ht="20" customHeight="1">
      <c r="A542" s="57" t="n">
        <v>46274.77469631944</v>
      </c>
      <c r="B542" s="16" t="inlineStr">
        <is>
          <t>3. This Month (Sep 2026)</t>
        </is>
      </c>
      <c r="C542" s="14" t="inlineStr">
        <is>
          <t>Meta Ads (NB PropertyTech Survey Ad 0308)</t>
        </is>
      </c>
      <c r="D542" s="14" t="inlineStr">
        <is>
          <t>Aastha Kinarivala (9687343598)</t>
        </is>
      </c>
      <c r="E542" s="14" t="inlineStr">
        <is>
          <t>Prexa Vithalapara</t>
        </is>
      </c>
      <c r="F542" s="14" t="inlineStr">
        <is>
          <t>New</t>
        </is>
      </c>
      <c r="G542" s="14" t="inlineStr">
        <is>
          <t>Not Assigned</t>
        </is>
      </c>
      <c r="H542" s="14" t="inlineStr">
        <is>
          <t>N/A (Not Assigned)</t>
        </is>
      </c>
      <c r="I542" s="14" t="inlineStr">
        <is>
          <t>-</t>
        </is>
      </c>
    </row>
    <row r="543" ht="20" customHeight="1">
      <c r="A543" s="58" t="n">
        <v>46274.77469605324</v>
      </c>
      <c r="B543" s="19" t="inlineStr">
        <is>
          <t>3. This Month (Sep 2026)</t>
        </is>
      </c>
      <c r="C543" s="17" t="inlineStr">
        <is>
          <t>Meta Ads (NB PropertyTech Survey Ad 0308)</t>
        </is>
      </c>
      <c r="D543" s="17" t="inlineStr">
        <is>
          <t>Mahi (7990120350)</t>
        </is>
      </c>
      <c r="E543" s="17" t="inlineStr">
        <is>
          <t>Zeel Mudaliyar</t>
        </is>
      </c>
      <c r="F543" s="17" t="inlineStr">
        <is>
          <t>New</t>
        </is>
      </c>
      <c r="G543" s="17" t="inlineStr">
        <is>
          <t>Not Assigned</t>
        </is>
      </c>
      <c r="H543" s="17" t="inlineStr">
        <is>
          <t>N/A (Not Assigned)</t>
        </is>
      </c>
      <c r="I543" s="17" t="inlineStr">
        <is>
          <t>-</t>
        </is>
      </c>
    </row>
    <row r="544" ht="20" customHeight="1">
      <c r="A544" s="57" t="n">
        <v>46274.7746959375</v>
      </c>
      <c r="B544" s="16" t="inlineStr">
        <is>
          <t>3. This Month (Sep 2026)</t>
        </is>
      </c>
      <c r="C544" s="14" t="inlineStr">
        <is>
          <t>Meta Ads (NB PropertyTech Survey Ad 0308)</t>
        </is>
      </c>
      <c r="D544" s="14" t="inlineStr">
        <is>
          <t>Alpesh Khanma (9428978211)</t>
        </is>
      </c>
      <c r="E544" s="14" t="inlineStr">
        <is>
          <t>Zeel Mudaliyar</t>
        </is>
      </c>
      <c r="F544" s="14" t="inlineStr">
        <is>
          <t>New</t>
        </is>
      </c>
      <c r="G544" s="14" t="inlineStr">
        <is>
          <t>Not Assigned</t>
        </is>
      </c>
      <c r="H544" s="14" t="inlineStr">
        <is>
          <t>N/A (Not Assigned)</t>
        </is>
      </c>
      <c r="I544" s="14" t="inlineStr">
        <is>
          <t>-</t>
        </is>
      </c>
    </row>
    <row r="545" ht="20" customHeight="1">
      <c r="A545" s="58" t="n">
        <v>46274.77469581019</v>
      </c>
      <c r="B545" s="19" t="inlineStr">
        <is>
          <t>3. This Month (Sep 2026)</t>
        </is>
      </c>
      <c r="C545" s="17" t="inlineStr">
        <is>
          <t>Meta Ads (NB PropertyTech Survey Ad 0308)</t>
        </is>
      </c>
      <c r="D545" s="17" t="inlineStr">
        <is>
          <t>Varshil Galathiya (7016070440)</t>
        </is>
      </c>
      <c r="E545" s="17" t="inlineStr">
        <is>
          <t>Zeel Mudaliyar</t>
        </is>
      </c>
      <c r="F545" s="17" t="inlineStr">
        <is>
          <t>New</t>
        </is>
      </c>
      <c r="G545" s="17" t="inlineStr">
        <is>
          <t>Not Assigned</t>
        </is>
      </c>
      <c r="H545" s="17" t="inlineStr">
        <is>
          <t>N/A (Not Assigned)</t>
        </is>
      </c>
      <c r="I545" s="17" t="inlineStr">
        <is>
          <t>-</t>
        </is>
      </c>
    </row>
    <row r="546" ht="20" customHeight="1">
      <c r="A546" s="57" t="n">
        <v>46274.77469567129</v>
      </c>
      <c r="B546" s="16" t="inlineStr">
        <is>
          <t>3. This Month (Sep 2026)</t>
        </is>
      </c>
      <c r="C546" s="14" t="inlineStr">
        <is>
          <t>Meta Ads (NB PropertyTech Survey Ad 0308)</t>
        </is>
      </c>
      <c r="D546" s="14" t="inlineStr">
        <is>
          <t>Parth Dave (9033375263)</t>
        </is>
      </c>
      <c r="E546" s="14" t="inlineStr">
        <is>
          <t>Prexa Vithalapara</t>
        </is>
      </c>
      <c r="F546" s="14" t="inlineStr">
        <is>
          <t>New</t>
        </is>
      </c>
      <c r="G546" s="14" t="inlineStr">
        <is>
          <t>Not Assigned</t>
        </is>
      </c>
      <c r="H546" s="14" t="inlineStr">
        <is>
          <t>N/A (Not Assigned)</t>
        </is>
      </c>
      <c r="I546" s="14" t="inlineStr">
        <is>
          <t>-</t>
        </is>
      </c>
    </row>
    <row r="547" ht="20" customHeight="1">
      <c r="A547" s="58" t="n">
        <v>46274.7746953588</v>
      </c>
      <c r="B547" s="19" t="inlineStr">
        <is>
          <t>3. This Month (Sep 2026)</t>
        </is>
      </c>
      <c r="C547" s="17" t="inlineStr">
        <is>
          <t>Meta Ads (NB PropertyTech Survey Ad 0308)</t>
        </is>
      </c>
      <c r="D547" s="17" t="inlineStr">
        <is>
          <t>Sr Vaghela (7863026250)</t>
        </is>
      </c>
      <c r="E547" s="17" t="inlineStr">
        <is>
          <t>Zeel Mudaliyar</t>
        </is>
      </c>
      <c r="F547" s="17" t="inlineStr">
        <is>
          <t>New</t>
        </is>
      </c>
      <c r="G547" s="17" t="inlineStr">
        <is>
          <t>Not Assigned</t>
        </is>
      </c>
      <c r="H547" s="17" t="inlineStr">
        <is>
          <t>N/A (Not Assigned)</t>
        </is>
      </c>
      <c r="I547" s="17" t="inlineStr">
        <is>
          <t>-</t>
        </is>
      </c>
    </row>
    <row r="548" ht="20" customHeight="1">
      <c r="A548" s="57" t="n">
        <v>46274.77469520833</v>
      </c>
      <c r="B548" s="16" t="inlineStr">
        <is>
          <t>3. This Month (Sep 2026)</t>
        </is>
      </c>
      <c r="C548" s="14" t="inlineStr">
        <is>
          <t>Meta Ads (NB PropertyTech Survey Ad 0308)</t>
        </is>
      </c>
      <c r="D548" s="14" t="inlineStr">
        <is>
          <t>Jenil (8320507703)</t>
        </is>
      </c>
      <c r="E548" s="14" t="inlineStr">
        <is>
          <t>Prexa Vithalapara</t>
        </is>
      </c>
      <c r="F548" s="14" t="inlineStr">
        <is>
          <t>Rejected / Lost</t>
        </is>
      </c>
      <c r="G548" s="14" t="inlineStr">
        <is>
          <t>Not Assigned</t>
        </is>
      </c>
      <c r="H548" s="14" t="inlineStr">
        <is>
          <t>N/A (Not Assigned)</t>
        </is>
      </c>
      <c r="I548" s="14" t="inlineStr">
        <is>
          <t>-</t>
        </is>
      </c>
    </row>
    <row r="549" ht="20" customHeight="1">
      <c r="A549" s="58" t="n">
        <v>46274.77469497686</v>
      </c>
      <c r="B549" s="19" t="inlineStr">
        <is>
          <t>3. This Month (Sep 2026)</t>
        </is>
      </c>
      <c r="C549" s="17" t="inlineStr">
        <is>
          <t>Meta Ads (NB PropertyTech Survey Ad 0308)</t>
        </is>
      </c>
      <c r="D549" s="17" t="inlineStr">
        <is>
          <t>Adheep Agarwal (9950102426)</t>
        </is>
      </c>
      <c r="E549" s="17" t="inlineStr">
        <is>
          <t>Prexa Vithalapara</t>
        </is>
      </c>
      <c r="F549" s="17" t="inlineStr">
        <is>
          <t>New</t>
        </is>
      </c>
      <c r="G549" s="17" t="inlineStr">
        <is>
          <t>Not Assigned</t>
        </is>
      </c>
      <c r="H549" s="17" t="inlineStr">
        <is>
          <t>N/A (Not Assigned)</t>
        </is>
      </c>
      <c r="I549" s="17" t="inlineStr">
        <is>
          <t>-</t>
        </is>
      </c>
    </row>
    <row r="550" ht="20" customHeight="1">
      <c r="A550" s="57" t="n">
        <v>46274.77469486111</v>
      </c>
      <c r="B550" s="16" t="inlineStr">
        <is>
          <t>3. This Month (Sep 2026)</t>
        </is>
      </c>
      <c r="C550" s="14" t="inlineStr">
        <is>
          <t>Meta Ads (NB PropertyTech Survey Ad 0308)</t>
        </is>
      </c>
      <c r="D550" s="14" t="inlineStr">
        <is>
          <t>Amar (9407137724)</t>
        </is>
      </c>
      <c r="E550" s="14" t="inlineStr">
        <is>
          <t>Prexa Vithalapara</t>
        </is>
      </c>
      <c r="F550" s="14" t="inlineStr">
        <is>
          <t>New</t>
        </is>
      </c>
      <c r="G550" s="14" t="inlineStr">
        <is>
          <t>Not Assigned</t>
        </is>
      </c>
      <c r="H550" s="14" t="inlineStr">
        <is>
          <t>N/A (Not Assigned)</t>
        </is>
      </c>
      <c r="I550" s="14" t="inlineStr">
        <is>
          <t>-</t>
        </is>
      </c>
    </row>
    <row r="551" ht="20" customHeight="1">
      <c r="A551" s="58" t="n">
        <v>46274.77469471065</v>
      </c>
      <c r="B551" s="19" t="inlineStr">
        <is>
          <t>3. This Month (Sep 2026)</t>
        </is>
      </c>
      <c r="C551" s="17" t="inlineStr">
        <is>
          <t>Meta Ads (NB PropertyTech Survey Ad 0308)</t>
        </is>
      </c>
      <c r="D551" s="17" t="inlineStr">
        <is>
          <t>Venky (9099098183)</t>
        </is>
      </c>
      <c r="E551" s="17" t="inlineStr">
        <is>
          <t>Prexa Vithalapara</t>
        </is>
      </c>
      <c r="F551" s="17" t="inlineStr">
        <is>
          <t>New</t>
        </is>
      </c>
      <c r="G551" s="17" t="inlineStr">
        <is>
          <t>Not Assigned</t>
        </is>
      </c>
      <c r="H551" s="17" t="inlineStr">
        <is>
          <t>N/A (Not Assigned)</t>
        </is>
      </c>
      <c r="I551" s="17" t="inlineStr">
        <is>
          <t>-</t>
        </is>
      </c>
    </row>
    <row r="552" ht="20" customHeight="1">
      <c r="A552" s="57" t="n">
        <v>46274.77469450232</v>
      </c>
      <c r="B552" s="16" t="inlineStr">
        <is>
          <t>3. This Month (Sep 2026)</t>
        </is>
      </c>
      <c r="C552" s="14" t="inlineStr">
        <is>
          <t>Meta Ads (NB PropertyTech Survey Ad 0308)</t>
        </is>
      </c>
      <c r="D552" s="14" t="inlineStr">
        <is>
          <t>Vanshrajsinh Solanki (9106727946)</t>
        </is>
      </c>
      <c r="E552" s="14" t="inlineStr">
        <is>
          <t>Prexa Vithalapara</t>
        </is>
      </c>
      <c r="F552" s="14" t="inlineStr">
        <is>
          <t>New</t>
        </is>
      </c>
      <c r="G552" s="14" t="inlineStr">
        <is>
          <t>Not Assigned</t>
        </is>
      </c>
      <c r="H552" s="14" t="inlineStr">
        <is>
          <t>N/A (Not Assigned)</t>
        </is>
      </c>
      <c r="I552" s="14" t="inlineStr">
        <is>
          <t>-</t>
        </is>
      </c>
    </row>
    <row r="553" ht="20" customHeight="1">
      <c r="A553" s="58" t="n">
        <v>46274.77469435185</v>
      </c>
      <c r="B553" s="19" t="inlineStr">
        <is>
          <t>3. This Month (Sep 2026)</t>
        </is>
      </c>
      <c r="C553" s="17" t="inlineStr">
        <is>
          <t>Meta Ads (NB PropertyTech Survey Ad 0308)</t>
        </is>
      </c>
      <c r="D553" s="17" t="inlineStr">
        <is>
          <t>Mansi Solanki (9687216610)</t>
        </is>
      </c>
      <c r="E553" s="17" t="inlineStr">
        <is>
          <t>Zeel Mudaliyar</t>
        </is>
      </c>
      <c r="F553" s="17" t="inlineStr">
        <is>
          <t>New</t>
        </is>
      </c>
      <c r="G553" s="17" t="inlineStr">
        <is>
          <t>Not Assigned</t>
        </is>
      </c>
      <c r="H553" s="17" t="inlineStr">
        <is>
          <t>N/A (Not Assigned)</t>
        </is>
      </c>
      <c r="I553" s="17" t="inlineStr">
        <is>
          <t>-</t>
        </is>
      </c>
    </row>
    <row r="554" ht="20" customHeight="1">
      <c r="A554" s="57" t="n">
        <v>46274.77469413194</v>
      </c>
      <c r="B554" s="16" t="inlineStr">
        <is>
          <t>3. This Month (Sep 2026)</t>
        </is>
      </c>
      <c r="C554" s="14" t="inlineStr">
        <is>
          <t>Meta Ads (NB PropertyTech Survey Ad 0308)</t>
        </is>
      </c>
      <c r="D554" s="14" t="inlineStr">
        <is>
          <t>Bhopy_shah (9714527664)</t>
        </is>
      </c>
      <c r="E554" s="14" t="inlineStr">
        <is>
          <t>Zeel Mudaliyar</t>
        </is>
      </c>
      <c r="F554" s="14" t="inlineStr">
        <is>
          <t>New</t>
        </is>
      </c>
      <c r="G554" s="14" t="inlineStr">
        <is>
          <t>Not Assigned</t>
        </is>
      </c>
      <c r="H554" s="14" t="inlineStr">
        <is>
          <t>N/A (Not Assigned)</t>
        </is>
      </c>
      <c r="I554" s="14" t="inlineStr">
        <is>
          <t>-</t>
        </is>
      </c>
    </row>
    <row r="555" ht="20" customHeight="1">
      <c r="A555" s="58" t="n">
        <v>46274.7746940162</v>
      </c>
      <c r="B555" s="19" t="inlineStr">
        <is>
          <t>3. This Month (Sep 2026)</t>
        </is>
      </c>
      <c r="C555" s="17" t="inlineStr">
        <is>
          <t>Meta Ads (NB PropertyTech Survey Ad 0308)</t>
        </is>
      </c>
      <c r="D555" s="17" t="inlineStr">
        <is>
          <t>Bhavani Electric &amp; Electronics (9328337387)</t>
        </is>
      </c>
      <c r="E555" s="17" t="inlineStr">
        <is>
          <t>Prexa Vithalapara</t>
        </is>
      </c>
      <c r="F555" s="17" t="inlineStr">
        <is>
          <t>New</t>
        </is>
      </c>
      <c r="G555" s="17" t="inlineStr">
        <is>
          <t>Not Assigned</t>
        </is>
      </c>
      <c r="H555" s="17" t="inlineStr">
        <is>
          <t>N/A (Not Assigned)</t>
        </is>
      </c>
      <c r="I555" s="17" t="inlineStr">
        <is>
          <t>-</t>
        </is>
      </c>
    </row>
    <row r="556" ht="20" customHeight="1">
      <c r="A556" s="57" t="n">
        <v>46274.77469371528</v>
      </c>
      <c r="B556" s="16" t="inlineStr">
        <is>
          <t>3. This Month (Sep 2026)</t>
        </is>
      </c>
      <c r="C556" s="14" t="inlineStr">
        <is>
          <t>Meta Ads (NB PropertyTech Survey Ad 0308)</t>
        </is>
      </c>
      <c r="D556" s="14" t="inlineStr">
        <is>
          <t>Sadashiv Kale (8605792746)</t>
        </is>
      </c>
      <c r="E556" s="14" t="inlineStr">
        <is>
          <t>Zeel Mudaliyar</t>
        </is>
      </c>
      <c r="F556" s="14" t="inlineStr">
        <is>
          <t>New</t>
        </is>
      </c>
      <c r="G556" s="14" t="inlineStr">
        <is>
          <t>Not Assigned</t>
        </is>
      </c>
      <c r="H556" s="14" t="inlineStr">
        <is>
          <t>N/A (Not Assigned)</t>
        </is>
      </c>
      <c r="I556" s="14" t="inlineStr">
        <is>
          <t>-</t>
        </is>
      </c>
    </row>
    <row r="557" ht="20" customHeight="1">
      <c r="A557" s="58" t="n">
        <v>46274.77469359954</v>
      </c>
      <c r="B557" s="19" t="inlineStr">
        <is>
          <t>3. This Month (Sep 2026)</t>
        </is>
      </c>
      <c r="C557" s="17" t="inlineStr">
        <is>
          <t>Meta Ads (NB PropertyTech Survey Ad 0308)</t>
        </is>
      </c>
      <c r="D557" s="17" t="inlineStr">
        <is>
          <t>Dinesh Kumar (9904699489)</t>
        </is>
      </c>
      <c r="E557" s="17" t="inlineStr">
        <is>
          <t>Prexa Vithalapara</t>
        </is>
      </c>
      <c r="F557" s="17" t="inlineStr">
        <is>
          <t>New</t>
        </is>
      </c>
      <c r="G557" s="17" t="inlineStr">
        <is>
          <t>Not Assigned</t>
        </is>
      </c>
      <c r="H557" s="17" t="inlineStr">
        <is>
          <t>N/A (Not Assigned)</t>
        </is>
      </c>
      <c r="I557" s="17" t="inlineStr">
        <is>
          <t>-</t>
        </is>
      </c>
    </row>
    <row r="558" ht="20" customHeight="1">
      <c r="A558" s="57" t="n">
        <v>46274.7746934838</v>
      </c>
      <c r="B558" s="16" t="inlineStr">
        <is>
          <t>3. This Month (Sep 2026)</t>
        </is>
      </c>
      <c r="C558" s="14" t="inlineStr">
        <is>
          <t>Meta Ads (NB PropertyTech Survey Ad 0308)</t>
        </is>
      </c>
      <c r="D558" s="14" t="inlineStr">
        <is>
          <t>Haresh Joshi Paliwal (9682110574)</t>
        </is>
      </c>
      <c r="E558" s="14" t="inlineStr">
        <is>
          <t>Prexa Vithalapara</t>
        </is>
      </c>
      <c r="F558" s="14" t="inlineStr">
        <is>
          <t>New</t>
        </is>
      </c>
      <c r="G558" s="14" t="inlineStr">
        <is>
          <t>Not Assigned</t>
        </is>
      </c>
      <c r="H558" s="14" t="inlineStr">
        <is>
          <t>N/A (Not Assigned)</t>
        </is>
      </c>
      <c r="I558" s="14" t="inlineStr">
        <is>
          <t>-</t>
        </is>
      </c>
    </row>
    <row r="559" ht="20" customHeight="1">
      <c r="A559" s="58" t="n">
        <v>46274.77469332176</v>
      </c>
      <c r="B559" s="19" t="inlineStr">
        <is>
          <t>3. This Month (Sep 2026)</t>
        </is>
      </c>
      <c r="C559" s="17" t="inlineStr">
        <is>
          <t>Meta Ads (NB PropertyTech Survey Ad 0308)</t>
        </is>
      </c>
      <c r="D559" s="17" t="inlineStr">
        <is>
          <t>Kajal Dhirwani (9213674851)</t>
        </is>
      </c>
      <c r="E559" s="17" t="inlineStr">
        <is>
          <t>Prexa Vithalapara</t>
        </is>
      </c>
      <c r="F559" s="17" t="inlineStr">
        <is>
          <t>Rejected / Lost</t>
        </is>
      </c>
      <c r="G559" s="17" t="inlineStr">
        <is>
          <t>Not Assigned</t>
        </is>
      </c>
      <c r="H559" s="17" t="inlineStr">
        <is>
          <t>N/A (Not Assigned)</t>
        </is>
      </c>
      <c r="I559" s="17" t="inlineStr">
        <is>
          <t>-</t>
        </is>
      </c>
    </row>
    <row r="560" ht="20" customHeight="1">
      <c r="A560" s="57" t="n">
        <v>46274.77469319444</v>
      </c>
      <c r="B560" s="16" t="inlineStr">
        <is>
          <t>3. This Month (Sep 2026)</t>
        </is>
      </c>
      <c r="C560" s="14" t="inlineStr">
        <is>
          <t>Meta Ads (NB PropertyTech Survey Ad 0308)</t>
        </is>
      </c>
      <c r="D560" s="14" t="inlineStr">
        <is>
          <t>Neela Oza (9773429661)</t>
        </is>
      </c>
      <c r="E560" s="14" t="inlineStr">
        <is>
          <t>Unassigned</t>
        </is>
      </c>
      <c r="F560" s="14" t="inlineStr">
        <is>
          <t>CNR (Could Not Reach)</t>
        </is>
      </c>
      <c r="G560" s="14" t="inlineStr">
        <is>
          <t>Not Assigned</t>
        </is>
      </c>
      <c r="H560" s="14" t="inlineStr">
        <is>
          <t>N/A (Not Assigned)</t>
        </is>
      </c>
      <c r="I560" s="14" t="inlineStr">
        <is>
          <t>-</t>
        </is>
      </c>
    </row>
    <row r="561" ht="20" customHeight="1">
      <c r="A561" s="58" t="n">
        <v>46274.77469303241</v>
      </c>
      <c r="B561" s="19" t="inlineStr">
        <is>
          <t>3. This Month (Sep 2026)</t>
        </is>
      </c>
      <c r="C561" s="17" t="inlineStr">
        <is>
          <t>Meta Ads (NB PropertyTech Survey Ad 0308)</t>
        </is>
      </c>
      <c r="D561" s="17" t="inlineStr">
        <is>
          <t>Vaghela Kashmira (9979225752)</t>
        </is>
      </c>
      <c r="E561" s="17" t="inlineStr">
        <is>
          <t>Prexa Vithalapara</t>
        </is>
      </c>
      <c r="F561" s="17" t="inlineStr">
        <is>
          <t>New</t>
        </is>
      </c>
      <c r="G561" s="17" t="inlineStr">
        <is>
          <t>Not Assigned</t>
        </is>
      </c>
      <c r="H561" s="17" t="inlineStr">
        <is>
          <t>N/A (Not Assigned)</t>
        </is>
      </c>
      <c r="I561" s="17" t="inlineStr">
        <is>
          <t>-</t>
        </is>
      </c>
    </row>
    <row r="562" ht="20" customHeight="1">
      <c r="A562" s="57" t="n">
        <v>46274.77469290509</v>
      </c>
      <c r="B562" s="16" t="inlineStr">
        <is>
          <t>3. This Month (Sep 2026)</t>
        </is>
      </c>
      <c r="C562" s="14" t="inlineStr">
        <is>
          <t>Meta Ads (NB PropertyTech Survey Ad 0308)</t>
        </is>
      </c>
      <c r="D562" s="14" t="inlineStr">
        <is>
          <t>Gautam Solanki (9662384216)</t>
        </is>
      </c>
      <c r="E562" s="14" t="inlineStr">
        <is>
          <t>Prexa Vithalapara</t>
        </is>
      </c>
      <c r="F562" s="14" t="inlineStr">
        <is>
          <t>New</t>
        </is>
      </c>
      <c r="G562" s="14" t="inlineStr">
        <is>
          <t>Not Assigned</t>
        </is>
      </c>
      <c r="H562" s="14" t="inlineStr">
        <is>
          <t>N/A (Not Assigned)</t>
        </is>
      </c>
      <c r="I562" s="14" t="inlineStr">
        <is>
          <t>-</t>
        </is>
      </c>
    </row>
    <row r="563" ht="20" customHeight="1">
      <c r="A563" s="58" t="n">
        <v>46274.77469278935</v>
      </c>
      <c r="B563" s="19" t="inlineStr">
        <is>
          <t>3. This Month (Sep 2026)</t>
        </is>
      </c>
      <c r="C563" s="17" t="inlineStr">
        <is>
          <t>Meta Ads (NB PropertyTech Survey Ad 0308)</t>
        </is>
      </c>
      <c r="D563" s="17" t="inlineStr">
        <is>
          <t>Varsha (9978519620)</t>
        </is>
      </c>
      <c r="E563" s="17" t="inlineStr">
        <is>
          <t>Prexa Vithalapara</t>
        </is>
      </c>
      <c r="F563" s="17" t="inlineStr">
        <is>
          <t>Rejected (Not_Interested)</t>
        </is>
      </c>
      <c r="G563" s="17" t="inlineStr">
        <is>
          <t>Not Assigned</t>
        </is>
      </c>
      <c r="H563" s="17" t="inlineStr">
        <is>
          <t>N/A (Not Assigned)</t>
        </is>
      </c>
      <c r="I563" s="17" t="inlineStr">
        <is>
          <t>Not interested | Rejection: NOT_INTERESTED | Followup: CNR | 2 BHK for Girls PG or apartment 25k</t>
        </is>
      </c>
    </row>
    <row r="564" ht="20" customHeight="1">
      <c r="A564" s="57" t="n">
        <v>46274.77469266204</v>
      </c>
      <c r="B564" s="16" t="inlineStr">
        <is>
          <t>3. This Month (Sep 2026)</t>
        </is>
      </c>
      <c r="C564" s="14" t="inlineStr">
        <is>
          <t>Meta Ads (NB PropertyTech Survey Ad 0308)</t>
        </is>
      </c>
      <c r="D564" s="14" t="inlineStr">
        <is>
          <t>Diya Parmar (8128188716)</t>
        </is>
      </c>
      <c r="E564" s="14" t="inlineStr">
        <is>
          <t>Prexa Vithalapara</t>
        </is>
      </c>
      <c r="F564" s="14" t="inlineStr">
        <is>
          <t>Rejected / Lost</t>
        </is>
      </c>
      <c r="G564" s="14" t="inlineStr">
        <is>
          <t>Not Assigned</t>
        </is>
      </c>
      <c r="H564" s="14" t="inlineStr">
        <is>
          <t>N/A (Not Assigned)</t>
        </is>
      </c>
      <c r="I564" s="14" t="inlineStr">
        <is>
          <t>-</t>
        </is>
      </c>
    </row>
    <row r="565" ht="20" customHeight="1">
      <c r="A565" s="58" t="n">
        <v>46274.77467811343</v>
      </c>
      <c r="B565" s="19" t="inlineStr">
        <is>
          <t>3. This Month (Sep 2026)</t>
        </is>
      </c>
      <c r="C565" s="17" t="inlineStr">
        <is>
          <t>Meta Ads (NB PropertyTech Rental Ad 0408)</t>
        </is>
      </c>
      <c r="D565" s="17" t="inlineStr">
        <is>
          <t>Laxmi Mehta (9727389179)</t>
        </is>
      </c>
      <c r="E565" s="17" t="inlineStr">
        <is>
          <t>Prexa Vithalapara</t>
        </is>
      </c>
      <c r="F565" s="17" t="inlineStr">
        <is>
          <t>New</t>
        </is>
      </c>
      <c r="G565" s="17" t="inlineStr">
        <is>
          <t>Not Assigned</t>
        </is>
      </c>
      <c r="H565" s="17" t="inlineStr">
        <is>
          <t>N/A (Not Assigned)</t>
        </is>
      </c>
      <c r="I565" s="17" t="inlineStr">
        <is>
          <t>-</t>
        </is>
      </c>
    </row>
    <row r="566" ht="20" customHeight="1">
      <c r="A566" s="57" t="n">
        <v>46274.77467516204</v>
      </c>
      <c r="B566" s="16" t="inlineStr">
        <is>
          <t>3. This Month (Sep 2026)</t>
        </is>
      </c>
      <c r="C566" s="14" t="inlineStr">
        <is>
          <t>Meta Ads (NB PropertyTech Rental Ad 0408)</t>
        </is>
      </c>
      <c r="D566" s="14" t="inlineStr">
        <is>
          <t>Ripal Ashish Mistry (9712256167)</t>
        </is>
      </c>
      <c r="E566" s="14" t="inlineStr">
        <is>
          <t>Prexa Vithalapara</t>
        </is>
      </c>
      <c r="F566" s="14" t="inlineStr">
        <is>
          <t>New</t>
        </is>
      </c>
      <c r="G566" s="14" t="inlineStr">
        <is>
          <t>Not Assigned</t>
        </is>
      </c>
      <c r="H566" s="14" t="inlineStr">
        <is>
          <t>N/A (Not Assigned)</t>
        </is>
      </c>
      <c r="I566" s="14" t="inlineStr">
        <is>
          <t>Call Cut kare che call for tomorrow</t>
        </is>
      </c>
    </row>
    <row r="567" ht="20" customHeight="1">
      <c r="A567" s="58" t="n">
        <v>46274.774661875</v>
      </c>
      <c r="B567" s="19" t="inlineStr">
        <is>
          <t>3. This Month (Sep 2026)</t>
        </is>
      </c>
      <c r="C567" s="17" t="inlineStr">
        <is>
          <t>Meta Ads (NB PropertyTech Rental Ad 0408)</t>
        </is>
      </c>
      <c r="D567" s="17" t="inlineStr">
        <is>
          <t>Naina Ghoghara (8460484697)</t>
        </is>
      </c>
      <c r="E567" s="17" t="inlineStr">
        <is>
          <t>Zeel Mudaliyar</t>
        </is>
      </c>
      <c r="F567" s="17" t="inlineStr">
        <is>
          <t>New</t>
        </is>
      </c>
      <c r="G567" s="17" t="inlineStr">
        <is>
          <t>Not Assigned</t>
        </is>
      </c>
      <c r="H567" s="17" t="inlineStr">
        <is>
          <t>N/A (Not Assigned)</t>
        </is>
      </c>
      <c r="I567" s="17" t="inlineStr">
        <is>
          <t>-</t>
        </is>
      </c>
    </row>
    <row r="568" ht="20" customHeight="1">
      <c r="A568" s="57" t="n">
        <v>46274.77463677083</v>
      </c>
      <c r="B568" s="16" t="inlineStr">
        <is>
          <t>3. This Month (Sep 2026)</t>
        </is>
      </c>
      <c r="C568" s="14" t="inlineStr">
        <is>
          <t>Meta Ads (NB PropertyTech Survey Ad 3108)</t>
        </is>
      </c>
      <c r="D568" s="14" t="inlineStr">
        <is>
          <t>Atulbhai Shantilal Shah (9574605459)</t>
        </is>
      </c>
      <c r="E568" s="14" t="inlineStr">
        <is>
          <t>Prexa Vithalapara</t>
        </is>
      </c>
      <c r="F568" s="14" t="inlineStr">
        <is>
          <t>Interested</t>
        </is>
      </c>
      <c r="G568" s="14" t="inlineStr">
        <is>
          <t>Not Assigned</t>
        </is>
      </c>
      <c r="H568" s="14" t="inlineStr">
        <is>
          <t>N/A (Not Assigned)</t>
        </is>
      </c>
      <c r="I568" s="14" t="inlineStr">
        <is>
          <t>Followup: follow ups</t>
        </is>
      </c>
    </row>
    <row r="569" ht="20" customHeight="1">
      <c r="A569" s="58" t="n">
        <v>46274.77463665509</v>
      </c>
      <c r="B569" s="19" t="inlineStr">
        <is>
          <t>3. This Month (Sep 2026)</t>
        </is>
      </c>
      <c r="C569" s="17" t="inlineStr">
        <is>
          <t>Meta Ads (NB PropertyTech Survey Ad 3108)</t>
        </is>
      </c>
      <c r="D569" s="17" t="inlineStr">
        <is>
          <t>Ruchita Bhatt (7202826588)</t>
        </is>
      </c>
      <c r="E569" s="17" t="inlineStr">
        <is>
          <t>Prexa Vithalapara</t>
        </is>
      </c>
      <c r="F569" s="17" t="inlineStr">
        <is>
          <t>New</t>
        </is>
      </c>
      <c r="G569" s="17" t="inlineStr">
        <is>
          <t>Not Assigned</t>
        </is>
      </c>
      <c r="H569" s="17" t="inlineStr">
        <is>
          <t>N/A (Not Assigned)</t>
        </is>
      </c>
      <c r="I569" s="17" t="inlineStr">
        <is>
          <t>this is testing leads assign to you -- agar ye client ka kuch bhi status baaki hai to aap follow ups le sakte hai !</t>
        </is>
      </c>
    </row>
    <row r="570" ht="20" customHeight="1">
      <c r="A570" s="57" t="n">
        <v>46274.7746365162</v>
      </c>
      <c r="B570" s="16" t="inlineStr">
        <is>
          <t>3. This Month (Sep 2026)</t>
        </is>
      </c>
      <c r="C570" s="14" t="inlineStr">
        <is>
          <t>Meta Ads (NB PropertyTech Survey Ad 3108)</t>
        </is>
      </c>
      <c r="D570" s="14" t="inlineStr">
        <is>
          <t>Jitendra Prajapati (9265579228)</t>
        </is>
      </c>
      <c r="E570" s="14" t="inlineStr">
        <is>
          <t>Zeel Mudaliyar</t>
        </is>
      </c>
      <c r="F570" s="14" t="inlineStr">
        <is>
          <t>New</t>
        </is>
      </c>
      <c r="G570" s="14" t="inlineStr">
        <is>
          <t>Not Assigned</t>
        </is>
      </c>
      <c r="H570" s="14" t="inlineStr">
        <is>
          <t>N/A (Not Assigned)</t>
        </is>
      </c>
      <c r="I570" s="14" t="inlineStr">
        <is>
          <t>-</t>
        </is>
      </c>
    </row>
    <row r="571" ht="20" customHeight="1">
      <c r="A571" s="58" t="n">
        <v>46274.77463635417</v>
      </c>
      <c r="B571" s="19" t="inlineStr">
        <is>
          <t>3. This Month (Sep 2026)</t>
        </is>
      </c>
      <c r="C571" s="17" t="inlineStr">
        <is>
          <t>Meta Ads (NB PropertyTech Survey Ad 3108)</t>
        </is>
      </c>
      <c r="D571" s="17" t="inlineStr">
        <is>
          <t>Mohit Sheth (9790723759)</t>
        </is>
      </c>
      <c r="E571" s="17" t="inlineStr">
        <is>
          <t>Unassigned</t>
        </is>
      </c>
      <c r="F571" s="17" t="inlineStr">
        <is>
          <t>CNR (Could Not Reach)</t>
        </is>
      </c>
      <c r="G571" s="17" t="inlineStr">
        <is>
          <t>Not Assigned</t>
        </is>
      </c>
      <c r="H571" s="17" t="inlineStr">
        <is>
          <t>N/A (Not Assigned)</t>
        </is>
      </c>
      <c r="I571" s="17" t="inlineStr">
        <is>
          <t>-</t>
        </is>
      </c>
    </row>
    <row r="572" ht="20" customHeight="1">
      <c r="A572" s="57" t="n">
        <v>46274.77463621528</v>
      </c>
      <c r="B572" s="16" t="inlineStr">
        <is>
          <t>3. This Month (Sep 2026)</t>
        </is>
      </c>
      <c r="C572" s="14" t="inlineStr">
        <is>
          <t>Meta Ads (NB PropertyTech Survey Ad 3108)</t>
        </is>
      </c>
      <c r="D572" s="14" t="inlineStr">
        <is>
          <t>Tc (9712268474)</t>
        </is>
      </c>
      <c r="E572" s="14" t="inlineStr">
        <is>
          <t>Prexa Vithalapara</t>
        </is>
      </c>
      <c r="F572" s="14" t="inlineStr">
        <is>
          <t>New</t>
        </is>
      </c>
      <c r="G572" s="14" t="inlineStr">
        <is>
          <t>Not Assigned</t>
        </is>
      </c>
      <c r="H572" s="14" t="inlineStr">
        <is>
          <t>N/A (Not Assigned)</t>
        </is>
      </c>
      <c r="I572" s="14" t="inlineStr">
        <is>
          <t>-</t>
        </is>
      </c>
    </row>
    <row r="573" ht="20" customHeight="1">
      <c r="A573" s="58" t="n">
        <v>46274.77463604166</v>
      </c>
      <c r="B573" s="19" t="inlineStr">
        <is>
          <t>3. This Month (Sep 2026)</t>
        </is>
      </c>
      <c r="C573" s="17" t="inlineStr">
        <is>
          <t>Meta Ads (NB PropertyTech Survey Ad 3108)</t>
        </is>
      </c>
      <c r="D573" s="17" t="inlineStr">
        <is>
          <t>Nayan Shah (9082221862)</t>
        </is>
      </c>
      <c r="E573" s="17" t="inlineStr">
        <is>
          <t>Zeel Mudaliyar</t>
        </is>
      </c>
      <c r="F573" s="17" t="inlineStr">
        <is>
          <t>New</t>
        </is>
      </c>
      <c r="G573" s="17" t="inlineStr">
        <is>
          <t>Not Assigned</t>
        </is>
      </c>
      <c r="H573" s="17" t="inlineStr">
        <is>
          <t>N/A (Not Assigned)</t>
        </is>
      </c>
      <c r="I573" s="17" t="inlineStr">
        <is>
          <t>-</t>
        </is>
      </c>
    </row>
    <row r="574" ht="20" customHeight="1">
      <c r="A574" s="57" t="n">
        <v>46274.77463592593</v>
      </c>
      <c r="B574" s="16" t="inlineStr">
        <is>
          <t>3. This Month (Sep 2026)</t>
        </is>
      </c>
      <c r="C574" s="14" t="inlineStr">
        <is>
          <t>Meta Ads (NB PropertyTech Survey Ad 3108)</t>
        </is>
      </c>
      <c r="D574" s="14" t="inlineStr">
        <is>
          <t>Laxmi Sondarava (9558696064)</t>
        </is>
      </c>
      <c r="E574" s="14" t="inlineStr">
        <is>
          <t>Prexa Vithalapara</t>
        </is>
      </c>
      <c r="F574" s="14" t="inlineStr">
        <is>
          <t>New</t>
        </is>
      </c>
      <c r="G574" s="14" t="inlineStr">
        <is>
          <t>Not Assigned</t>
        </is>
      </c>
      <c r="H574" s="14" t="inlineStr">
        <is>
          <t>N/A (Not Assigned)</t>
        </is>
      </c>
      <c r="I574" s="14" t="inlineStr">
        <is>
          <t>-</t>
        </is>
      </c>
    </row>
    <row r="575" ht="20" customHeight="1">
      <c r="A575" s="58" t="n">
        <v>46274.77463581019</v>
      </c>
      <c r="B575" s="19" t="inlineStr">
        <is>
          <t>3. This Month (Sep 2026)</t>
        </is>
      </c>
      <c r="C575" s="17" t="inlineStr">
        <is>
          <t>Meta Ads (NB PropertyTech Survey Ad 3108)</t>
        </is>
      </c>
      <c r="D575" s="17" t="inlineStr">
        <is>
          <t>Ravi Rajyaguru (9426758665)</t>
        </is>
      </c>
      <c r="E575" s="17" t="inlineStr">
        <is>
          <t>Prexa Vithalapara</t>
        </is>
      </c>
      <c r="F575" s="17" t="inlineStr">
        <is>
          <t>Rejected / Lost</t>
        </is>
      </c>
      <c r="G575" s="17" t="inlineStr">
        <is>
          <t>Rajan Purani</t>
        </is>
      </c>
      <c r="H575" s="17" t="inlineStr">
        <is>
          <t>Rejected (No Requirement)</t>
        </is>
      </c>
      <c r="I575" s="17" t="inlineStr">
        <is>
          <t>[Telecaller Key Points]: He need 1 bhk  budget 40 lacs, already coordinate with Mr. Rajan Purani
[Telecaller Key Points]: he need 1 bhk sale inq max budget 40 lakh | Transfer: He need 1 bhk  budget 40 lacs, already coordinate with Mr. Rajan Purani | Transfer Note: He need 1 bhk  budget 40 lacs, already coordinate with Mr. Rajan Purani | Followup: options not available searching options and share details | CRM: [Telecaller Key Points]: He need 1 bhk  budget 40 lacs, already coordinate with Mr. Rajan Purani
[Telecaller Key Points]: he need 1 bhk sale inq max budget 40 lakh | CRM Followup: options not available searching options and share details | He need 1 bhk  budget 40 lacs, already coordinate with Mr. Rajan Purani
[26 Sep '26, 10:33 AM] option not available searching property and shared</t>
        </is>
      </c>
    </row>
    <row r="576" ht="20" customHeight="1">
      <c r="A576" s="57" t="n">
        <v>46274.77463569445</v>
      </c>
      <c r="B576" s="16" t="inlineStr">
        <is>
          <t>3. This Month (Sep 2026)</t>
        </is>
      </c>
      <c r="C576" s="14" t="inlineStr">
        <is>
          <t>Meta Ads (NB PropertyTech Survey Ad 3108)</t>
        </is>
      </c>
      <c r="D576" s="14" t="inlineStr">
        <is>
          <t>Hemal Vaghela (7046104905)</t>
        </is>
      </c>
      <c r="E576" s="14" t="inlineStr">
        <is>
          <t>Prexa Vithalapara</t>
        </is>
      </c>
      <c r="F576" s="14" t="inlineStr">
        <is>
          <t>Interested</t>
        </is>
      </c>
      <c r="G576" s="14" t="inlineStr">
        <is>
          <t>Not Assigned</t>
        </is>
      </c>
      <c r="H576" s="14" t="inlineStr">
        <is>
          <t>N/A (Not Assigned)</t>
        </is>
      </c>
      <c r="I576" s="14" t="inlineStr">
        <is>
          <t>-</t>
        </is>
      </c>
    </row>
    <row r="577" ht="20" customHeight="1">
      <c r="A577" s="58" t="n">
        <v>46274.77463550926</v>
      </c>
      <c r="B577" s="19" t="inlineStr">
        <is>
          <t>3. This Month (Sep 2026)</t>
        </is>
      </c>
      <c r="C577" s="17" t="inlineStr">
        <is>
          <t>Meta Ads (NB PropertyTech Survey Ad 3108)</t>
        </is>
      </c>
      <c r="D577" s="17" t="inlineStr">
        <is>
          <t>Ʂŋɛɧąɩ ყɛơɩą (8181049711)</t>
        </is>
      </c>
      <c r="E577" s="17" t="inlineStr">
        <is>
          <t>Prexa Vithalapara</t>
        </is>
      </c>
      <c r="F577" s="17" t="inlineStr">
        <is>
          <t>New</t>
        </is>
      </c>
      <c r="G577" s="17" t="inlineStr">
        <is>
          <t>Not Assigned</t>
        </is>
      </c>
      <c r="H577" s="17" t="inlineStr">
        <is>
          <t>N/A (Not Assigned)</t>
        </is>
      </c>
      <c r="I577" s="17" t="inlineStr">
        <is>
          <t>[Staying: couple] [Campaign: NB PropertyTech Survey Ad 3108] Imported from Campaign Leads (Meta Ads).</t>
        </is>
      </c>
    </row>
    <row r="578" ht="20" customHeight="1">
      <c r="A578" s="57" t="n">
        <v>46274.77463517361</v>
      </c>
      <c r="B578" s="16" t="inlineStr">
        <is>
          <t>3. This Month (Sep 2026)</t>
        </is>
      </c>
      <c r="C578" s="14" t="inlineStr">
        <is>
          <t>Meta Ads (NB PropertyTech Survey Ad 0308)</t>
        </is>
      </c>
      <c r="D578" s="14" t="inlineStr">
        <is>
          <t>Ashvin Jani (9824008333)</t>
        </is>
      </c>
      <c r="E578" s="14" t="inlineStr">
        <is>
          <t>Prexa Vithalapara</t>
        </is>
      </c>
      <c r="F578" s="14" t="inlineStr">
        <is>
          <t>CNR (Could Not Reach)</t>
        </is>
      </c>
      <c r="G578" s="14" t="inlineStr">
        <is>
          <t>Not Assigned</t>
        </is>
      </c>
      <c r="H578" s="14" t="inlineStr">
        <is>
          <t>N/A (Not Assigned)</t>
        </is>
      </c>
      <c r="I578" s="14" t="inlineStr">
        <is>
          <t>-</t>
        </is>
      </c>
    </row>
    <row r="579" ht="20" customHeight="1">
      <c r="A579" s="58" t="n">
        <v>46274.7746349537</v>
      </c>
      <c r="B579" s="19" t="inlineStr">
        <is>
          <t>3. This Month (Sep 2026)</t>
        </is>
      </c>
      <c r="C579" s="17" t="inlineStr">
        <is>
          <t>Meta Ads (NB PropertyTech Survey Ad 3108)</t>
        </is>
      </c>
      <c r="D579" s="17" t="inlineStr">
        <is>
          <t>Bhavesh Shah (8758178856)</t>
        </is>
      </c>
      <c r="E579" s="17" t="inlineStr">
        <is>
          <t>Zeel Mudaliyar</t>
        </is>
      </c>
      <c r="F579" s="17" t="inlineStr">
        <is>
          <t>New</t>
        </is>
      </c>
      <c r="G579" s="17" t="inlineStr">
        <is>
          <t>Not Assigned</t>
        </is>
      </c>
      <c r="H579" s="17" t="inlineStr">
        <is>
          <t>N/A (Not Assigned)</t>
        </is>
      </c>
      <c r="I579" s="17" t="inlineStr">
        <is>
          <t>-</t>
        </is>
      </c>
    </row>
    <row r="580" ht="20" customHeight="1">
      <c r="A580" s="57" t="n">
        <v>46274.77463482639</v>
      </c>
      <c r="B580" s="16" t="inlineStr">
        <is>
          <t>3. This Month (Sep 2026)</t>
        </is>
      </c>
      <c r="C580" s="14" t="inlineStr">
        <is>
          <t>Meta Ads (NB PropertyTech Survey Ad 3108)</t>
        </is>
      </c>
      <c r="D580" s="14" t="inlineStr">
        <is>
          <t>Het Mavani (9033142333)</t>
        </is>
      </c>
      <c r="E580" s="14" t="inlineStr">
        <is>
          <t>Zeel Mudaliyar</t>
        </is>
      </c>
      <c r="F580" s="14" t="inlineStr">
        <is>
          <t>New</t>
        </is>
      </c>
      <c r="G580" s="14" t="inlineStr">
        <is>
          <t>Not Assigned</t>
        </is>
      </c>
      <c r="H580" s="14" t="inlineStr">
        <is>
          <t>N/A (Not Assigned)</t>
        </is>
      </c>
      <c r="I580" s="14" t="inlineStr">
        <is>
          <t>-</t>
        </is>
      </c>
    </row>
    <row r="581" ht="20" customHeight="1">
      <c r="A581" s="58" t="n">
        <v>46274.77463460648</v>
      </c>
      <c r="B581" s="19" t="inlineStr">
        <is>
          <t>3. This Month (Sep 2026)</t>
        </is>
      </c>
      <c r="C581" s="17" t="inlineStr">
        <is>
          <t>Meta Ads (NB PropertyTech Survey Ad 3108)</t>
        </is>
      </c>
      <c r="D581" s="17" t="inlineStr">
        <is>
          <t>Ghanshyamsinh Gohel (9737974377)</t>
        </is>
      </c>
      <c r="E581" s="17" t="inlineStr">
        <is>
          <t>Prexa Vithalapara</t>
        </is>
      </c>
      <c r="F581" s="17" t="inlineStr">
        <is>
          <t>New</t>
        </is>
      </c>
      <c r="G581" s="17" t="inlineStr">
        <is>
          <t>Not Assigned</t>
        </is>
      </c>
      <c r="H581" s="17" t="inlineStr">
        <is>
          <t>N/A (Not Assigned)</t>
        </is>
      </c>
      <c r="I581" s="17" t="inlineStr">
        <is>
          <t>-</t>
        </is>
      </c>
    </row>
    <row r="582" ht="20" customHeight="1">
      <c r="A582" s="57" t="n">
        <v>46274.77463439815</v>
      </c>
      <c r="B582" s="16" t="inlineStr">
        <is>
          <t>3. This Month (Sep 2026)</t>
        </is>
      </c>
      <c r="C582" s="14" t="inlineStr">
        <is>
          <t>Meta Ads (NB PropertyTech Survey Ad 3108)</t>
        </is>
      </c>
      <c r="D582" s="14" t="inlineStr">
        <is>
          <t>𝕄𝕒𝕪𝕒𝕟𝕜 𝔾𝕦𝕡𝕥𝕒 (9427971960)</t>
        </is>
      </c>
      <c r="E582" s="14" t="inlineStr">
        <is>
          <t>Prexa Vithalapara</t>
        </is>
      </c>
      <c r="F582" s="14" t="inlineStr">
        <is>
          <t>CNR (Could Not Reach)</t>
        </is>
      </c>
      <c r="G582" s="14" t="inlineStr">
        <is>
          <t>Not Assigned</t>
        </is>
      </c>
      <c r="H582" s="14" t="inlineStr">
        <is>
          <t>N/A (Not Assigned)</t>
        </is>
      </c>
      <c r="I582" s="14" t="inlineStr">
        <is>
          <t>Transfer Note: Out of service | Followup: CNR</t>
        </is>
      </c>
    </row>
    <row r="583" ht="20" customHeight="1">
      <c r="A583" s="58" t="n">
        <v>46274.77463414352</v>
      </c>
      <c r="B583" s="19" t="inlineStr">
        <is>
          <t>3. This Month (Sep 2026)</t>
        </is>
      </c>
      <c r="C583" s="17" t="inlineStr">
        <is>
          <t>Meta Ads (NB PropertyTech Survey Ad 3108)</t>
        </is>
      </c>
      <c r="D583" s="17" t="inlineStr">
        <is>
          <t>Crazy Bites (7043129388)</t>
        </is>
      </c>
      <c r="E583" s="17" t="inlineStr">
        <is>
          <t>Prexa Vithalapara</t>
        </is>
      </c>
      <c r="F583" s="17" t="inlineStr">
        <is>
          <t>Rejected / Lost</t>
        </is>
      </c>
      <c r="G583" s="17" t="inlineStr">
        <is>
          <t>Not Assigned</t>
        </is>
      </c>
      <c r="H583" s="17" t="inlineStr">
        <is>
          <t>N/A (Not Assigned)</t>
        </is>
      </c>
      <c r="I583" s="17" t="inlineStr">
        <is>
          <t>-</t>
        </is>
      </c>
    </row>
    <row r="584" ht="20" customHeight="1">
      <c r="A584" s="57" t="n">
        <v>46274.77463399305</v>
      </c>
      <c r="B584" s="16" t="inlineStr">
        <is>
          <t>3. This Month (Sep 2026)</t>
        </is>
      </c>
      <c r="C584" s="14" t="inlineStr">
        <is>
          <t>Meta Ads (NB PropertyTech Survey Ad 3108)</t>
        </is>
      </c>
      <c r="D584" s="14" t="inlineStr">
        <is>
          <t>Deepti Paresh Bhatia (9898314761)</t>
        </is>
      </c>
      <c r="E584" s="14" t="inlineStr">
        <is>
          <t>Unassigned</t>
        </is>
      </c>
      <c r="F584" s="14" t="inlineStr">
        <is>
          <t>CNR (Could Not Reach)</t>
        </is>
      </c>
      <c r="G584" s="14" t="inlineStr">
        <is>
          <t>Not Assigned</t>
        </is>
      </c>
      <c r="H584" s="14" t="inlineStr">
        <is>
          <t>N/A (Not Assigned)</t>
        </is>
      </c>
      <c r="I584" s="14" t="inlineStr">
        <is>
          <t>-</t>
        </is>
      </c>
    </row>
    <row r="585" ht="20" customHeight="1">
      <c r="A585" s="58" t="n">
        <v>46274.77463381944</v>
      </c>
      <c r="B585" s="19" t="inlineStr">
        <is>
          <t>3. This Month (Sep 2026)</t>
        </is>
      </c>
      <c r="C585" s="17" t="inlineStr">
        <is>
          <t>Meta Ads (NB PropertyTech Survey Ad 3108)</t>
        </is>
      </c>
      <c r="D585" s="17" t="inlineStr">
        <is>
          <t>Marshal (8460206097)</t>
        </is>
      </c>
      <c r="E585" s="17" t="inlineStr">
        <is>
          <t>Zeel Mudaliyar</t>
        </is>
      </c>
      <c r="F585" s="17" t="inlineStr">
        <is>
          <t>New</t>
        </is>
      </c>
      <c r="G585" s="17" t="inlineStr">
        <is>
          <t>Not Assigned</t>
        </is>
      </c>
      <c r="H585" s="17" t="inlineStr">
        <is>
          <t>N/A (Not Assigned)</t>
        </is>
      </c>
      <c r="I585" s="17" t="inlineStr">
        <is>
          <t>-</t>
        </is>
      </c>
    </row>
    <row r="586" ht="20" customHeight="1">
      <c r="A586" s="57" t="n">
        <v>46274.77462542824</v>
      </c>
      <c r="B586" s="16" t="inlineStr">
        <is>
          <t>3. This Month (Sep 2026)</t>
        </is>
      </c>
      <c r="C586" s="14" t="inlineStr">
        <is>
          <t>Meta Ads (NB PropertyTech Survey Ad 3108)</t>
        </is>
      </c>
      <c r="D586" s="14" t="inlineStr">
        <is>
          <t>Paresh Gandhi (9879326725)</t>
        </is>
      </c>
      <c r="E586" s="14" t="inlineStr">
        <is>
          <t>Unassigned</t>
        </is>
      </c>
      <c r="F586" s="14" t="inlineStr">
        <is>
          <t>Sales</t>
        </is>
      </c>
      <c r="G586" s="14" t="inlineStr">
        <is>
          <t>Rajan Purani</t>
        </is>
      </c>
      <c r="H586" s="14" t="inlineStr">
        <is>
          <t>Follow-Up</t>
        </is>
      </c>
      <c r="I586" s="14" t="inlineStr">
        <is>
          <t>Req 2BHK, paldi, navangpura, narayanpura,law garden, 20-25k  budget, furnished,family | Transfer: Req 2BHK, paldi, navangpura, narayanpura,law garden, 20-25k  budget, furnished,family | Transfer Note: Req 2BHK, paldi, navangpura, narayanpura,law garden, 20-25k  budget, furnished,family | [Telecaller Key Points]: Req 2BHK, paldi, navangpura, narayanpura,law garden, 20-25k  budget, furnished,family</t>
        </is>
      </c>
    </row>
    <row r="587" ht="20" customHeight="1">
      <c r="A587" s="58" t="n">
        <v>46274.77462532408</v>
      </c>
      <c r="B587" s="19" t="inlineStr">
        <is>
          <t>3. This Month (Sep 2026)</t>
        </is>
      </c>
      <c r="C587" s="17" t="inlineStr">
        <is>
          <t>Meta Ads (NB PropertyTech Survey Ad 3108)</t>
        </is>
      </c>
      <c r="D587" s="17" t="inlineStr">
        <is>
          <t>Manav Joshi (8140382476)</t>
        </is>
      </c>
      <c r="E587" s="17" t="inlineStr">
        <is>
          <t>Prexa Vithalapara</t>
        </is>
      </c>
      <c r="F587" s="17" t="inlineStr">
        <is>
          <t>New</t>
        </is>
      </c>
      <c r="G587" s="17" t="inlineStr">
        <is>
          <t>Not Assigned</t>
        </is>
      </c>
      <c r="H587" s="17" t="inlineStr">
        <is>
          <t>N/A (Not Assigned)</t>
        </is>
      </c>
      <c r="I587" s="17" t="inlineStr">
        <is>
          <t>-</t>
        </is>
      </c>
    </row>
    <row r="588" ht="20" customHeight="1">
      <c r="A588" s="57" t="n">
        <v>46274.77462520833</v>
      </c>
      <c r="B588" s="16" t="inlineStr">
        <is>
          <t>3. This Month (Sep 2026)</t>
        </is>
      </c>
      <c r="C588" s="14" t="inlineStr">
        <is>
          <t>Meta Ads (NB PropertyTech Survey Ad 3108)</t>
        </is>
      </c>
      <c r="D588" s="14" t="inlineStr">
        <is>
          <t>Bhumi Lakhani (8866508728)</t>
        </is>
      </c>
      <c r="E588" s="14" t="inlineStr">
        <is>
          <t>Prexa Vithalapara</t>
        </is>
      </c>
      <c r="F588" s="14" t="inlineStr">
        <is>
          <t>Interested</t>
        </is>
      </c>
      <c r="G588" s="14" t="inlineStr">
        <is>
          <t>Not Assigned</t>
        </is>
      </c>
      <c r="H588" s="14" t="inlineStr">
        <is>
          <t>N/A (Not Assigned)</t>
        </is>
      </c>
      <c r="I588" s="14" t="inlineStr">
        <is>
          <t>[Staying: family] [Campaign: NB PropertyTech Survey Ad 3108] Imported from Campaign Leads (Meta Ads).</t>
        </is>
      </c>
    </row>
    <row r="589" ht="20" customHeight="1">
      <c r="A589" s="58" t="n">
        <v>46274.77462508102</v>
      </c>
      <c r="B589" s="19" t="inlineStr">
        <is>
          <t>3. This Month (Sep 2026)</t>
        </is>
      </c>
      <c r="C589" s="17" t="inlineStr">
        <is>
          <t>Meta Ads (NB PropertyTech Survey Ad 3108)</t>
        </is>
      </c>
      <c r="D589" s="17" t="inlineStr">
        <is>
          <t>Rekha Songar (9377790109)</t>
        </is>
      </c>
      <c r="E589" s="17" t="inlineStr">
        <is>
          <t>Unassigned</t>
        </is>
      </c>
      <c r="F589" s="17" t="inlineStr">
        <is>
          <t>CNR (Could Not Reach)</t>
        </is>
      </c>
      <c r="G589" s="17" t="inlineStr">
        <is>
          <t>Not Assigned</t>
        </is>
      </c>
      <c r="H589" s="17" t="inlineStr">
        <is>
          <t>N/A (Not Assigned)</t>
        </is>
      </c>
      <c r="I589" s="17" t="inlineStr">
        <is>
          <t>-</t>
        </is>
      </c>
    </row>
    <row r="590" ht="20" customHeight="1">
      <c r="A590" s="57" t="n">
        <v>46274.77462494213</v>
      </c>
      <c r="B590" s="16" t="inlineStr">
        <is>
          <t>3. This Month (Sep 2026)</t>
        </is>
      </c>
      <c r="C590" s="14" t="inlineStr">
        <is>
          <t>Meta Ads (NB PropertyTech Survey Ad 3108)</t>
        </is>
      </c>
      <c r="D590" s="14" t="inlineStr">
        <is>
          <t>Jay Parmar (9033392296)</t>
        </is>
      </c>
      <c r="E590" s="14" t="inlineStr">
        <is>
          <t>Zeel Mudaliyar</t>
        </is>
      </c>
      <c r="F590" s="14" t="inlineStr">
        <is>
          <t>New</t>
        </is>
      </c>
      <c r="G590" s="14" t="inlineStr">
        <is>
          <t>Not Assigned</t>
        </is>
      </c>
      <c r="H590" s="14" t="inlineStr">
        <is>
          <t>N/A (Not Assigned)</t>
        </is>
      </c>
      <c r="I590" s="14" t="inlineStr">
        <is>
          <t>-</t>
        </is>
      </c>
    </row>
    <row r="591" ht="20" customHeight="1">
      <c r="A591" s="58" t="n">
        <v>46274.77462482639</v>
      </c>
      <c r="B591" s="19" t="inlineStr">
        <is>
          <t>3. This Month (Sep 2026)</t>
        </is>
      </c>
      <c r="C591" s="17" t="inlineStr">
        <is>
          <t>Meta Ads (NB PropertyTech Survey Ad 3108)</t>
        </is>
      </c>
      <c r="D591" s="17" t="inlineStr">
        <is>
          <t>Vipul Chhaya (9725001202)</t>
        </is>
      </c>
      <c r="E591" s="17" t="inlineStr">
        <is>
          <t>Prexa Vithalapara</t>
        </is>
      </c>
      <c r="F591" s="17" t="inlineStr">
        <is>
          <t>New</t>
        </is>
      </c>
      <c r="G591" s="17" t="inlineStr">
        <is>
          <t>Not Assigned</t>
        </is>
      </c>
      <c r="H591" s="17" t="inlineStr">
        <is>
          <t>N/A (Not Assigned)</t>
        </is>
      </c>
      <c r="I591" s="17" t="inlineStr">
        <is>
          <t>-</t>
        </is>
      </c>
    </row>
    <row r="592" ht="20" customHeight="1">
      <c r="A592" s="57" t="n">
        <v>46274.77462472222</v>
      </c>
      <c r="B592" s="16" t="inlineStr">
        <is>
          <t>3. This Month (Sep 2026)</t>
        </is>
      </c>
      <c r="C592" s="14" t="inlineStr">
        <is>
          <t>Meta Ads (NB PropertyTech Survey Ad 3108)</t>
        </is>
      </c>
      <c r="D592" s="14" t="inlineStr">
        <is>
          <t>Kkjand (9825320033)</t>
        </is>
      </c>
      <c r="E592" s="14" t="inlineStr">
        <is>
          <t>Prexa Vithalapara</t>
        </is>
      </c>
      <c r="F592" s="14" t="inlineStr">
        <is>
          <t>Interested</t>
        </is>
      </c>
      <c r="G592" s="14" t="inlineStr">
        <is>
          <t>Not Assigned</t>
        </is>
      </c>
      <c r="H592" s="14" t="inlineStr">
        <is>
          <t>N/A (Not Assigned)</t>
        </is>
      </c>
      <c r="I592" s="14" t="inlineStr">
        <is>
          <t>[Staying: family] [Campaign: NB PropertyTech Survey Ad 3108] Imported from Campaign Leads (Meta Ads).</t>
        </is>
      </c>
    </row>
    <row r="593" ht="20" customHeight="1">
      <c r="A593" s="58" t="n">
        <v>46274.77462460648</v>
      </c>
      <c r="B593" s="19" t="inlineStr">
        <is>
          <t>3. This Month (Sep 2026)</t>
        </is>
      </c>
      <c r="C593" s="17" t="inlineStr">
        <is>
          <t>Meta Ads (NB PropertyTech Survey Ad 3108)</t>
        </is>
      </c>
      <c r="D593" s="17" t="inlineStr">
        <is>
          <t>Dixa Prajapati (7016506422)</t>
        </is>
      </c>
      <c r="E593" s="17" t="inlineStr">
        <is>
          <t>Prexa Vithalapara</t>
        </is>
      </c>
      <c r="F593" s="17" t="inlineStr">
        <is>
          <t>New</t>
        </is>
      </c>
      <c r="G593" s="17" t="inlineStr">
        <is>
          <t>Not Assigned</t>
        </is>
      </c>
      <c r="H593" s="17" t="inlineStr">
        <is>
          <t>N/A (Not Assigned)</t>
        </is>
      </c>
      <c r="I593" s="17" t="inlineStr">
        <is>
          <t>-</t>
        </is>
      </c>
    </row>
    <row r="594" ht="20" customHeight="1">
      <c r="A594" s="57" t="n">
        <v>46274.77462449074</v>
      </c>
      <c r="B594" s="16" t="inlineStr">
        <is>
          <t>3. This Month (Sep 2026)</t>
        </is>
      </c>
      <c r="C594" s="14" t="inlineStr">
        <is>
          <t>Meta Ads (NB PropertyTech Survey Ad 3108)</t>
        </is>
      </c>
      <c r="D594" s="14" t="inlineStr">
        <is>
          <t>Bansari Ghiya Shah (9427736619)</t>
        </is>
      </c>
      <c r="E594" s="14" t="inlineStr">
        <is>
          <t>Zeel Mudaliyar</t>
        </is>
      </c>
      <c r="F594" s="14" t="inlineStr">
        <is>
          <t>New</t>
        </is>
      </c>
      <c r="G594" s="14" t="inlineStr">
        <is>
          <t>Not Assigned</t>
        </is>
      </c>
      <c r="H594" s="14" t="inlineStr">
        <is>
          <t>N/A (Not Assigned)</t>
        </is>
      </c>
      <c r="I594" s="14" t="inlineStr">
        <is>
          <t>-</t>
        </is>
      </c>
    </row>
    <row r="595" ht="20" customHeight="1">
      <c r="A595" s="58" t="n">
        <v>46274.77462436342</v>
      </c>
      <c r="B595" s="19" t="inlineStr">
        <is>
          <t>3. This Month (Sep 2026)</t>
        </is>
      </c>
      <c r="C595" s="17" t="inlineStr">
        <is>
          <t>Meta Ads (NB PropertyTech Survey Ad 3108)</t>
        </is>
      </c>
      <c r="D595" s="17" t="inlineStr">
        <is>
          <t>Payalpurohit (9909544999)</t>
        </is>
      </c>
      <c r="E595" s="17" t="inlineStr">
        <is>
          <t>Zeel Mudaliyar</t>
        </is>
      </c>
      <c r="F595" s="17" t="inlineStr">
        <is>
          <t>New</t>
        </is>
      </c>
      <c r="G595" s="17" t="inlineStr">
        <is>
          <t>Not Assigned</t>
        </is>
      </c>
      <c r="H595" s="17" t="inlineStr">
        <is>
          <t>N/A (Not Assigned)</t>
        </is>
      </c>
      <c r="I595" s="17" t="inlineStr">
        <is>
          <t>-</t>
        </is>
      </c>
    </row>
    <row r="596" ht="20" customHeight="1">
      <c r="A596" s="57" t="n">
        <v>46274.77462423611</v>
      </c>
      <c r="B596" s="16" t="inlineStr">
        <is>
          <t>3. This Month (Sep 2026)</t>
        </is>
      </c>
      <c r="C596" s="14" t="inlineStr">
        <is>
          <t>Meta Ads (NB PropertyTech Survey Ad 3108)</t>
        </is>
      </c>
      <c r="D596" s="14" t="inlineStr">
        <is>
          <t>Divanshu Shah (9157179353)</t>
        </is>
      </c>
      <c r="E596" s="14" t="inlineStr">
        <is>
          <t>Unassigned</t>
        </is>
      </c>
      <c r="F596" s="14" t="inlineStr">
        <is>
          <t>CNR (Could Not Reach)</t>
        </is>
      </c>
      <c r="G596" s="14" t="inlineStr">
        <is>
          <t>Not Assigned</t>
        </is>
      </c>
      <c r="H596" s="14" t="inlineStr">
        <is>
          <t>N/A (Not Assigned)</t>
        </is>
      </c>
      <c r="I596" s="14" t="inlineStr">
        <is>
          <t>-</t>
        </is>
      </c>
    </row>
    <row r="597" ht="20" customHeight="1">
      <c r="A597" s="58" t="n">
        <v>46274.7746241088</v>
      </c>
      <c r="B597" s="19" t="inlineStr">
        <is>
          <t>3. This Month (Sep 2026)</t>
        </is>
      </c>
      <c r="C597" s="17" t="inlineStr">
        <is>
          <t>Meta Ads (NB PropertyTech Survey Ad 3108)</t>
        </is>
      </c>
      <c r="D597" s="17" t="inlineStr">
        <is>
          <t>Kirit (9824949012)</t>
        </is>
      </c>
      <c r="E597" s="17" t="inlineStr">
        <is>
          <t>Unassigned</t>
        </is>
      </c>
      <c r="F597" s="17" t="inlineStr">
        <is>
          <t>Sales</t>
        </is>
      </c>
      <c r="G597" s="17" t="inlineStr">
        <is>
          <t>Rajan Purani</t>
        </is>
      </c>
      <c r="H597" s="17" t="inlineStr">
        <is>
          <t>Rejected (Locality Mismatch)</t>
        </is>
      </c>
      <c r="I597" s="17" t="inlineStr">
        <is>
          <t>Req 2bhk ,bopal , navangpura ,family | Transfer: Req 2bhk ,bopal , navangpura ,family | Transfer Note: Req 2bhk ,bopal , navangpura ,family | [Telecaller Key Points]: Req 2bhk ,bopal , navangpura ,family,, 15k ma 1/2 bhk joiye che</t>
        </is>
      </c>
    </row>
    <row r="598" ht="20" customHeight="1">
      <c r="A598" s="57" t="n">
        <v>46274.77462398148</v>
      </c>
      <c r="B598" s="16" t="inlineStr">
        <is>
          <t>3. This Month (Sep 2026)</t>
        </is>
      </c>
      <c r="C598" s="14" t="inlineStr">
        <is>
          <t>Meta Ads (NB PropertyTech Survey Ad 3108)</t>
        </is>
      </c>
      <c r="D598" s="14" t="inlineStr">
        <is>
          <t>Vishal Dave (7016921474)</t>
        </is>
      </c>
      <c r="E598" s="14" t="inlineStr">
        <is>
          <t>Prexa Vithalapara</t>
        </is>
      </c>
      <c r="F598" s="14" t="inlineStr">
        <is>
          <t>New</t>
        </is>
      </c>
      <c r="G598" s="14" t="inlineStr">
        <is>
          <t>Not Assigned</t>
        </is>
      </c>
      <c r="H598" s="14" t="inlineStr">
        <is>
          <t>N/A (Not Assigned)</t>
        </is>
      </c>
      <c r="I598" s="14" t="inlineStr">
        <is>
          <t>-</t>
        </is>
      </c>
    </row>
    <row r="599" ht="20" customHeight="1">
      <c r="A599" s="58" t="n">
        <v>46274.77462385417</v>
      </c>
      <c r="B599" s="19" t="inlineStr">
        <is>
          <t>3. This Month (Sep 2026)</t>
        </is>
      </c>
      <c r="C599" s="17" t="inlineStr">
        <is>
          <t>Meta Ads (NB PropertyTech Survey Ad 3108)</t>
        </is>
      </c>
      <c r="D599" s="17" t="inlineStr">
        <is>
          <t>||_khushi_20_|| (9824686063)</t>
        </is>
      </c>
      <c r="E599" s="17" t="inlineStr">
        <is>
          <t>Prexa Vithalapara</t>
        </is>
      </c>
      <c r="F599" s="17" t="inlineStr">
        <is>
          <t>New</t>
        </is>
      </c>
      <c r="G599" s="17" t="inlineStr">
        <is>
          <t>Not Assigned</t>
        </is>
      </c>
      <c r="H599" s="17" t="inlineStr">
        <is>
          <t>N/A (Not Assigned)</t>
        </is>
      </c>
      <c r="I599" s="17" t="inlineStr">
        <is>
          <t>-</t>
        </is>
      </c>
    </row>
    <row r="600" ht="20" customHeight="1">
      <c r="A600" s="57" t="n">
        <v>46274.77462373843</v>
      </c>
      <c r="B600" s="16" t="inlineStr">
        <is>
          <t>3. This Month (Sep 2026)</t>
        </is>
      </c>
      <c r="C600" s="14" t="inlineStr">
        <is>
          <t>Meta Ads (NB PropertyTech Survey Ad 3108)</t>
        </is>
      </c>
      <c r="D600" s="14" t="inlineStr">
        <is>
          <t>Kiran Sathaliya (9824155373)</t>
        </is>
      </c>
      <c r="E600" s="14" t="inlineStr">
        <is>
          <t>Prexa Vithalapara</t>
        </is>
      </c>
      <c r="F600" s="14" t="inlineStr">
        <is>
          <t>New</t>
        </is>
      </c>
      <c r="G600" s="14" t="inlineStr">
        <is>
          <t>Not Assigned</t>
        </is>
      </c>
      <c r="H600" s="14" t="inlineStr">
        <is>
          <t>N/A (Not Assigned)</t>
        </is>
      </c>
      <c r="I600" s="14" t="inlineStr">
        <is>
          <t>-</t>
        </is>
      </c>
    </row>
    <row r="601" ht="20" customHeight="1">
      <c r="A601" s="58" t="n">
        <v>46274.77462361111</v>
      </c>
      <c r="B601" s="19" t="inlineStr">
        <is>
          <t>3. This Month (Sep 2026)</t>
        </is>
      </c>
      <c r="C601" s="17" t="inlineStr">
        <is>
          <t>Meta Ads (NB PropertyTech Survey Ad 3108)</t>
        </is>
      </c>
      <c r="D601" s="17" t="inlineStr">
        <is>
          <t>Monil Parmar (7383372986)</t>
        </is>
      </c>
      <c r="E601" s="17" t="inlineStr">
        <is>
          <t>Unassigned</t>
        </is>
      </c>
      <c r="F601" s="17" t="inlineStr">
        <is>
          <t>Sales</t>
        </is>
      </c>
      <c r="G601" s="17" t="inlineStr">
        <is>
          <t>Rajan Purani</t>
        </is>
      </c>
      <c r="H601" s="17" t="inlineStr">
        <is>
          <t>Follow-Up</t>
        </is>
      </c>
      <c r="I601" s="17" t="inlineStr">
        <is>
          <t>Req sivranjni near 6-7km , 3BHK, 27k budget | Transfer: Req sivranjni near 6-7km , 3BHK, 27k budget | Transfer Note: Req sivranjni near 6-7km , 3BHK, 27k budget | [Telecaller Key Points]: Req sivranjni near 6-7km , 3BHK, 27k budget</t>
        </is>
      </c>
    </row>
    <row r="602" ht="20" customHeight="1">
      <c r="A602" s="57" t="n">
        <v>46274.77462346065</v>
      </c>
      <c r="B602" s="16" t="inlineStr">
        <is>
          <t>3. This Month (Sep 2026)</t>
        </is>
      </c>
      <c r="C602" s="14" t="inlineStr">
        <is>
          <t>Meta Ads (NB PropertyTech Survey Ad 3108)</t>
        </is>
      </c>
      <c r="D602" s="14" t="inlineStr">
        <is>
          <t>N Desai (9726480351)</t>
        </is>
      </c>
      <c r="E602" s="14" t="inlineStr">
        <is>
          <t>Zeel Mudaliyar</t>
        </is>
      </c>
      <c r="F602" s="14" t="inlineStr">
        <is>
          <t>New</t>
        </is>
      </c>
      <c r="G602" s="14" t="inlineStr">
        <is>
          <t>Not Assigned</t>
        </is>
      </c>
      <c r="H602" s="14" t="inlineStr">
        <is>
          <t>N/A (Not Assigned)</t>
        </is>
      </c>
      <c r="I602" s="14" t="inlineStr">
        <is>
          <t>-</t>
        </is>
      </c>
    </row>
    <row r="603" ht="20" customHeight="1">
      <c r="A603" s="58" t="n">
        <v>46274.77462332176</v>
      </c>
      <c r="B603" s="19" t="inlineStr">
        <is>
          <t>3. This Month (Sep 2026)</t>
        </is>
      </c>
      <c r="C603" s="17" t="inlineStr">
        <is>
          <t>Meta Ads (NB PropertyTech Survey Ad 3108)</t>
        </is>
      </c>
      <c r="D603" s="17" t="inlineStr">
        <is>
          <t>Deepa Maniyar (6353480422)</t>
        </is>
      </c>
      <c r="E603" s="17" t="inlineStr">
        <is>
          <t>Unassigned</t>
        </is>
      </c>
      <c r="F603" s="17" t="inlineStr">
        <is>
          <t>CNR (Could Not Reach)</t>
        </is>
      </c>
      <c r="G603" s="17" t="inlineStr">
        <is>
          <t>Not Assigned</t>
        </is>
      </c>
      <c r="H603" s="17" t="inlineStr">
        <is>
          <t>N/A (Not Assigned)</t>
        </is>
      </c>
      <c r="I603" s="17" t="inlineStr">
        <is>
          <t>-</t>
        </is>
      </c>
    </row>
    <row r="604" ht="20" customHeight="1">
      <c r="A604" s="57" t="n">
        <v>46274.77462318287</v>
      </c>
      <c r="B604" s="16" t="inlineStr">
        <is>
          <t>3. This Month (Sep 2026)</t>
        </is>
      </c>
      <c r="C604" s="14" t="inlineStr">
        <is>
          <t>Meta Ads (NB PropertyTech Survey Ad 3108)</t>
        </is>
      </c>
      <c r="D604" s="14" t="inlineStr">
        <is>
          <t>Dharti Umrania (8758043902)</t>
        </is>
      </c>
      <c r="E604" s="14" t="inlineStr">
        <is>
          <t>Unassigned</t>
        </is>
      </c>
      <c r="F604" s="14" t="inlineStr">
        <is>
          <t>CNR (Could Not Reach)</t>
        </is>
      </c>
      <c r="G604" s="14" t="inlineStr">
        <is>
          <t>Not Assigned</t>
        </is>
      </c>
      <c r="H604" s="14" t="inlineStr">
        <is>
          <t>N/A (Not Assigned)</t>
        </is>
      </c>
      <c r="I604" s="14" t="inlineStr">
        <is>
          <t>2nd time visit done shivam arcade, shajanand Oasis, krishna apartment, pratham heights call for evening meeting</t>
        </is>
      </c>
    </row>
    <row r="605" ht="20" customHeight="1">
      <c r="A605" s="58" t="n">
        <v>46274.77462299768</v>
      </c>
      <c r="B605" s="19" t="inlineStr">
        <is>
          <t>3. This Month (Sep 2026)</t>
        </is>
      </c>
      <c r="C605" s="17" t="inlineStr">
        <is>
          <t>Meta Ads (NB PropertyTech Survey Ad 3108)</t>
        </is>
      </c>
      <c r="D605" s="17" t="inlineStr">
        <is>
          <t>Vibhuti Trivedi (9428416874)</t>
        </is>
      </c>
      <c r="E605" s="17" t="inlineStr">
        <is>
          <t>Unassigned</t>
        </is>
      </c>
      <c r="F605" s="17" t="inlineStr">
        <is>
          <t>CNR (Could Not Reach)</t>
        </is>
      </c>
      <c r="G605" s="17" t="inlineStr">
        <is>
          <t>Not Assigned</t>
        </is>
      </c>
      <c r="H605" s="17" t="inlineStr">
        <is>
          <t>N/A (Not Assigned)</t>
        </is>
      </c>
      <c r="I605" s="17" t="inlineStr">
        <is>
          <t>-</t>
        </is>
      </c>
    </row>
    <row r="606" ht="20" customHeight="1">
      <c r="A606" s="57" t="n">
        <v>46274.77462274305</v>
      </c>
      <c r="B606" s="16" t="inlineStr">
        <is>
          <t>3. This Month (Sep 2026)</t>
        </is>
      </c>
      <c r="C606" s="14" t="inlineStr">
        <is>
          <t>Meta Ads (NB PropertyTech Survey Ad 3108)</t>
        </is>
      </c>
      <c r="D606" s="14" t="inlineStr">
        <is>
          <t>Dharmesh Khajanchi (9374509998)</t>
        </is>
      </c>
      <c r="E606" s="14" t="inlineStr">
        <is>
          <t>Unassigned</t>
        </is>
      </c>
      <c r="F606" s="14" t="inlineStr">
        <is>
          <t>Sales</t>
        </is>
      </c>
      <c r="G606" s="14" t="inlineStr">
        <is>
          <t>Somel Rathod</t>
        </is>
      </c>
      <c r="H606" s="14" t="inlineStr">
        <is>
          <t>Assigned</t>
        </is>
      </c>
      <c r="I606" s="14" t="inlineStr">
        <is>
          <t>Req sola, fully furnished 2BHK,with out furnished 3BHK, 22k budget | Transfer: Req sola, fully furnished 2BHK,with out furnished 3BHK, 22k budget | Transfer Note: Req sola, fully furnished 2BHK,with out furnished 3BHK, 22k budget | [Telecaller Key Points]: Req sola, fully furnished 2BHK,with out furnished 3BHK, 22k budget</t>
        </is>
      </c>
    </row>
    <row r="607" ht="20" customHeight="1">
      <c r="A607" s="58" t="n">
        <v>46274.77462252315</v>
      </c>
      <c r="B607" s="19" t="inlineStr">
        <is>
          <t>3. This Month (Sep 2026)</t>
        </is>
      </c>
      <c r="C607" s="17" t="inlineStr">
        <is>
          <t>Meta Ads (NB PropertyTech Survey Ad 3108)</t>
        </is>
      </c>
      <c r="D607" s="17" t="inlineStr">
        <is>
          <t>Hitesh Jayantilal Jethva (7069609999)</t>
        </is>
      </c>
      <c r="E607" s="17" t="inlineStr">
        <is>
          <t>Unassigned</t>
        </is>
      </c>
      <c r="F607" s="17" t="inlineStr">
        <is>
          <t>CNR (Could Not Reach)</t>
        </is>
      </c>
      <c r="G607" s="17" t="inlineStr">
        <is>
          <t>Not Assigned</t>
        </is>
      </c>
      <c r="H607" s="17" t="inlineStr">
        <is>
          <t>N/A (Not Assigned)</t>
        </is>
      </c>
      <c r="I607" s="17" t="inlineStr">
        <is>
          <t>-</t>
        </is>
      </c>
    </row>
    <row r="608" ht="20" customHeight="1">
      <c r="A608" s="57" t="n">
        <v>46274.77462226852</v>
      </c>
      <c r="B608" s="16" t="inlineStr">
        <is>
          <t>3. This Month (Sep 2026)</t>
        </is>
      </c>
      <c r="C608" s="14" t="inlineStr">
        <is>
          <t>Meta Ads (NB PropertyTech Survey Ad 3108)</t>
        </is>
      </c>
      <c r="D608" s="14" t="inlineStr">
        <is>
          <t>Kishan Mistry (9737691775)</t>
        </is>
      </c>
      <c r="E608" s="14" t="inlineStr">
        <is>
          <t>Prexa Vithalapara</t>
        </is>
      </c>
      <c r="F608" s="14" t="inlineStr">
        <is>
          <t>New</t>
        </is>
      </c>
      <c r="G608" s="14" t="inlineStr">
        <is>
          <t>Not Assigned</t>
        </is>
      </c>
      <c r="H608" s="14" t="inlineStr">
        <is>
          <t>N/A (Not Assigned)</t>
        </is>
      </c>
      <c r="I608" s="14" t="inlineStr">
        <is>
          <t>-</t>
        </is>
      </c>
    </row>
    <row r="609" ht="20" customHeight="1">
      <c r="A609" s="58" t="n">
        <v>46274.77462212963</v>
      </c>
      <c r="B609" s="19" t="inlineStr">
        <is>
          <t>3. This Month (Sep 2026)</t>
        </is>
      </c>
      <c r="C609" s="17" t="inlineStr">
        <is>
          <t>Meta Ads (NB PropertyTech Survey Ad 3108)</t>
        </is>
      </c>
      <c r="D609" s="17" t="inlineStr">
        <is>
          <t>Rajesh Adroja (9998441037)</t>
        </is>
      </c>
      <c r="E609" s="17" t="inlineStr">
        <is>
          <t>Prexa Vithalapara</t>
        </is>
      </c>
      <c r="F609" s="17" t="inlineStr">
        <is>
          <t>New</t>
        </is>
      </c>
      <c r="G609" s="17" t="inlineStr">
        <is>
          <t>Not Assigned</t>
        </is>
      </c>
      <c r="H609" s="17" t="inlineStr">
        <is>
          <t>N/A (Not Assigned)</t>
        </is>
      </c>
      <c r="I609" s="17" t="inlineStr">
        <is>
          <t>-</t>
        </is>
      </c>
    </row>
    <row r="610" ht="20" customHeight="1">
      <c r="A610" s="57" t="n">
        <v>46274.77462180555</v>
      </c>
      <c r="B610" s="16" t="inlineStr">
        <is>
          <t>3. This Month (Sep 2026)</t>
        </is>
      </c>
      <c r="C610" s="14" t="inlineStr">
        <is>
          <t>Meta Ads (NB PropertyTech Survey Ad 3108)</t>
        </is>
      </c>
      <c r="D610" s="14" t="inlineStr">
        <is>
          <t>Tanay Shah (9879407191)</t>
        </is>
      </c>
      <c r="E610" s="14" t="inlineStr">
        <is>
          <t>Prexa Vithalapara</t>
        </is>
      </c>
      <c r="F610" s="14" t="inlineStr">
        <is>
          <t>New</t>
        </is>
      </c>
      <c r="G610" s="14" t="inlineStr">
        <is>
          <t>Not Assigned</t>
        </is>
      </c>
      <c r="H610" s="14" t="inlineStr">
        <is>
          <t>N/A (Not Assigned)</t>
        </is>
      </c>
      <c r="I610" s="14" t="inlineStr">
        <is>
          <t>[Staying: family] [Campaign: NB PropertyTech Survey Ad 3108] Imported from Campaign Leads (Meta Ads).</t>
        </is>
      </c>
    </row>
    <row r="611" ht="20" customHeight="1">
      <c r="A611" s="58" t="n">
        <v>46274.77462163194</v>
      </c>
      <c r="B611" s="19" t="inlineStr">
        <is>
          <t>3. This Month (Sep 2026)</t>
        </is>
      </c>
      <c r="C611" s="17" t="inlineStr">
        <is>
          <t>Meta Ads (NB PropertyTech Survey Ad 3108)</t>
        </is>
      </c>
      <c r="D611" s="17" t="inlineStr">
        <is>
          <t>Diyliip Makwana (9737311190)</t>
        </is>
      </c>
      <c r="E611" s="17" t="inlineStr">
        <is>
          <t>Zeel Mudaliyar</t>
        </is>
      </c>
      <c r="F611" s="17" t="inlineStr">
        <is>
          <t>New</t>
        </is>
      </c>
      <c r="G611" s="17" t="inlineStr">
        <is>
          <t>Not Assigned</t>
        </is>
      </c>
      <c r="H611" s="17" t="inlineStr">
        <is>
          <t>N/A (Not Assigned)</t>
        </is>
      </c>
      <c r="I611" s="17" t="inlineStr">
        <is>
          <t>-</t>
        </is>
      </c>
    </row>
    <row r="612" ht="20" customHeight="1">
      <c r="A612" s="57" t="n">
        <v>46274.77462142361</v>
      </c>
      <c r="B612" s="16" t="inlineStr">
        <is>
          <t>3. This Month (Sep 2026)</t>
        </is>
      </c>
      <c r="C612" s="14" t="inlineStr">
        <is>
          <t>Meta Ads (NB PropertyTech Survey Ad 3108)</t>
        </is>
      </c>
      <c r="D612" s="14" t="inlineStr">
        <is>
          <t>Hitesh Panchal (9898047959)</t>
        </is>
      </c>
      <c r="E612" s="14" t="inlineStr">
        <is>
          <t>Prexa Vithalapara</t>
        </is>
      </c>
      <c r="F612" s="14" t="inlineStr">
        <is>
          <t>New</t>
        </is>
      </c>
      <c r="G612" s="14" t="inlineStr">
        <is>
          <t>Not Assigned</t>
        </is>
      </c>
      <c r="H612" s="14" t="inlineStr">
        <is>
          <t>N/A (Not Assigned)</t>
        </is>
      </c>
      <c r="I612" s="14" t="inlineStr">
        <is>
          <t>-</t>
        </is>
      </c>
    </row>
    <row r="613" ht="20" customHeight="1">
      <c r="A613" s="58" t="n">
        <v>46274.77462123842</v>
      </c>
      <c r="B613" s="19" t="inlineStr">
        <is>
          <t>3. This Month (Sep 2026)</t>
        </is>
      </c>
      <c r="C613" s="17" t="inlineStr">
        <is>
          <t>Meta Ads (NB PropertyTech Survey Ad 3108)</t>
        </is>
      </c>
      <c r="D613" s="17" t="inlineStr">
        <is>
          <t>Shital Shah (9879704033)</t>
        </is>
      </c>
      <c r="E613" s="17" t="inlineStr">
        <is>
          <t>Zeel Mudaliyar</t>
        </is>
      </c>
      <c r="F613" s="17" t="inlineStr">
        <is>
          <t>New</t>
        </is>
      </c>
      <c r="G613" s="17" t="inlineStr">
        <is>
          <t>Not Assigned</t>
        </is>
      </c>
      <c r="H613" s="17" t="inlineStr">
        <is>
          <t>N/A (Not Assigned)</t>
        </is>
      </c>
      <c r="I613" s="17" t="inlineStr">
        <is>
          <t>-</t>
        </is>
      </c>
    </row>
    <row r="614" ht="20" customHeight="1">
      <c r="A614" s="57" t="n">
        <v>46274.77462111111</v>
      </c>
      <c r="B614" s="16" t="inlineStr">
        <is>
          <t>3. This Month (Sep 2026)</t>
        </is>
      </c>
      <c r="C614" s="14" t="inlineStr">
        <is>
          <t>Meta Ads (NB PropertyTech Survey Ad 3108)</t>
        </is>
      </c>
      <c r="D614" s="14" t="inlineStr">
        <is>
          <t>Sanjay Patel (9909075097)</t>
        </is>
      </c>
      <c r="E614" s="14" t="inlineStr">
        <is>
          <t>Zeel Mudaliyar</t>
        </is>
      </c>
      <c r="F614" s="14" t="inlineStr">
        <is>
          <t>New</t>
        </is>
      </c>
      <c r="G614" s="14" t="inlineStr">
        <is>
          <t>Not Assigned</t>
        </is>
      </c>
      <c r="H614" s="14" t="inlineStr">
        <is>
          <t>N/A (Not Assigned)</t>
        </is>
      </c>
      <c r="I614" s="14" t="inlineStr">
        <is>
          <t>-</t>
        </is>
      </c>
    </row>
    <row r="615" ht="20" customHeight="1">
      <c r="A615" s="58" t="n">
        <v>46274.77462096065</v>
      </c>
      <c r="B615" s="19" t="inlineStr">
        <is>
          <t>3. This Month (Sep 2026)</t>
        </is>
      </c>
      <c r="C615" s="17" t="inlineStr">
        <is>
          <t>Meta Ads (NB PropertyTech Survey Ad 3108)</t>
        </is>
      </c>
      <c r="D615" s="17" t="inlineStr">
        <is>
          <t>Paulomee (9825288891)</t>
        </is>
      </c>
      <c r="E615" s="17" t="inlineStr">
        <is>
          <t>Zeel Mudaliyar</t>
        </is>
      </c>
      <c r="F615" s="17" t="inlineStr">
        <is>
          <t>New</t>
        </is>
      </c>
      <c r="G615" s="17" t="inlineStr">
        <is>
          <t>Not Assigned</t>
        </is>
      </c>
      <c r="H615" s="17" t="inlineStr">
        <is>
          <t>N/A (Not Assigned)</t>
        </is>
      </c>
      <c r="I615" s="17" t="inlineStr">
        <is>
          <t>-</t>
        </is>
      </c>
    </row>
    <row r="616" ht="20" customHeight="1">
      <c r="A616" s="57" t="n">
        <v>46274.77462083333</v>
      </c>
      <c r="B616" s="16" t="inlineStr">
        <is>
          <t>3. This Month (Sep 2026)</t>
        </is>
      </c>
      <c r="C616" s="14" t="inlineStr">
        <is>
          <t>Meta Ads (NB PropertyTech Survey Ad 3108)</t>
        </is>
      </c>
      <c r="D616" s="14" t="inlineStr">
        <is>
          <t>Ks Thakkar (9998363503)</t>
        </is>
      </c>
      <c r="E616" s="14" t="inlineStr">
        <is>
          <t>Prexa Vithalapara</t>
        </is>
      </c>
      <c r="F616" s="14" t="inlineStr">
        <is>
          <t>New</t>
        </is>
      </c>
      <c r="G616" s="14" t="inlineStr">
        <is>
          <t>Not Assigned</t>
        </is>
      </c>
      <c r="H616" s="14" t="inlineStr">
        <is>
          <t>N/A (Not Assigned)</t>
        </is>
      </c>
      <c r="I616" s="14" t="inlineStr">
        <is>
          <t>-</t>
        </is>
      </c>
    </row>
    <row r="617" ht="20" customHeight="1">
      <c r="A617" s="58" t="n">
        <v>46274.77462065972</v>
      </c>
      <c r="B617" s="19" t="inlineStr">
        <is>
          <t>3. This Month (Sep 2026)</t>
        </is>
      </c>
      <c r="C617" s="17" t="inlineStr">
        <is>
          <t>Meta Ads (NB PropertyTech Survey Ad 3108)</t>
        </is>
      </c>
      <c r="D617" s="17" t="inlineStr">
        <is>
          <t>Nayak Shilpia Janak Kiumr (9510669856)</t>
        </is>
      </c>
      <c r="E617" s="17" t="inlineStr">
        <is>
          <t>Prexa Vithalapara</t>
        </is>
      </c>
      <c r="F617" s="17" t="inlineStr">
        <is>
          <t>New</t>
        </is>
      </c>
      <c r="G617" s="17" t="inlineStr">
        <is>
          <t>Not Assigned</t>
        </is>
      </c>
      <c r="H617" s="17" t="inlineStr">
        <is>
          <t>N/A (Not Assigned)</t>
        </is>
      </c>
      <c r="I617" s="17" t="inlineStr">
        <is>
          <t>[Staying: couple] [Campaign: NB PropertyTech Survey Ad 3108] Imported from Campaign Leads (Meta Ads).</t>
        </is>
      </c>
    </row>
    <row r="618" ht="20" customHeight="1">
      <c r="A618" s="57" t="n">
        <v>46274.77462050926</v>
      </c>
      <c r="B618" s="16" t="inlineStr">
        <is>
          <t>3. This Month (Sep 2026)</t>
        </is>
      </c>
      <c r="C618" s="14" t="inlineStr">
        <is>
          <t>Meta Ads (NB PropertyTech Survey Ad 3108)</t>
        </is>
      </c>
      <c r="D618" s="14" t="inlineStr">
        <is>
          <t>Priyanka Kothari (9974408173)</t>
        </is>
      </c>
      <c r="E618" s="14" t="inlineStr">
        <is>
          <t>Zeel Mudaliyar</t>
        </is>
      </c>
      <c r="F618" s="14" t="inlineStr">
        <is>
          <t>New</t>
        </is>
      </c>
      <c r="G618" s="14" t="inlineStr">
        <is>
          <t>Not Assigned</t>
        </is>
      </c>
      <c r="H618" s="14" t="inlineStr">
        <is>
          <t>N/A (Not Assigned)</t>
        </is>
      </c>
      <c r="I618" s="14" t="inlineStr">
        <is>
          <t>-</t>
        </is>
      </c>
    </row>
    <row r="619" ht="20" customHeight="1">
      <c r="A619" s="58" t="n">
        <v>46274.77462039352</v>
      </c>
      <c r="B619" s="19" t="inlineStr">
        <is>
          <t>3. This Month (Sep 2026)</t>
        </is>
      </c>
      <c r="C619" s="17" t="inlineStr">
        <is>
          <t>Meta Ads (NB PropertyTech Survey Ad 3108)</t>
        </is>
      </c>
      <c r="D619" s="17" t="inlineStr">
        <is>
          <t>Bhumika Bhatt (9904341497)</t>
        </is>
      </c>
      <c r="E619" s="17" t="inlineStr">
        <is>
          <t>Zeel Mudaliyar</t>
        </is>
      </c>
      <c r="F619" s="17" t="inlineStr">
        <is>
          <t>New</t>
        </is>
      </c>
      <c r="G619" s="17" t="inlineStr">
        <is>
          <t>Not Assigned</t>
        </is>
      </c>
      <c r="H619" s="17" t="inlineStr">
        <is>
          <t>N/A (Not Assigned)</t>
        </is>
      </c>
      <c r="I619" s="17" t="inlineStr">
        <is>
          <t>-</t>
        </is>
      </c>
    </row>
    <row r="620" ht="20" customHeight="1">
      <c r="A620" s="57" t="n">
        <v>46274.77462023148</v>
      </c>
      <c r="B620" s="16" t="inlineStr">
        <is>
          <t>3. This Month (Sep 2026)</t>
        </is>
      </c>
      <c r="C620" s="14" t="inlineStr">
        <is>
          <t>Meta Ads (NB PropertyTech Survey Ad 3108)</t>
        </is>
      </c>
      <c r="D620" s="14" t="inlineStr">
        <is>
          <t>Dabhi Tofikmahmad (8401169687)</t>
        </is>
      </c>
      <c r="E620" s="14" t="inlineStr">
        <is>
          <t>Prexa Vithalapara</t>
        </is>
      </c>
      <c r="F620" s="14" t="inlineStr">
        <is>
          <t>New</t>
        </is>
      </c>
      <c r="G620" s="14" t="inlineStr">
        <is>
          <t>Not Assigned</t>
        </is>
      </c>
      <c r="H620" s="14" t="inlineStr">
        <is>
          <t>N/A (Not Assigned)</t>
        </is>
      </c>
      <c r="I620" s="14" t="inlineStr">
        <is>
          <t>-</t>
        </is>
      </c>
    </row>
    <row r="621" ht="20" customHeight="1">
      <c r="A621" s="58" t="n">
        <v>46274.77462008102</v>
      </c>
      <c r="B621" s="19" t="inlineStr">
        <is>
          <t>3. This Month (Sep 2026)</t>
        </is>
      </c>
      <c r="C621" s="17" t="inlineStr">
        <is>
          <t>Meta Ads (NB PropertyTech Survey Ad 3108)</t>
        </is>
      </c>
      <c r="D621" s="17" t="inlineStr">
        <is>
          <t>Amitasandip Panchal (9427038362)</t>
        </is>
      </c>
      <c r="E621" s="17" t="inlineStr">
        <is>
          <t>Zeel Mudaliyar</t>
        </is>
      </c>
      <c r="F621" s="17" t="inlineStr">
        <is>
          <t>New</t>
        </is>
      </c>
      <c r="G621" s="17" t="inlineStr">
        <is>
          <t>Not Assigned</t>
        </is>
      </c>
      <c r="H621" s="17" t="inlineStr">
        <is>
          <t>N/A (Not Assigned)</t>
        </is>
      </c>
      <c r="I621" s="17" t="inlineStr">
        <is>
          <t>-</t>
        </is>
      </c>
    </row>
    <row r="622" ht="20" customHeight="1">
      <c r="A622" s="57" t="n">
        <v>46274.77461991898</v>
      </c>
      <c r="B622" s="16" t="inlineStr">
        <is>
          <t>3. This Month (Sep 2026)</t>
        </is>
      </c>
      <c r="C622" s="14" t="inlineStr">
        <is>
          <t>Meta Ads (NB PropertyTech Survey Ad 3108)</t>
        </is>
      </c>
      <c r="D622" s="14" t="inlineStr">
        <is>
          <t>Dip Zala (9904388966)</t>
        </is>
      </c>
      <c r="E622" s="14" t="inlineStr">
        <is>
          <t>Prexa Vithalapara</t>
        </is>
      </c>
      <c r="F622" s="14" t="inlineStr">
        <is>
          <t>New</t>
        </is>
      </c>
      <c r="G622" s="14" t="inlineStr">
        <is>
          <t>Not Assigned</t>
        </is>
      </c>
      <c r="H622" s="14" t="inlineStr">
        <is>
          <t>N/A (Not Assigned)</t>
        </is>
      </c>
      <c r="I622" s="14" t="inlineStr">
        <is>
          <t>-</t>
        </is>
      </c>
    </row>
    <row r="623" ht="20" customHeight="1">
      <c r="A623" s="58" t="n">
        <v>46274.77461976852</v>
      </c>
      <c r="B623" s="19" t="inlineStr">
        <is>
          <t>3. This Month (Sep 2026)</t>
        </is>
      </c>
      <c r="C623" s="17" t="inlineStr">
        <is>
          <t>Meta Ads (NB PropertyTech Survey Ad 3108)</t>
        </is>
      </c>
      <c r="D623" s="17" t="inlineStr">
        <is>
          <t>Prajapati (7859958835)</t>
        </is>
      </c>
      <c r="E623" s="17" t="inlineStr">
        <is>
          <t>Prexa Vithalapara</t>
        </is>
      </c>
      <c r="F623" s="17" t="inlineStr">
        <is>
          <t>New</t>
        </is>
      </c>
      <c r="G623" s="17" t="inlineStr">
        <is>
          <t>Not Assigned</t>
        </is>
      </c>
      <c r="H623" s="17" t="inlineStr">
        <is>
          <t>N/A (Not Assigned)</t>
        </is>
      </c>
      <c r="I623" s="17" t="inlineStr">
        <is>
          <t>-</t>
        </is>
      </c>
    </row>
    <row r="624" ht="20" customHeight="1">
      <c r="A624" s="57" t="n">
        <v>46274.77461959491</v>
      </c>
      <c r="B624" s="16" t="inlineStr">
        <is>
          <t>3. This Month (Sep 2026)</t>
        </is>
      </c>
      <c r="C624" s="14" t="inlineStr">
        <is>
          <t>Meta Ads (NB PropertyTech Survey Ad 3108)</t>
        </is>
      </c>
      <c r="D624" s="14" t="inlineStr">
        <is>
          <t>Rajat Gauswami (6352256220)</t>
        </is>
      </c>
      <c r="E624" s="14" t="inlineStr">
        <is>
          <t>Prexa Vithalapara</t>
        </is>
      </c>
      <c r="F624" s="14" t="inlineStr">
        <is>
          <t>New</t>
        </is>
      </c>
      <c r="G624" s="14" t="inlineStr">
        <is>
          <t>Not Assigned</t>
        </is>
      </c>
      <c r="H624" s="14" t="inlineStr">
        <is>
          <t>N/A (Not Assigned)</t>
        </is>
      </c>
      <c r="I624" s="14" t="inlineStr">
        <is>
          <t>-</t>
        </is>
      </c>
    </row>
    <row r="625" ht="20" customHeight="1">
      <c r="A625" s="58" t="n">
        <v>46274.77461925926</v>
      </c>
      <c r="B625" s="19" t="inlineStr">
        <is>
          <t>3. This Month (Sep 2026)</t>
        </is>
      </c>
      <c r="C625" s="17" t="inlineStr">
        <is>
          <t>Meta Ads (NB PropertyTech Survey Ad 3108)</t>
        </is>
      </c>
      <c r="D625" s="17" t="inlineStr">
        <is>
          <t>Bhavna Vyas (9825375694)</t>
        </is>
      </c>
      <c r="E625" s="17" t="inlineStr">
        <is>
          <t>Prexa Vithalapara</t>
        </is>
      </c>
      <c r="F625" s="17" t="inlineStr">
        <is>
          <t>Interested</t>
        </is>
      </c>
      <c r="G625" s="17" t="inlineStr">
        <is>
          <t>Not Assigned</t>
        </is>
      </c>
      <c r="H625" s="17" t="inlineStr">
        <is>
          <t>N/A (Not Assigned)</t>
        </is>
      </c>
      <c r="I625" s="17" t="inlineStr">
        <is>
          <t>Imported from Google Sheets. Campaign: family.</t>
        </is>
      </c>
    </row>
    <row r="626" ht="20" customHeight="1">
      <c r="A626" s="57" t="n">
        <v>46274.77461907407</v>
      </c>
      <c r="B626" s="16" t="inlineStr">
        <is>
          <t>3. This Month (Sep 2026)</t>
        </is>
      </c>
      <c r="C626" s="14" t="inlineStr">
        <is>
          <t>Meta Ads (NB PropertyTech Survey Ad 3108)</t>
        </is>
      </c>
      <c r="D626" s="14" t="inlineStr">
        <is>
          <t>Jayesh Prajapati (9712526879)</t>
        </is>
      </c>
      <c r="E626" s="14" t="inlineStr">
        <is>
          <t>Prexa Vithalapara</t>
        </is>
      </c>
      <c r="F626" s="14" t="inlineStr">
        <is>
          <t>Rejected / Lost</t>
        </is>
      </c>
      <c r="G626" s="14" t="inlineStr">
        <is>
          <t>Not Assigned</t>
        </is>
      </c>
      <c r="H626" s="14" t="inlineStr">
        <is>
          <t>N/A (Not Assigned)</t>
        </is>
      </c>
      <c r="I626" s="14" t="inlineStr">
        <is>
          <t>-</t>
        </is>
      </c>
    </row>
    <row r="627" ht="20" customHeight="1">
      <c r="A627" s="58" t="n">
        <v>46274.77461891204</v>
      </c>
      <c r="B627" s="19" t="inlineStr">
        <is>
          <t>3. This Month (Sep 2026)</t>
        </is>
      </c>
      <c r="C627" s="17" t="inlineStr">
        <is>
          <t>Meta Ads (NB PropertyTech Survey Ad 3108)</t>
        </is>
      </c>
      <c r="D627" s="17" t="inlineStr">
        <is>
          <t>Mukesh Panchal (9426180015)</t>
        </is>
      </c>
      <c r="E627" s="17" t="inlineStr">
        <is>
          <t>Prexa Vithalapara</t>
        </is>
      </c>
      <c r="F627" s="17" t="inlineStr">
        <is>
          <t>Rejected / Lost</t>
        </is>
      </c>
      <c r="G627" s="17" t="inlineStr">
        <is>
          <t>Not Assigned</t>
        </is>
      </c>
      <c r="H627" s="17" t="inlineStr">
        <is>
          <t>N/A (Not Assigned)</t>
        </is>
      </c>
      <c r="I627" s="17" t="inlineStr">
        <is>
          <t>-</t>
        </is>
      </c>
    </row>
    <row r="628" ht="20" customHeight="1">
      <c r="A628" s="57" t="n">
        <v>46274.77461876158</v>
      </c>
      <c r="B628" s="16" t="inlineStr">
        <is>
          <t>3. This Month (Sep 2026)</t>
        </is>
      </c>
      <c r="C628" s="14" t="inlineStr">
        <is>
          <t>Meta Ads (NB PropertyTech Survey Ad 3108)</t>
        </is>
      </c>
      <c r="D628" s="14" t="inlineStr">
        <is>
          <t>Pragnaba Jaspalsinh Parmar (9662104405)</t>
        </is>
      </c>
      <c r="E628" s="14" t="inlineStr">
        <is>
          <t>Prexa Vithalapara</t>
        </is>
      </c>
      <c r="F628" s="14" t="inlineStr">
        <is>
          <t>Interested</t>
        </is>
      </c>
      <c r="G628" s="14" t="inlineStr">
        <is>
          <t>Not Assigned</t>
        </is>
      </c>
      <c r="H628" s="14" t="inlineStr">
        <is>
          <t>N/A (Not Assigned)</t>
        </is>
      </c>
      <c r="I628" s="14" t="inlineStr">
        <is>
          <t>call for visit</t>
        </is>
      </c>
    </row>
    <row r="629" ht="20" customHeight="1">
      <c r="A629" s="58" t="n">
        <v>46274.77461856481</v>
      </c>
      <c r="B629" s="19" t="inlineStr">
        <is>
          <t>3. This Month (Sep 2026)</t>
        </is>
      </c>
      <c r="C629" s="17" t="inlineStr">
        <is>
          <t>Meta Ads (NB PropertyTech Survey Ad 3108)</t>
        </is>
      </c>
      <c r="D629" s="17" t="inlineStr">
        <is>
          <t>Ridhi Jay Pandya (7383252229)</t>
        </is>
      </c>
      <c r="E629" s="17" t="inlineStr">
        <is>
          <t>Prexa Vithalapara</t>
        </is>
      </c>
      <c r="F629" s="17" t="inlineStr">
        <is>
          <t>Rejected / Lost</t>
        </is>
      </c>
      <c r="G629" s="17" t="inlineStr">
        <is>
          <t>Not Assigned</t>
        </is>
      </c>
      <c r="H629" s="17" t="inlineStr">
        <is>
          <t>N/A (Not Assigned)</t>
        </is>
      </c>
      <c r="I629" s="17" t="inlineStr">
        <is>
          <t>-</t>
        </is>
      </c>
    </row>
    <row r="630" ht="20" customHeight="1">
      <c r="A630" s="57" t="n">
        <v>46274.7746183912</v>
      </c>
      <c r="B630" s="16" t="inlineStr">
        <is>
          <t>3. This Month (Sep 2026)</t>
        </is>
      </c>
      <c r="C630" s="14" t="inlineStr">
        <is>
          <t>Meta Ads (NB PropertyTech Survey Ad 3108)</t>
        </is>
      </c>
      <c r="D630" s="14" t="inlineStr">
        <is>
          <t>Adv Ankita Bafna (9468510237)</t>
        </is>
      </c>
      <c r="E630" s="14" t="inlineStr">
        <is>
          <t>Prexa Vithalapara</t>
        </is>
      </c>
      <c r="F630" s="14" t="inlineStr">
        <is>
          <t>Interested</t>
        </is>
      </c>
      <c r="G630" s="14" t="inlineStr">
        <is>
          <t>Not Assigned</t>
        </is>
      </c>
      <c r="H630" s="14" t="inlineStr">
        <is>
          <t>N/A (Not Assigned)</t>
        </is>
      </c>
      <c r="I630" s="14" t="inlineStr">
        <is>
          <t>[Staying: working professionals] [Campaign: NB PropertyTech Survey Ad 3108] Imported from Campaign Leads (Meta Ads).</t>
        </is>
      </c>
    </row>
    <row r="631" ht="20" customHeight="1">
      <c r="A631" s="58" t="n">
        <v>46274.77461815972</v>
      </c>
      <c r="B631" s="19" t="inlineStr">
        <is>
          <t>3. This Month (Sep 2026)</t>
        </is>
      </c>
      <c r="C631" s="17" t="inlineStr">
        <is>
          <t>Meta Ads (NB PropertyTech Survey Ad 3108)</t>
        </is>
      </c>
      <c r="D631" s="17" t="inlineStr">
        <is>
          <t>Chaitali Oza (9824176099)</t>
        </is>
      </c>
      <c r="E631" s="17" t="inlineStr">
        <is>
          <t>Prexa Vithalapara</t>
        </is>
      </c>
      <c r="F631" s="17" t="inlineStr">
        <is>
          <t>Rejected / Lost</t>
        </is>
      </c>
      <c r="G631" s="17" t="inlineStr">
        <is>
          <t>Not Assigned</t>
        </is>
      </c>
      <c r="H631" s="17" t="inlineStr">
        <is>
          <t>N/A (Not Assigned)</t>
        </is>
      </c>
      <c r="I631" s="17" t="inlineStr">
        <is>
          <t>-</t>
        </is>
      </c>
    </row>
    <row r="632" ht="20" customHeight="1">
      <c r="A632" s="57" t="n">
        <v>46274.77461800926</v>
      </c>
      <c r="B632" s="16" t="inlineStr">
        <is>
          <t>3. This Month (Sep 2026)</t>
        </is>
      </c>
      <c r="C632" s="14" t="inlineStr">
        <is>
          <t>Meta Ads (NB PropertyTech Survey Ad 3108)</t>
        </is>
      </c>
      <c r="D632" s="14" t="inlineStr">
        <is>
          <t>Ashrita Bahuguna (9638150632)</t>
        </is>
      </c>
      <c r="E632" s="14" t="inlineStr">
        <is>
          <t>Prexa Vithalapara</t>
        </is>
      </c>
      <c r="F632" s="14" t="inlineStr">
        <is>
          <t>Interested</t>
        </is>
      </c>
      <c r="G632" s="14" t="inlineStr">
        <is>
          <t>Not Assigned</t>
        </is>
      </c>
      <c r="H632" s="14" t="inlineStr">
        <is>
          <t>N/A (Not Assigned)</t>
        </is>
      </c>
      <c r="I632" s="14" t="inlineStr">
        <is>
          <t>[Staying: family] [Campaign: NB PropertyTech Survey Ad 3108] Imported from Campaign Leads (Meta Ads).</t>
        </is>
      </c>
    </row>
    <row r="633" ht="20" customHeight="1">
      <c r="A633" s="58" t="n">
        <v>46274.77461763889</v>
      </c>
      <c r="B633" s="19" t="inlineStr">
        <is>
          <t>3. This Month (Sep 2026)</t>
        </is>
      </c>
      <c r="C633" s="17" t="inlineStr">
        <is>
          <t>Meta Ads (NB PropertyTech Survey Ad 3108)</t>
        </is>
      </c>
      <c r="D633" s="17" t="inlineStr">
        <is>
          <t>Kavita | Passive Income (9265371435)</t>
        </is>
      </c>
      <c r="E633" s="17" t="inlineStr">
        <is>
          <t>Prexa Vithalapara</t>
        </is>
      </c>
      <c r="F633" s="17" t="inlineStr">
        <is>
          <t>Rejected / Lost</t>
        </is>
      </c>
      <c r="G633" s="17" t="inlineStr">
        <is>
          <t>Not Assigned</t>
        </is>
      </c>
      <c r="H633" s="17" t="inlineStr">
        <is>
          <t>N/A (Not Assigned)</t>
        </is>
      </c>
      <c r="I633" s="17" t="inlineStr">
        <is>
          <t>Followup: The call is not responding so i texted on wp call back again</t>
        </is>
      </c>
    </row>
    <row r="634" ht="20" customHeight="1">
      <c r="A634" s="57" t="n">
        <v>46274.77461747685</v>
      </c>
      <c r="B634" s="16" t="inlineStr">
        <is>
          <t>3. This Month (Sep 2026)</t>
        </is>
      </c>
      <c r="C634" s="14" t="inlineStr">
        <is>
          <t>Meta Ads (NB PropertyTech Survey Ad 3108)</t>
        </is>
      </c>
      <c r="D634" s="14" t="inlineStr">
        <is>
          <t>Pankaj Trivedi (9825096460)</t>
        </is>
      </c>
      <c r="E634" s="14" t="inlineStr">
        <is>
          <t>Unassigned</t>
        </is>
      </c>
      <c r="F634" s="14" t="inlineStr">
        <is>
          <t>CNR (Could Not Reach)</t>
        </is>
      </c>
      <c r="G634" s="14" t="inlineStr">
        <is>
          <t>Not Assigned</t>
        </is>
      </c>
      <c r="H634" s="14" t="inlineStr">
        <is>
          <t>N/A (Not Assigned)</t>
        </is>
      </c>
      <c r="I634" s="14" t="inlineStr">
        <is>
          <t>Followup: The call is not responding so i texted on wp call back again</t>
        </is>
      </c>
    </row>
    <row r="635" ht="20" customHeight="1">
      <c r="A635" s="58" t="n">
        <v>46274.77461733796</v>
      </c>
      <c r="B635" s="19" t="inlineStr">
        <is>
          <t>3. This Month (Sep 2026)</t>
        </is>
      </c>
      <c r="C635" s="17" t="inlineStr">
        <is>
          <t>Meta Ads (NB PropertyTech Survey Ad 3108)</t>
        </is>
      </c>
      <c r="D635" s="17" t="inlineStr">
        <is>
          <t>Kuldip Tomar (6353321161)</t>
        </is>
      </c>
      <c r="E635" s="17" t="inlineStr">
        <is>
          <t>Prexa Vithalapara</t>
        </is>
      </c>
      <c r="F635" s="17" t="inlineStr">
        <is>
          <t>Interested</t>
        </is>
      </c>
      <c r="G635" s="17" t="inlineStr">
        <is>
          <t>Not Assigned</t>
        </is>
      </c>
      <c r="H635" s="17" t="inlineStr">
        <is>
          <t>N/A (Not Assigned)</t>
        </is>
      </c>
      <c r="I635" s="17" t="inlineStr">
        <is>
          <t>Followup: hello | testing leads --</t>
        </is>
      </c>
    </row>
    <row r="636" ht="20" customHeight="1">
      <c r="A636" s="57" t="n">
        <v>46274.77461722223</v>
      </c>
      <c r="B636" s="16" t="inlineStr">
        <is>
          <t>3. This Month (Sep 2026)</t>
        </is>
      </c>
      <c r="C636" s="14" t="inlineStr">
        <is>
          <t>Meta Ads (NB PropertyTech Survey Ad 3108)</t>
        </is>
      </c>
      <c r="D636" s="14" t="inlineStr">
        <is>
          <t>Gayatri Brahmbhatt (8160769507)</t>
        </is>
      </c>
      <c r="E636" s="14" t="inlineStr">
        <is>
          <t>Prexa Vithalapara</t>
        </is>
      </c>
      <c r="F636" s="14" t="inlineStr">
        <is>
          <t>Interested</t>
        </is>
      </c>
      <c r="G636" s="14" t="inlineStr">
        <is>
          <t>Not Assigned</t>
        </is>
      </c>
      <c r="H636" s="14" t="inlineStr">
        <is>
          <t>N/A (Not Assigned)</t>
        </is>
      </c>
      <c r="I636" s="14" t="inlineStr">
        <is>
          <t>amne pearl height ni visit ma aavse em kidhu che</t>
        </is>
      </c>
    </row>
    <row r="637" ht="20" customHeight="1">
      <c r="A637" s="58" t="n">
        <v>46274.77461694444</v>
      </c>
      <c r="B637" s="19" t="inlineStr">
        <is>
          <t>3. This Month (Sep 2026)</t>
        </is>
      </c>
      <c r="C637" s="17" t="inlineStr">
        <is>
          <t>Meta Ads (NB PropertyTech Survey Ad 3108)</t>
        </is>
      </c>
      <c r="D637" s="17" t="inlineStr">
        <is>
          <t>Incredible (6353789710)</t>
        </is>
      </c>
      <c r="E637" s="17" t="inlineStr">
        <is>
          <t>Prexa Vithalapara</t>
        </is>
      </c>
      <c r="F637" s="17" t="inlineStr">
        <is>
          <t>CNR (Could Not Reach)</t>
        </is>
      </c>
      <c r="G637" s="17" t="inlineStr">
        <is>
          <t>Not Assigned</t>
        </is>
      </c>
      <c r="H637" s="17" t="inlineStr">
        <is>
          <t>N/A (Not Assigned)</t>
        </is>
      </c>
      <c r="I637" s="17" t="inlineStr">
        <is>
          <t>Transfer Note: Marked as CNR | Followup: CNR</t>
        </is>
      </c>
    </row>
    <row r="638" ht="20" customHeight="1">
      <c r="A638" s="57" t="n">
        <v>46274.77461670139</v>
      </c>
      <c r="B638" s="16" t="inlineStr">
        <is>
          <t>3. This Month (Sep 2026)</t>
        </is>
      </c>
      <c r="C638" s="14" t="inlineStr">
        <is>
          <t>Meta Ads (NB PropertyTech Survey Ad 3108)</t>
        </is>
      </c>
      <c r="D638" s="14" t="inlineStr">
        <is>
          <t>Vishva Bhatt (9825932763)</t>
        </is>
      </c>
      <c r="E638" s="14" t="inlineStr">
        <is>
          <t>Zeel Mudaliyar</t>
        </is>
      </c>
      <c r="F638" s="14" t="inlineStr">
        <is>
          <t>Rejected / Lost</t>
        </is>
      </c>
      <c r="G638" s="14" t="inlineStr">
        <is>
          <t>Not Assigned</t>
        </is>
      </c>
      <c r="H638" s="14" t="inlineStr">
        <is>
          <t>N/A (Not Assigned)</t>
        </is>
      </c>
      <c r="I638" s="14" t="inlineStr">
        <is>
          <t>-</t>
        </is>
      </c>
    </row>
    <row r="639" ht="20" customHeight="1">
      <c r="A639" s="58" t="n">
        <v>46274.77461640046</v>
      </c>
      <c r="B639" s="19" t="inlineStr">
        <is>
          <t>3. This Month (Sep 2026)</t>
        </is>
      </c>
      <c r="C639" s="17" t="inlineStr">
        <is>
          <t>Meta Ads (NB PropertyTech Survey Ad 3108)</t>
        </is>
      </c>
      <c r="D639" s="17" t="inlineStr">
        <is>
          <t>Indulgence (9879182974)</t>
        </is>
      </c>
      <c r="E639" s="17" t="inlineStr">
        <is>
          <t>Zeel Mudaliyar</t>
        </is>
      </c>
      <c r="F639" s="17" t="inlineStr">
        <is>
          <t>Interested</t>
        </is>
      </c>
      <c r="G639" s="17" t="inlineStr">
        <is>
          <t>Not Assigned</t>
        </is>
      </c>
      <c r="H639" s="17" t="inlineStr">
        <is>
          <t>N/A (Not Assigned)</t>
        </is>
      </c>
      <c r="I639" s="17" t="inlineStr">
        <is>
          <t>[Staying: family] [Campaign: NB PropertyTech Survey Ad 3108] Imported from Campaign Leads (Meta Ads).</t>
        </is>
      </c>
    </row>
    <row r="640" ht="20" customHeight="1">
      <c r="A640" s="57" t="n">
        <v>46274.77461621528</v>
      </c>
      <c r="B640" s="16" t="inlineStr">
        <is>
          <t>3. This Month (Sep 2026)</t>
        </is>
      </c>
      <c r="C640" s="14" t="inlineStr">
        <is>
          <t>Meta Ads (NB PropertyTech Survey Ad 3108)</t>
        </is>
      </c>
      <c r="D640" s="14" t="inlineStr">
        <is>
          <t>Anand Mehta (9898749997)</t>
        </is>
      </c>
      <c r="E640" s="14" t="inlineStr">
        <is>
          <t>Zeel Mudaliyar</t>
        </is>
      </c>
      <c r="F640" s="14" t="inlineStr">
        <is>
          <t>Rejected / Lost</t>
        </is>
      </c>
      <c r="G640" s="14" t="inlineStr">
        <is>
          <t>Not Assigned</t>
        </is>
      </c>
      <c r="H640" s="14" t="inlineStr">
        <is>
          <t>N/A (Not Assigned)</t>
        </is>
      </c>
      <c r="I640" s="14" t="inlineStr">
        <is>
          <t>-</t>
        </is>
      </c>
    </row>
    <row r="641" ht="20" customHeight="1">
      <c r="A641" s="58" t="n">
        <v>46274.77461579861</v>
      </c>
      <c r="B641" s="19" t="inlineStr">
        <is>
          <t>3. This Month (Sep 2026)</t>
        </is>
      </c>
      <c r="C641" s="17" t="inlineStr">
        <is>
          <t>Meta Ads (NB PropertyTech Survey Ad 3108)</t>
        </is>
      </c>
      <c r="D641" s="17" t="inlineStr">
        <is>
          <t>Uttam Patel (8734988896)</t>
        </is>
      </c>
      <c r="E641" s="17" t="inlineStr">
        <is>
          <t>Zeel Mudaliyar</t>
        </is>
      </c>
      <c r="F641" s="17" t="inlineStr">
        <is>
          <t>Rejected / Lost</t>
        </is>
      </c>
      <c r="G641" s="17" t="inlineStr">
        <is>
          <t>Not Assigned</t>
        </is>
      </c>
      <c r="H641" s="17" t="inlineStr">
        <is>
          <t>N/A (Not Assigned)</t>
        </is>
      </c>
      <c r="I641" s="17" t="inlineStr">
        <is>
          <t>-</t>
        </is>
      </c>
    </row>
    <row r="642" ht="20" customHeight="1">
      <c r="A642" s="57" t="n">
        <v>46274.7746156713</v>
      </c>
      <c r="B642" s="16" t="inlineStr">
        <is>
          <t>3. This Month (Sep 2026)</t>
        </is>
      </c>
      <c r="C642" s="14" t="inlineStr">
        <is>
          <t>Meta Ads (NB PropertyTech Survey Ad 3108)</t>
        </is>
      </c>
      <c r="D642" s="14" t="inlineStr">
        <is>
          <t>Samir Soni (royal Heart) (9925926354)</t>
        </is>
      </c>
      <c r="E642" s="14" t="inlineStr">
        <is>
          <t>Zeel Mudaliyar</t>
        </is>
      </c>
      <c r="F642" s="14" t="inlineStr">
        <is>
          <t>Interested</t>
        </is>
      </c>
      <c r="G642" s="14" t="inlineStr">
        <is>
          <t>Not Assigned</t>
        </is>
      </c>
      <c r="H642" s="14" t="inlineStr">
        <is>
          <t>N/A (Not Assigned)</t>
        </is>
      </c>
      <c r="I642" s="14" t="inlineStr">
        <is>
          <t>[Staying: family] [Campaign: NB PropertyTech Survey Ad 3108] Imported from Campaign Leads (Meta Ads).</t>
        </is>
      </c>
    </row>
    <row r="643" ht="20" customHeight="1">
      <c r="A643" s="58" t="n">
        <v>46274.77461543981</v>
      </c>
      <c r="B643" s="19" t="inlineStr">
        <is>
          <t>3. This Month (Sep 2026)</t>
        </is>
      </c>
      <c r="C643" s="17" t="inlineStr">
        <is>
          <t>Meta Ads (NB PropertyTech Survey Ad 3108)</t>
        </is>
      </c>
      <c r="D643" s="17" t="inlineStr">
        <is>
          <t>Kanchan Tiwari (7987542087)</t>
        </is>
      </c>
      <c r="E643" s="17" t="inlineStr">
        <is>
          <t>Zeel Mudaliyar</t>
        </is>
      </c>
      <c r="F643" s="17" t="inlineStr">
        <is>
          <t>Rejected / Lost</t>
        </is>
      </c>
      <c r="G643" s="17" t="inlineStr">
        <is>
          <t>Not Assigned</t>
        </is>
      </c>
      <c r="H643" s="17" t="inlineStr">
        <is>
          <t>N/A (Not Assigned)</t>
        </is>
      </c>
      <c r="I643" s="17" t="inlineStr">
        <is>
          <t>-</t>
        </is>
      </c>
    </row>
    <row r="644" ht="20" customHeight="1">
      <c r="A644" s="57" t="n">
        <v>46274.77461532407</v>
      </c>
      <c r="B644" s="16" t="inlineStr">
        <is>
          <t>3. This Month (Sep 2026)</t>
        </is>
      </c>
      <c r="C644" s="14" t="inlineStr">
        <is>
          <t>Meta Ads (NB PropertyTech Survey Ad 3108)</t>
        </is>
      </c>
      <c r="D644" s="14" t="inlineStr">
        <is>
          <t>Modiparas@0406 (9173240447)</t>
        </is>
      </c>
      <c r="E644" s="14" t="inlineStr">
        <is>
          <t>Zeel Mudaliyar</t>
        </is>
      </c>
      <c r="F644" s="14" t="inlineStr">
        <is>
          <t>Rejected / Lost</t>
        </is>
      </c>
      <c r="G644" s="14" t="inlineStr">
        <is>
          <t>Not Assigned</t>
        </is>
      </c>
      <c r="H644" s="14" t="inlineStr">
        <is>
          <t>N/A (Not Assigned)</t>
        </is>
      </c>
      <c r="I644" s="14" t="inlineStr">
        <is>
          <t>-</t>
        </is>
      </c>
    </row>
    <row r="645" ht="20" customHeight="1">
      <c r="A645" s="58" t="n">
        <v>46274.77461519676</v>
      </c>
      <c r="B645" s="19" t="inlineStr">
        <is>
          <t>3. This Month (Sep 2026)</t>
        </is>
      </c>
      <c r="C645" s="17" t="inlineStr">
        <is>
          <t>Meta Ads (NB PropertyTech Survey Ad 3108)</t>
        </is>
      </c>
      <c r="D645" s="17" t="inlineStr">
        <is>
          <t>Sandip Bhalsod (9725813818)</t>
        </is>
      </c>
      <c r="E645" s="17" t="inlineStr">
        <is>
          <t>Unassigned</t>
        </is>
      </c>
      <c r="F645" s="17" t="inlineStr">
        <is>
          <t>Sales</t>
        </is>
      </c>
      <c r="G645" s="17" t="inlineStr">
        <is>
          <t>Somel Rathod</t>
        </is>
      </c>
      <c r="H645" s="17" t="inlineStr">
        <is>
          <t>Rejected (Already Rented)</t>
        </is>
      </c>
      <c r="I645" s="17" t="inlineStr">
        <is>
          <t>testing leads | Transfer: testing leads | Transfer Note: testing leads | [Telecaller Key Points]: .</t>
        </is>
      </c>
    </row>
    <row r="646" ht="20" customHeight="1">
      <c r="A646" s="57" t="n">
        <v>46274.77461505787</v>
      </c>
      <c r="B646" s="16" t="inlineStr">
        <is>
          <t>3. This Month (Sep 2026)</t>
        </is>
      </c>
      <c r="C646" s="14" t="inlineStr">
        <is>
          <t>Meta Ads (NB PropertyTech Survey Ad 3108)</t>
        </is>
      </c>
      <c r="D646" s="14" t="inlineStr">
        <is>
          <t>Vishva Bhavsar (6354834054)</t>
        </is>
      </c>
      <c r="E646" s="14" t="inlineStr">
        <is>
          <t>Zeel Mudaliyar</t>
        </is>
      </c>
      <c r="F646" s="14" t="inlineStr">
        <is>
          <t>Interested</t>
        </is>
      </c>
      <c r="G646" s="14" t="inlineStr">
        <is>
          <t>Not Assigned</t>
        </is>
      </c>
      <c r="H646" s="14" t="inlineStr">
        <is>
          <t>N/A (Not Assigned)</t>
        </is>
      </c>
      <c r="I646" s="14" t="inlineStr">
        <is>
          <t>[Staying: family] [Campaign: NB PropertyTech Survey Ad 3108] Imported from Campaign Leads (Meta Ads).</t>
        </is>
      </c>
    </row>
    <row r="647" ht="20" customHeight="1">
      <c r="A647" s="58" t="n">
        <v>46274.77461490741</v>
      </c>
      <c r="B647" s="19" t="inlineStr">
        <is>
          <t>3. This Month (Sep 2026)</t>
        </is>
      </c>
      <c r="C647" s="17" t="inlineStr">
        <is>
          <t>Meta Ads (NB PropertyTech Survey Ad 3108)</t>
        </is>
      </c>
      <c r="D647" s="17" t="inlineStr">
        <is>
          <t>Payal Trivedi Mehta (9825151419)</t>
        </is>
      </c>
      <c r="E647" s="17" t="inlineStr">
        <is>
          <t>Unassigned</t>
        </is>
      </c>
      <c r="F647" s="17" t="inlineStr">
        <is>
          <t>CNR (Could Not Reach)</t>
        </is>
      </c>
      <c r="G647" s="17" t="inlineStr">
        <is>
          <t>Not Assigned</t>
        </is>
      </c>
      <c r="H647" s="17" t="inlineStr">
        <is>
          <t>N/A (Not Assigned)</t>
        </is>
      </c>
      <c r="I647" s="17" t="inlineStr">
        <is>
          <t>options share kari ne visit mate call karvo</t>
        </is>
      </c>
    </row>
    <row r="648" ht="20" customHeight="1">
      <c r="A648" s="57" t="n">
        <v>46274.77461471064</v>
      </c>
      <c r="B648" s="16" t="inlineStr">
        <is>
          <t>3. This Month (Sep 2026)</t>
        </is>
      </c>
      <c r="C648" s="14" t="inlineStr">
        <is>
          <t>Meta Ads (NB PropertyTech Survey Ad 3108)</t>
        </is>
      </c>
      <c r="D648" s="14" t="inlineStr">
        <is>
          <t>Amar Shah (8980510999)</t>
        </is>
      </c>
      <c r="E648" s="14" t="inlineStr">
        <is>
          <t>Unassigned</t>
        </is>
      </c>
      <c r="F648" s="14" t="inlineStr">
        <is>
          <t>Sales</t>
        </is>
      </c>
      <c r="G648" s="14" t="inlineStr">
        <is>
          <t>Rajan Purani</t>
        </is>
      </c>
      <c r="H648" s="14" t="inlineStr">
        <is>
          <t>Rejected (Budget Mismatch)</t>
        </is>
      </c>
      <c r="I648" s="14" t="inlineStr">
        <is>
          <t>Req satelite, jodhpur, near jainderasar, 2BHK, 20k budget, semi furnished | Transfer: Req satelite, jodhpur, near jainderasar, 2BHK, 20k budget, semi furnished | Transfer Note: Req satelite, jodhpur, near jainderasar, 2BHK, 20k budget, semi furnished | [Telecaller Key Points]: Req satelite, jodhpur, near jainderasar, 2BHK, 20k budget, semi furnished</t>
        </is>
      </c>
    </row>
    <row r="649" ht="20" customHeight="1">
      <c r="A649" s="58" t="n">
        <v>46274.77461446759</v>
      </c>
      <c r="B649" s="19" t="inlineStr">
        <is>
          <t>3. This Month (Sep 2026)</t>
        </is>
      </c>
      <c r="C649" s="17" t="inlineStr">
        <is>
          <t>Meta Ads (NB PropertyTech Survey Ad 3108)</t>
        </is>
      </c>
      <c r="D649" s="17" t="inlineStr">
        <is>
          <t>Yash Doshi (9924750767)</t>
        </is>
      </c>
      <c r="E649" s="17" t="inlineStr">
        <is>
          <t>Zeel Mudaliyar</t>
        </is>
      </c>
      <c r="F649" s="17" t="inlineStr">
        <is>
          <t>Rejected / Lost</t>
        </is>
      </c>
      <c r="G649" s="17" t="inlineStr">
        <is>
          <t>Not Assigned</t>
        </is>
      </c>
      <c r="H649" s="17" t="inlineStr">
        <is>
          <t>N/A (Not Assigned)</t>
        </is>
      </c>
      <c r="I649" s="17" t="inlineStr">
        <is>
          <t>-</t>
        </is>
      </c>
    </row>
    <row r="650" ht="20" customHeight="1">
      <c r="A650" s="57" t="n">
        <v>46274.77461430556</v>
      </c>
      <c r="B650" s="16" t="inlineStr">
        <is>
          <t>3. This Month (Sep 2026)</t>
        </is>
      </c>
      <c r="C650" s="14" t="inlineStr">
        <is>
          <t>Meta Ads (NB PropertyTech Survey Ad 3108)</t>
        </is>
      </c>
      <c r="D650" s="14" t="inlineStr">
        <is>
          <t>Parimal Chhelavda (7698760633)</t>
        </is>
      </c>
      <c r="E650" s="14" t="inlineStr">
        <is>
          <t>Zeel Mudaliyar</t>
        </is>
      </c>
      <c r="F650" s="14" t="inlineStr">
        <is>
          <t>Rejected / Lost</t>
        </is>
      </c>
      <c r="G650" s="14" t="inlineStr">
        <is>
          <t>Not Assigned</t>
        </is>
      </c>
      <c r="H650" s="14" t="inlineStr">
        <is>
          <t>N/A (Not Assigned)</t>
        </is>
      </c>
      <c r="I650" s="14" t="inlineStr">
        <is>
          <t>-</t>
        </is>
      </c>
    </row>
    <row r="651" ht="20" customHeight="1">
      <c r="A651" s="58" t="n">
        <v>46274.77461409722</v>
      </c>
      <c r="B651" s="19" t="inlineStr">
        <is>
          <t>3. This Month (Sep 2026)</t>
        </is>
      </c>
      <c r="C651" s="17" t="inlineStr">
        <is>
          <t>Meta Ads (NB PropertyTech Survey Ad 3108)</t>
        </is>
      </c>
      <c r="D651" s="17" t="inlineStr">
        <is>
          <t>Bhatt Surbhi (9316418416)</t>
        </is>
      </c>
      <c r="E651" s="17" t="inlineStr">
        <is>
          <t>Prexa Vithalapara</t>
        </is>
      </c>
      <c r="F651" s="17" t="inlineStr">
        <is>
          <t>CNR (Could Not Reach)</t>
        </is>
      </c>
      <c r="G651" s="17" t="inlineStr">
        <is>
          <t>Not Assigned</t>
        </is>
      </c>
      <c r="H651" s="17" t="inlineStr">
        <is>
          <t>N/A (Not Assigned)</t>
        </is>
      </c>
      <c r="I651" s="17" t="inlineStr">
        <is>
          <t>Transfer Note: Marked as CNR | Followup: CNR</t>
        </is>
      </c>
    </row>
    <row r="652" ht="20" customHeight="1">
      <c r="A652" s="57" t="n">
        <v>46274.77461396991</v>
      </c>
      <c r="B652" s="16" t="inlineStr">
        <is>
          <t>3. This Month (Sep 2026)</t>
        </is>
      </c>
      <c r="C652" s="14" t="inlineStr">
        <is>
          <t>Meta Ads (NB PropertyTech Survey Ad 3108)</t>
        </is>
      </c>
      <c r="D652" s="14" t="inlineStr">
        <is>
          <t>Urmila Anjana (9669480093)</t>
        </is>
      </c>
      <c r="E652" s="14" t="inlineStr">
        <is>
          <t>Zeel Mudaliyar</t>
        </is>
      </c>
      <c r="F652" s="14" t="inlineStr">
        <is>
          <t>Interested</t>
        </is>
      </c>
      <c r="G652" s="14" t="inlineStr">
        <is>
          <t>Not Assigned</t>
        </is>
      </c>
      <c r="H652" s="14" t="inlineStr">
        <is>
          <t>N/A (Not Assigned)</t>
        </is>
      </c>
      <c r="I652" s="14" t="inlineStr">
        <is>
          <t>[Staying: family] [Campaign: NB PropertyTech Survey Ad 3108] Imported from Campaign Leads (Meta Ads).</t>
        </is>
      </c>
    </row>
    <row r="653" ht="20" customHeight="1">
      <c r="A653" s="58" t="n">
        <v>46274.77461384259</v>
      </c>
      <c r="B653" s="19" t="inlineStr">
        <is>
          <t>3. This Month (Sep 2026)</t>
        </is>
      </c>
      <c r="C653" s="17" t="inlineStr">
        <is>
          <t>Meta Ads (NB PropertyTech Survey Ad 3108)</t>
        </is>
      </c>
      <c r="D653" s="17" t="inlineStr">
        <is>
          <t>Nirav Vaishnav (9016820480)</t>
        </is>
      </c>
      <c r="E653" s="17" t="inlineStr">
        <is>
          <t>Zeel Mudaliyar</t>
        </is>
      </c>
      <c r="F653" s="17" t="inlineStr">
        <is>
          <t>Interested</t>
        </is>
      </c>
      <c r="G653" s="17" t="inlineStr">
        <is>
          <t>Not Assigned</t>
        </is>
      </c>
      <c r="H653" s="17" t="inlineStr">
        <is>
          <t>N/A (Not Assigned)</t>
        </is>
      </c>
      <c r="I653" s="17" t="inlineStr">
        <is>
          <t>[Staying: family] [Campaign: NB PropertyTech Survey Ad 3108] Imported from Campaign Leads (Meta Ads).</t>
        </is>
      </c>
    </row>
    <row r="654" ht="20" customHeight="1">
      <c r="A654" s="57" t="n">
        <v>46274.77461369213</v>
      </c>
      <c r="B654" s="16" t="inlineStr">
        <is>
          <t>3. This Month (Sep 2026)</t>
        </is>
      </c>
      <c r="C654" s="14" t="inlineStr">
        <is>
          <t>Meta Ads (NB PropertyTech Survey Ad 3108)</t>
        </is>
      </c>
      <c r="D654" s="14" t="inlineStr">
        <is>
          <t>Gurjar Devansh (9157230464)</t>
        </is>
      </c>
      <c r="E654" s="14" t="inlineStr">
        <is>
          <t>Zeel Mudaliyar</t>
        </is>
      </c>
      <c r="F654" s="14" t="inlineStr">
        <is>
          <t>Interested</t>
        </is>
      </c>
      <c r="G654" s="14" t="inlineStr">
        <is>
          <t>Not Assigned</t>
        </is>
      </c>
      <c r="H654" s="14" t="inlineStr">
        <is>
          <t>N/A (Not Assigned)</t>
        </is>
      </c>
      <c r="I654" s="14" t="inlineStr">
        <is>
          <t>[Staying: family] [Campaign: NB PropertyTech Survey Ad 3108] Imported from Campaign Leads (Meta Ads).</t>
        </is>
      </c>
    </row>
    <row r="655" ht="20" customHeight="1">
      <c r="A655" s="58" t="n">
        <v>46274.77461353009</v>
      </c>
      <c r="B655" s="19" t="inlineStr">
        <is>
          <t>3. This Month (Sep 2026)</t>
        </is>
      </c>
      <c r="C655" s="17" t="inlineStr">
        <is>
          <t>Meta Ads (NB PropertyTech Survey Ad 3108)</t>
        </is>
      </c>
      <c r="D655" s="17" t="inlineStr">
        <is>
          <t>Ashok Ojha (6376080197)</t>
        </is>
      </c>
      <c r="E655" s="17" t="inlineStr">
        <is>
          <t>Zeel Mudaliyar</t>
        </is>
      </c>
      <c r="F655" s="17" t="inlineStr">
        <is>
          <t>Interested</t>
        </is>
      </c>
      <c r="G655" s="17" t="inlineStr">
        <is>
          <t>Not Assigned</t>
        </is>
      </c>
      <c r="H655" s="17" t="inlineStr">
        <is>
          <t>N/A (Not Assigned)</t>
        </is>
      </c>
      <c r="I655" s="17" t="inlineStr">
        <is>
          <t>[Staying: family] [Campaign: NB PropertyTech Survey Ad 3108] Imported from Campaign Leads (Meta Ads).</t>
        </is>
      </c>
    </row>
    <row r="656" ht="20" customHeight="1">
      <c r="A656" s="57" t="n">
        <v>46274.77461332176</v>
      </c>
      <c r="B656" s="16" t="inlineStr">
        <is>
          <t>3. This Month (Sep 2026)</t>
        </is>
      </c>
      <c r="C656" s="14" t="inlineStr">
        <is>
          <t>Meta Ads (NB PropertyTech Survey Ad 3108)</t>
        </is>
      </c>
      <c r="D656" s="14" t="inlineStr">
        <is>
          <t>Umang Patel (7777921529)</t>
        </is>
      </c>
      <c r="E656" s="14" t="inlineStr">
        <is>
          <t>Unassigned</t>
        </is>
      </c>
      <c r="F656" s="14" t="inlineStr">
        <is>
          <t>CNR (Could Not Reach)</t>
        </is>
      </c>
      <c r="G656" s="14" t="inlineStr">
        <is>
          <t>Not Assigned</t>
        </is>
      </c>
      <c r="H656" s="14" t="inlineStr">
        <is>
          <t>N/A (Not Assigned)</t>
        </is>
      </c>
      <c r="I656" s="14" t="inlineStr">
        <is>
          <t>-</t>
        </is>
      </c>
    </row>
    <row r="657" ht="20" customHeight="1">
      <c r="A657" s="58" t="n">
        <v>46274.66502809028</v>
      </c>
      <c r="B657" s="19" t="inlineStr">
        <is>
          <t>3. This Month (Sep 2026)</t>
        </is>
      </c>
      <c r="C657" s="17" t="inlineStr">
        <is>
          <t>Meta Ads (NB PropertyTech Survey Ad 3108)</t>
        </is>
      </c>
      <c r="D657" s="17" t="inlineStr">
        <is>
          <t>Sabita Dutta (9998502333)</t>
        </is>
      </c>
      <c r="E657" s="17" t="inlineStr">
        <is>
          <t>Prexa Vithalapara</t>
        </is>
      </c>
      <c r="F657" s="17" t="inlineStr">
        <is>
          <t>Sales</t>
        </is>
      </c>
      <c r="G657" s="17" t="inlineStr">
        <is>
          <t>Rakesh Jadav</t>
        </is>
      </c>
      <c r="H657" s="17" t="inlineStr">
        <is>
          <t>Assigned</t>
        </is>
      </c>
      <c r="I657" s="17" t="inlineStr">
        <is>
          <t>Lead from Meta Ads (NB PropertyTech Survey Ad 3108). Ad: NB Propertytech Rental Leads. | Email: sabitadutta0829@gmail.com | Transfer: Thaltej Silaj Science city, 4bhk, semi furnished, 45k budget, family | Transfer Note: Thaltej Silaj Science city, 4bhk, semi furnished, 45k budget, family | CRM: [Telecaller Key Points]: Thaltej Silaj Science city, 4bhk, semi furnished, 45k budget, family | [Telecaller Key Points]: Thaltej Silaj Science city, 4bhk, semi furnished, 45k budget, family
Lead from Meta Ads (NB PropertyTech Survey Ad 3108). Ad: NB Propertytech Rental Leads. | Email: sabitadutta0829@gmail.com | Thaltej Silaj Science city, 4bhk, semi furnished, 45k budget, family</t>
        </is>
      </c>
    </row>
    <row r="658" ht="20" customHeight="1">
      <c r="A658" s="57" t="n">
        <v>46274.65710006945</v>
      </c>
      <c r="B658" s="16" t="inlineStr">
        <is>
          <t>3. This Month (Sep 2026)</t>
        </is>
      </c>
      <c r="C658" s="14" t="inlineStr">
        <is>
          <t>Meta Ads (NB PropertyTech Survey Ad 3108)</t>
        </is>
      </c>
      <c r="D658" s="14" t="inlineStr">
        <is>
          <t>Sabita Dutta (9998502333)</t>
        </is>
      </c>
      <c r="E658" s="14" t="inlineStr">
        <is>
          <t>Prexa Vithalapara</t>
        </is>
      </c>
      <c r="F658" s="14" t="inlineStr">
        <is>
          <t>Sales</t>
        </is>
      </c>
      <c r="G658" s="14" t="inlineStr">
        <is>
          <t>Rakesh Jadav</t>
        </is>
      </c>
      <c r="H658" s="14" t="inlineStr">
        <is>
          <t>Assigned</t>
        </is>
      </c>
      <c r="I658" s="14" t="inlineStr">
        <is>
          <t>Transfer: Thaltej Silaj Science city, 4bhk, semi furnished, 45k budget, family | Transfer Note: Thaltej Silaj Science city, 4bhk, semi furnished, 45k budget, family | Followup: CNR | CRM: [Telecaller Key Points]: Thaltej Silaj Science city, 4bhk, semi furnished, 45k budget, family | [Telecaller Key Points]: Thaltej Silaj Science city, 4bhk, semi furnished, 45k budget, family
Lead from Meta Ads (NB PropertyTech Survey Ad 3108). Ad: NB Propertytech Rental Leads. | Email: sabitadutta0829@gmail.com | Thaltej Silaj Science city, 4bhk, semi furnished, 45k budget, family</t>
        </is>
      </c>
    </row>
    <row r="659" ht="20" customHeight="1">
      <c r="A659" s="58" t="n">
        <v>46274.5140637963</v>
      </c>
      <c r="B659" s="19" t="inlineStr">
        <is>
          <t>3. This Month (Sep 2026)</t>
        </is>
      </c>
      <c r="C659" s="17" t="inlineStr">
        <is>
          <t>Direct / Manual</t>
        </is>
      </c>
      <c r="D659" s="17" t="inlineStr">
        <is>
          <t>Payal Trivedi Mehta (9825151419)</t>
        </is>
      </c>
      <c r="E659" s="17" t="inlineStr">
        <is>
          <t>Unassigned</t>
        </is>
      </c>
      <c r="F659" s="17" t="inlineStr">
        <is>
          <t>Rejected / Lost</t>
        </is>
      </c>
      <c r="G659" s="17" t="inlineStr">
        <is>
          <t>Rajan Purani</t>
        </is>
      </c>
      <c r="H659" s="17" t="inlineStr">
        <is>
          <t>Rejected (Already Rented)</t>
        </is>
      </c>
      <c r="I659" s="17" t="inlineStr">
        <is>
          <t>options share kari ne visit mate call karvo | Followup: rent par lai lidhu che amne | CRM: options share kari ne visit mate call karvo | CRM Followup: rent par lai lidhu che amne</t>
        </is>
      </c>
    </row>
    <row r="660" ht="20" customHeight="1">
      <c r="A660" s="57" t="n">
        <v>46274.4662530787</v>
      </c>
      <c r="B660" s="16" t="inlineStr">
        <is>
          <t>3. This Month (Sep 2026)</t>
        </is>
      </c>
      <c r="C660" s="14" t="inlineStr">
        <is>
          <t>Meta Ads (NB PropertyTech Survey Ad 3108)</t>
        </is>
      </c>
      <c r="D660" s="14" t="inlineStr">
        <is>
          <t>Parth_solanki (9408338990)</t>
        </is>
      </c>
      <c r="E660" s="14" t="inlineStr">
        <is>
          <t>Prexa Vithalapara</t>
        </is>
      </c>
      <c r="F660" s="14" t="inlineStr">
        <is>
          <t>Sales</t>
        </is>
      </c>
      <c r="G660" s="14" t="inlineStr">
        <is>
          <t>Somel Rathod</t>
        </is>
      </c>
      <c r="H660" s="14" t="inlineStr">
        <is>
          <t>Assigned</t>
        </is>
      </c>
      <c r="I660" s="14" t="inlineStr">
        <is>
          <t>[Telecaller Key Points]: by 2bhk, unfurnished, 60 lacs, new ranip, jagatpur | Transfer: by 2bhk, unfurnished, 60 lacs, new ranip, jagatpur | Transfer Note: by 2bhk, unfurnished, 60 lacs, new ranip, jagatpur | CNR | Followup: CNR | CRM: [Telecaller Key Points]: by 2bhk, unfurnished, 60 lacs, new ranip, jagatpur | by 2bhk, unfurnished, 60 lacs, new ranip, jagatpur</t>
        </is>
      </c>
    </row>
    <row r="661" ht="20" customHeight="1">
      <c r="A661" s="58" t="n">
        <v>46274.43436755787</v>
      </c>
      <c r="B661" s="19" t="inlineStr">
        <is>
          <t>3. This Month (Sep 2026)</t>
        </is>
      </c>
      <c r="C661" s="17" t="inlineStr">
        <is>
          <t>Meta Ads (NB PropertyTech Survey Ad 3108)</t>
        </is>
      </c>
      <c r="D661" s="17" t="inlineStr">
        <is>
          <t>Jani Jyotindra (9998070022)</t>
        </is>
      </c>
      <c r="E661" s="17" t="inlineStr">
        <is>
          <t>Prexa Vithalapara</t>
        </is>
      </c>
      <c r="F661" s="17" t="inlineStr">
        <is>
          <t>Interested</t>
        </is>
      </c>
      <c r="G661" s="17" t="inlineStr">
        <is>
          <t>Rajan Purani</t>
        </is>
      </c>
      <c r="H661" s="17" t="inlineStr">
        <is>
          <t>Interested</t>
        </is>
      </c>
      <c r="I661" s="17" t="inlineStr">
        <is>
          <t>[16 Sep '26, 4:37 PM] 3 BHK furnished Flat joye che budget 40k science city, thaltej, bodakdev, gota 4 person only weekend visit mate aavse | 3 BHK furnished Flat joye che budget 40k science city, thaltej, bodakdev, gota 4 person only weekend visit mate aavse | Followup: amna son decision leva na che call monday for visit he don't share son number | CRM: amna son decision leva na che call monday for visit he don't share son number | CRM Followup: amna son decision leva na che call monday for visit he don't share son number | amna son decision leva na che call monday for visit he don't share son number</t>
        </is>
      </c>
    </row>
    <row r="662" ht="20" customHeight="1">
      <c r="A662" s="57" t="n">
        <v>46274.42997548611</v>
      </c>
      <c r="B662" s="16" t="inlineStr">
        <is>
          <t>3. This Month (Sep 2026)</t>
        </is>
      </c>
      <c r="C662" s="14" t="inlineStr">
        <is>
          <t>Direct / Manual</t>
        </is>
      </c>
      <c r="D662" s="14" t="inlineStr">
        <is>
          <t>Gayatri Brahmbhatt (8160769507)</t>
        </is>
      </c>
      <c r="E662" s="14" t="inlineStr">
        <is>
          <t>Unassigned</t>
        </is>
      </c>
      <c r="F662" s="14" t="inlineStr">
        <is>
          <t>Rejected / Lost</t>
        </is>
      </c>
      <c r="G662" s="14" t="inlineStr">
        <is>
          <t>Rakesh Jadav</t>
        </is>
      </c>
      <c r="H662" s="14" t="inlineStr">
        <is>
          <t>Rejected (Locality Mismatch)</t>
        </is>
      </c>
      <c r="I662" s="14" t="inlineStr">
        <is>
          <t>[09 Sep '26, 12:48 PM] call karse | Followup: amne pearl hight nanu pade che bija option apva ghatlodia ma | CRM: amne pearl height ni visit ma aavse em kidhu che | CRM Followup: amne pearl hight nanu pade che bija option apva ghatlodia ma | amne pearl height ni visit ma aavse em kidhu che</t>
        </is>
      </c>
    </row>
    <row r="663" ht="20" customHeight="1">
      <c r="A663" s="58" t="n">
        <v>46274.38562321759</v>
      </c>
      <c r="B663" s="19" t="inlineStr">
        <is>
          <t>3. This Month (Sep 2026)</t>
        </is>
      </c>
      <c r="C663" s="17" t="inlineStr">
        <is>
          <t>Meta Ads (NB PropertyTech Survey Ad 3108)</t>
        </is>
      </c>
      <c r="D663" s="17" t="inlineStr">
        <is>
          <t>Mahesh Jasani (9904958998)</t>
        </is>
      </c>
      <c r="E663" s="17" t="inlineStr">
        <is>
          <t>Zeel Mudaliyar</t>
        </is>
      </c>
      <c r="F663" s="17" t="inlineStr">
        <is>
          <t>Interested</t>
        </is>
      </c>
      <c r="G663" s="17" t="inlineStr">
        <is>
          <t>Not Assigned</t>
        </is>
      </c>
      <c r="H663" s="17" t="inlineStr">
        <is>
          <t>N/A (Not Assigned)</t>
        </is>
      </c>
      <c r="I663" s="17" t="inlineStr">
        <is>
          <t>[Staying: family] Imported from Campaign Leads (Meta Ads).</t>
        </is>
      </c>
    </row>
    <row r="664" ht="20" customHeight="1">
      <c r="A664" s="57" t="n">
        <v>46273.89988920139</v>
      </c>
      <c r="B664" s="16" t="inlineStr">
        <is>
          <t>3. This Month (Sep 2026)</t>
        </is>
      </c>
      <c r="C664" s="14" t="inlineStr">
        <is>
          <t>Meta Ads (NB PropertyTech Rental Ad 0408)</t>
        </is>
      </c>
      <c r="D664" s="14" t="inlineStr">
        <is>
          <t>Parth Barot (9265065881)</t>
        </is>
      </c>
      <c r="E664" s="14" t="inlineStr">
        <is>
          <t>Zeel Mudaliyar</t>
        </is>
      </c>
      <c r="F664" s="14" t="inlineStr">
        <is>
          <t>New</t>
        </is>
      </c>
      <c r="G664" s="14" t="inlineStr">
        <is>
          <t>Not Assigned</t>
        </is>
      </c>
      <c r="H664" s="14" t="inlineStr">
        <is>
          <t>N/A (Not Assigned)</t>
        </is>
      </c>
      <c r="I664" s="14" t="inlineStr">
        <is>
          <t>-</t>
        </is>
      </c>
    </row>
    <row r="665" ht="20" customHeight="1">
      <c r="A665" s="58" t="n">
        <v>46273.4862797338</v>
      </c>
      <c r="B665" s="19" t="inlineStr">
        <is>
          <t>3. This Month (Sep 2026)</t>
        </is>
      </c>
      <c r="C665" s="17" t="inlineStr">
        <is>
          <t>Meta Ads (NB PropertyTech Survey Ad 3108)</t>
        </is>
      </c>
      <c r="D665" s="17" t="inlineStr">
        <is>
          <t>Jani Jyotindra (9998070022)</t>
        </is>
      </c>
      <c r="E665" s="17" t="inlineStr">
        <is>
          <t>Prexa Vithalapara</t>
        </is>
      </c>
      <c r="F665" s="17" t="inlineStr">
        <is>
          <t>Interested</t>
        </is>
      </c>
      <c r="G665" s="17" t="inlineStr">
        <is>
          <t>Not Assigned</t>
        </is>
      </c>
      <c r="H665" s="17" t="inlineStr">
        <is>
          <t>N/A (Not Assigned)</t>
        </is>
      </c>
      <c r="I665" s="17" t="inlineStr">
        <is>
          <t>3 BHK furnished Flat joye che budget 40k science city, thaltej, bodakdev, gota 4 person only weekend visit mate aavse | amna son decision leva na che call monday for visit he don't share son number</t>
        </is>
      </c>
    </row>
    <row r="666" ht="20" customHeight="1">
      <c r="A666" s="57" t="n">
        <v>46273.46822017361</v>
      </c>
      <c r="B666" s="16" t="inlineStr">
        <is>
          <t>3. This Month (Sep 2026)</t>
        </is>
      </c>
      <c r="C666" s="14" t="inlineStr">
        <is>
          <t>Meta Ads (NB PropertyTech Rental Ad 0408)</t>
        </is>
      </c>
      <c r="D666" s="14" t="inlineStr">
        <is>
          <t>Mehul Parmar (9979776275)</t>
        </is>
      </c>
      <c r="E666" s="14" t="inlineStr">
        <is>
          <t>Zeel Mudaliyar</t>
        </is>
      </c>
      <c r="F666" s="14" t="inlineStr">
        <is>
          <t>New</t>
        </is>
      </c>
      <c r="G666" s="14" t="inlineStr">
        <is>
          <t>Not Assigned</t>
        </is>
      </c>
      <c r="H666" s="14" t="inlineStr">
        <is>
          <t>N/A (Not Assigned)</t>
        </is>
      </c>
      <c r="I666" s="14" t="inlineStr">
        <is>
          <t>-</t>
        </is>
      </c>
    </row>
    <row r="667" ht="20" customHeight="1">
      <c r="A667" s="58" t="n">
        <v>46273.44509474537</v>
      </c>
      <c r="B667" s="19" t="inlineStr">
        <is>
          <t>3. This Month (Sep 2026)</t>
        </is>
      </c>
      <c r="C667" s="17" t="inlineStr">
        <is>
          <t>Meta Ads (NB PropertyTech Survey Ad 3108)</t>
        </is>
      </c>
      <c r="D667" s="17" t="inlineStr">
        <is>
          <t>Bhavna Vyas (9825375694)</t>
        </is>
      </c>
      <c r="E667" s="17" t="inlineStr">
        <is>
          <t>Prexa Vithalapara</t>
        </is>
      </c>
      <c r="F667" s="17" t="inlineStr">
        <is>
          <t>Interested</t>
        </is>
      </c>
      <c r="G667" s="17" t="inlineStr">
        <is>
          <t>Rajan Purani</t>
        </is>
      </c>
      <c r="H667" s="17" t="inlineStr">
        <is>
          <t>Follow-Up</t>
        </is>
      </c>
      <c r="I667" s="17" t="inlineStr">
        <is>
          <t>[17 Sep '26, 12:40 PM] 3 bhk rent / sale 1.5cr/30k vastrapur satellite , sale gota jagatpur
[18 Sep '26, 1:22 PM] 3 BHK FURNISHED 25K MA JOYE CHE GURUKUL LOCATIONS MA | Followup: 3 bhk Furnished options joye che 25 k ma sahjanad oasis ni details shared kari che call for visit eveing | CRM: Imported from Google Sheets. Campaign: family. | CRM Followup: 3 bhk Furnished options joye che 25 k ma sahjanad oasis ni details shared kari che call for visit eveing | Imported from Google Sheets. Campaign: family.</t>
        </is>
      </c>
    </row>
    <row r="668" ht="20" customHeight="1">
      <c r="A668" s="57" t="n">
        <v>46272.75086846065</v>
      </c>
      <c r="B668" s="16" t="inlineStr">
        <is>
          <t>3. This Month (Sep 2026)</t>
        </is>
      </c>
      <c r="C668" s="14" t="inlineStr">
        <is>
          <t>Direct / Manual</t>
        </is>
      </c>
      <c r="D668" s="14" t="inlineStr">
        <is>
          <t>Testing Leads (3216549870)</t>
        </is>
      </c>
      <c r="E668" s="14" t="inlineStr">
        <is>
          <t>Unassigned</t>
        </is>
      </c>
      <c r="F668" s="14" t="inlineStr">
        <is>
          <t>Sales</t>
        </is>
      </c>
      <c r="G668" s="14" t="inlineStr">
        <is>
          <t>Not Assigned</t>
        </is>
      </c>
      <c r="H668" s="14" t="inlineStr">
        <is>
          <t>N/A (Not Assigned)</t>
        </is>
      </c>
      <c r="I668" s="14" t="inlineStr">
        <is>
          <t>[09 Sep '26, 2:16 PM] hahkahafa | Followup: asddasdasdasds | CRM: today Follow ups | CRM Followup: asddasdasdasds | today Follow ups</t>
        </is>
      </c>
    </row>
    <row r="669" ht="20" customHeight="1">
      <c r="A669" s="58" t="n">
        <v>46272.6190258912</v>
      </c>
      <c r="B669" s="19" t="inlineStr">
        <is>
          <t>3. This Month (Sep 2026)</t>
        </is>
      </c>
      <c r="C669" s="17" t="inlineStr">
        <is>
          <t>Direct / Manual</t>
        </is>
      </c>
      <c r="D669" s="17" t="inlineStr">
        <is>
          <t>Somel (0000000000)</t>
        </is>
      </c>
      <c r="E669" s="17" t="inlineStr">
        <is>
          <t>Unassigned</t>
        </is>
      </c>
      <c r="F669" s="17" t="inlineStr">
        <is>
          <t>Interested</t>
        </is>
      </c>
      <c r="G669" s="17" t="inlineStr">
        <is>
          <t>Not Assigned</t>
        </is>
      </c>
      <c r="H669" s="17" t="inlineStr">
        <is>
          <t>N/A (Not Assigned)</t>
        </is>
      </c>
      <c r="I669" s="17" t="inlineStr">
        <is>
          <t>Imported from Google Sheets. Campaign: Google Sheets. | CRM: Imported from Google Sheets. Campaign: Google Sheets.</t>
        </is>
      </c>
    </row>
    <row r="670" ht="20" customHeight="1">
      <c r="A670" s="57" t="n">
        <v>46272.61902378472</v>
      </c>
      <c r="B670" s="16" t="inlineStr">
        <is>
          <t>3. This Month (Sep 2026)</t>
        </is>
      </c>
      <c r="C670" s="14" t="inlineStr">
        <is>
          <t>Direct / Manual</t>
        </is>
      </c>
      <c r="D670" s="14" t="inlineStr">
        <is>
          <t>Rakesh (0000000000)</t>
        </is>
      </c>
      <c r="E670" s="14" t="inlineStr">
        <is>
          <t>Unassigned</t>
        </is>
      </c>
      <c r="F670" s="14" t="inlineStr">
        <is>
          <t>Interested</t>
        </is>
      </c>
      <c r="G670" s="14" t="inlineStr">
        <is>
          <t>Not Assigned</t>
        </is>
      </c>
      <c r="H670" s="14" t="inlineStr">
        <is>
          <t>N/A (Not Assigned)</t>
        </is>
      </c>
      <c r="I670" s="14" t="inlineStr">
        <is>
          <t>Imported from Google Sheets. Campaign: Google Sheets. | CRM: Imported from Google Sheets. Campaign: Google Sheets.</t>
        </is>
      </c>
    </row>
    <row r="671" ht="20" customHeight="1">
      <c r="A671" s="58" t="n">
        <v>46272.61902202546</v>
      </c>
      <c r="B671" s="19" t="inlineStr">
        <is>
          <t>3. This Month (Sep 2026)</t>
        </is>
      </c>
      <c r="C671" s="17" t="inlineStr">
        <is>
          <t>Direct / Manual</t>
        </is>
      </c>
      <c r="D671" s="17" t="inlineStr">
        <is>
          <t>Rajan (0000000000)</t>
        </is>
      </c>
      <c r="E671" s="17" t="inlineStr">
        <is>
          <t>Unassigned</t>
        </is>
      </c>
      <c r="F671" s="17" t="inlineStr">
        <is>
          <t>Interested</t>
        </is>
      </c>
      <c r="G671" s="17" t="inlineStr">
        <is>
          <t>Not Assigned</t>
        </is>
      </c>
      <c r="H671" s="17" t="inlineStr">
        <is>
          <t>N/A (Not Assigned)</t>
        </is>
      </c>
      <c r="I671" s="17" t="inlineStr">
        <is>
          <t>Imported from Google Sheets. Campaign: Google Sheets. | CRM: Imported from Google Sheets. Campaign: Google Sheets.</t>
        </is>
      </c>
    </row>
    <row r="672" ht="20" customHeight="1">
      <c r="A672" s="57" t="n">
        <v>46272.61901733797</v>
      </c>
      <c r="B672" s="16" t="inlineStr">
        <is>
          <t>3. This Month (Sep 2026)</t>
        </is>
      </c>
      <c r="C672" s="14" t="inlineStr">
        <is>
          <t>Direct / Manual</t>
        </is>
      </c>
      <c r="D672" s="14" t="inlineStr">
        <is>
          <t>Zeel (0000000000)</t>
        </is>
      </c>
      <c r="E672" s="14" t="inlineStr">
        <is>
          <t>Unassigned</t>
        </is>
      </c>
      <c r="F672" s="14" t="inlineStr">
        <is>
          <t>Interested</t>
        </is>
      </c>
      <c r="G672" s="14" t="inlineStr">
        <is>
          <t>Not Assigned</t>
        </is>
      </c>
      <c r="H672" s="14" t="inlineStr">
        <is>
          <t>N/A (Not Assigned)</t>
        </is>
      </c>
      <c r="I672" s="14" t="inlineStr">
        <is>
          <t>Imported from Google Sheets. Campaign: Google Sheets. | CRM: Imported from Google Sheets. Campaign: Google Sheets.</t>
        </is>
      </c>
    </row>
    <row r="673" ht="20" customHeight="1">
      <c r="A673" s="58" t="n">
        <v>46272.6121565625</v>
      </c>
      <c r="B673" s="19" t="inlineStr">
        <is>
          <t>3. This Month (Sep 2026)</t>
        </is>
      </c>
      <c r="C673" s="17" t="inlineStr">
        <is>
          <t>Direct / Manual</t>
        </is>
      </c>
      <c r="D673" s="17" t="inlineStr">
        <is>
          <t>Somel (0000000000)</t>
        </is>
      </c>
      <c r="E673" s="17" t="inlineStr">
        <is>
          <t>Unassigned</t>
        </is>
      </c>
      <c r="F673" s="17" t="inlineStr">
        <is>
          <t>Interested</t>
        </is>
      </c>
      <c r="G673" s="17" t="inlineStr">
        <is>
          <t>Not Assigned</t>
        </is>
      </c>
      <c r="H673" s="17" t="inlineStr">
        <is>
          <t>N/A (Not Assigned)</t>
        </is>
      </c>
      <c r="I673" s="17" t="inlineStr">
        <is>
          <t>Imported from Google Sheets. Campaign: Google Sheets. | CRM: Imported from Google Sheets. Campaign: Google Sheets.</t>
        </is>
      </c>
    </row>
    <row r="674" ht="20" customHeight="1">
      <c r="A674" s="57" t="n">
        <v>46272.61215269676</v>
      </c>
      <c r="B674" s="16" t="inlineStr">
        <is>
          <t>3. This Month (Sep 2026)</t>
        </is>
      </c>
      <c r="C674" s="14" t="inlineStr">
        <is>
          <t>Direct / Manual</t>
        </is>
      </c>
      <c r="D674" s="14" t="inlineStr">
        <is>
          <t>Rakesh (0000000000)</t>
        </is>
      </c>
      <c r="E674" s="14" t="inlineStr">
        <is>
          <t>Unassigned</t>
        </is>
      </c>
      <c r="F674" s="14" t="inlineStr">
        <is>
          <t>Interested</t>
        </is>
      </c>
      <c r="G674" s="14" t="inlineStr">
        <is>
          <t>Not Assigned</t>
        </is>
      </c>
      <c r="H674" s="14" t="inlineStr">
        <is>
          <t>N/A (Not Assigned)</t>
        </is>
      </c>
      <c r="I674" s="14" t="inlineStr">
        <is>
          <t>Imported from Google Sheets. Campaign: Google Sheets. | CRM: Imported from Google Sheets. Campaign: Google Sheets.</t>
        </is>
      </c>
    </row>
    <row r="675" ht="20" customHeight="1">
      <c r="A675" s="58" t="n">
        <v>46272.61214913194</v>
      </c>
      <c r="B675" s="19" t="inlineStr">
        <is>
          <t>3. This Month (Sep 2026)</t>
        </is>
      </c>
      <c r="C675" s="17" t="inlineStr">
        <is>
          <t>Direct / Manual</t>
        </is>
      </c>
      <c r="D675" s="17" t="inlineStr">
        <is>
          <t>Rajan (0000000000)</t>
        </is>
      </c>
      <c r="E675" s="17" t="inlineStr">
        <is>
          <t>Unassigned</t>
        </is>
      </c>
      <c r="F675" s="17" t="inlineStr">
        <is>
          <t>Interested</t>
        </is>
      </c>
      <c r="G675" s="17" t="inlineStr">
        <is>
          <t>Not Assigned</t>
        </is>
      </c>
      <c r="H675" s="17" t="inlineStr">
        <is>
          <t>N/A (Not Assigned)</t>
        </is>
      </c>
      <c r="I675" s="17" t="inlineStr">
        <is>
          <t>Imported from Google Sheets. Campaign: Google Sheets. | CRM: Imported from Google Sheets. Campaign: Google Sheets.</t>
        </is>
      </c>
    </row>
    <row r="676" ht="20" customHeight="1">
      <c r="A676" s="57" t="n">
        <v>46272.61214487268</v>
      </c>
      <c r="B676" s="16" t="inlineStr">
        <is>
          <t>3. This Month (Sep 2026)</t>
        </is>
      </c>
      <c r="C676" s="14" t="inlineStr">
        <is>
          <t>Direct / Manual</t>
        </is>
      </c>
      <c r="D676" s="14" t="inlineStr">
        <is>
          <t>Zeel (0000000000)</t>
        </is>
      </c>
      <c r="E676" s="14" t="inlineStr">
        <is>
          <t>Unassigned</t>
        </is>
      </c>
      <c r="F676" s="14" t="inlineStr">
        <is>
          <t>Interested</t>
        </is>
      </c>
      <c r="G676" s="14" t="inlineStr">
        <is>
          <t>Not Assigned</t>
        </is>
      </c>
      <c r="H676" s="14" t="inlineStr">
        <is>
          <t>N/A (Not Assigned)</t>
        </is>
      </c>
      <c r="I676" s="14" t="inlineStr">
        <is>
          <t>97o7o | CRM: Imported from Google Sheets. Campaign: Google Sheets. | Imported from Google Sheets. Campaign: Google Sheets.</t>
        </is>
      </c>
    </row>
    <row r="677" ht="20" customHeight="1">
      <c r="A677" s="58" t="n">
        <v>46272.52906634259</v>
      </c>
      <c r="B677" s="19" t="inlineStr">
        <is>
          <t>3. This Month (Sep 2026)</t>
        </is>
      </c>
      <c r="C677" s="17" t="inlineStr">
        <is>
          <t>Direct / Manual</t>
        </is>
      </c>
      <c r="D677" s="17" t="inlineStr">
        <is>
          <t>Tushar Chaudhary (9665702514)</t>
        </is>
      </c>
      <c r="E677" s="17" t="inlineStr">
        <is>
          <t>Unassigned</t>
        </is>
      </c>
      <c r="F677" s="17" t="inlineStr">
        <is>
          <t>Rejected / Lost</t>
        </is>
      </c>
      <c r="G677" s="17" t="inlineStr">
        <is>
          <t>Rajan Purani</t>
        </is>
      </c>
      <c r="H677" s="17" t="inlineStr">
        <is>
          <t>Rejected (Others)</t>
        </is>
      </c>
      <c r="I677" s="17" t="inlineStr">
        <is>
          <t>20k ma furnished flat joye che options not available | CRM: Options not available so close | Options not available so close</t>
        </is>
      </c>
    </row>
    <row r="678" ht="20" customHeight="1">
      <c r="A678" s="57" t="n">
        <v>46272.51464520834</v>
      </c>
      <c r="B678" s="16" t="inlineStr">
        <is>
          <t>3. This Month (Sep 2026)</t>
        </is>
      </c>
      <c r="C678" s="14" t="inlineStr">
        <is>
          <t>Direct / Manual</t>
        </is>
      </c>
      <c r="D678" s="14" t="inlineStr">
        <is>
          <t>Vicky Sigh (6355434659)</t>
        </is>
      </c>
      <c r="E678" s="14" t="inlineStr">
        <is>
          <t>Unassigned</t>
        </is>
      </c>
      <c r="F678" s="14" t="inlineStr">
        <is>
          <t>Interested</t>
        </is>
      </c>
      <c r="G678" s="14" t="inlineStr">
        <is>
          <t>Rajan Purani</t>
        </is>
      </c>
      <c r="H678" s="14" t="inlineStr">
        <is>
          <t>Interested</t>
        </is>
      </c>
      <c r="I678" s="14" t="inlineStr">
        <is>
          <t>20k frunished office iptions shared karva | CRM: 1 cabin 4,5 w.t. joye che 20k ma | 1 cabin 4,5 w.t. joye che 20k ma</t>
        </is>
      </c>
    </row>
    <row r="679" ht="20" customHeight="1">
      <c r="A679" s="58" t="n">
        <v>46272.48547753472</v>
      </c>
      <c r="B679" s="19" t="inlineStr">
        <is>
          <t>3. This Month (Sep 2026)</t>
        </is>
      </c>
      <c r="C679" s="17" t="inlineStr">
        <is>
          <t>Direct / Manual</t>
        </is>
      </c>
      <c r="D679" s="17" t="inlineStr">
        <is>
          <t>Krupa Trivedi (7984910603)</t>
        </is>
      </c>
      <c r="E679" s="17" t="inlineStr">
        <is>
          <t>Unassigned</t>
        </is>
      </c>
      <c r="F679" s="17" t="inlineStr">
        <is>
          <t>Rejected / Lost</t>
        </is>
      </c>
      <c r="G679" s="17" t="inlineStr">
        <is>
          <t>Rajan Purani</t>
        </is>
      </c>
      <c r="H679" s="17" t="inlineStr">
        <is>
          <t>Rejected (Already Rented)</t>
        </is>
      </c>
      <c r="I679" s="17" t="inlineStr">
        <is>
          <t>Not Interested | CRM: Not Interested</t>
        </is>
      </c>
    </row>
    <row r="680" ht="20" customHeight="1">
      <c r="A680" s="57" t="n">
        <v>46272.47469621528</v>
      </c>
      <c r="B680" s="16" t="inlineStr">
        <is>
          <t>3. This Month (Sep 2026)</t>
        </is>
      </c>
      <c r="C680" s="14" t="inlineStr">
        <is>
          <t>Direct / Manual</t>
        </is>
      </c>
      <c r="D680" s="14" t="inlineStr">
        <is>
          <t>Kaushal Modi (8200001933)</t>
        </is>
      </c>
      <c r="E680" s="14" t="inlineStr">
        <is>
          <t>Unassigned</t>
        </is>
      </c>
      <c r="F680" s="14" t="inlineStr">
        <is>
          <t>Interested</t>
        </is>
      </c>
      <c r="G680" s="14" t="inlineStr">
        <is>
          <t>Rajan Purani</t>
        </is>
      </c>
      <c r="H680" s="14" t="inlineStr">
        <is>
          <t>Interested</t>
        </is>
      </c>
      <c r="I680" s="14" t="inlineStr">
        <is>
          <t>furnished office 20k na options aapva bopal southbopal shilaj ma | CRM: Office req. 1 cabin, 5to7, Work Station joye che budget max 20k nr shilaj,southbopal,bopal,thaltej | Office req. 1 cabin, 5to7, Work Station joye che budget max 20k nr shilaj,southbopal,bopal,thaltej</t>
        </is>
      </c>
    </row>
    <row r="681" ht="20" customHeight="1">
      <c r="A681" s="58" t="n">
        <v>46272.4597908912</v>
      </c>
      <c r="B681" s="19" t="inlineStr">
        <is>
          <t>3. This Month (Sep 2026)</t>
        </is>
      </c>
      <c r="C681" s="17" t="inlineStr">
        <is>
          <t>Meta Ads (NB PropertyTech Survey Ad 3108)</t>
        </is>
      </c>
      <c r="D681" s="17" t="inlineStr">
        <is>
          <t>Punit Bipinbhai Majithia (9574101010)</t>
        </is>
      </c>
      <c r="E681" s="17" t="inlineStr">
        <is>
          <t>Prexa Vithalapara</t>
        </is>
      </c>
      <c r="F681" s="17" t="inlineStr">
        <is>
          <t>Rejected / Lost</t>
        </is>
      </c>
      <c r="G681" s="17" t="inlineStr">
        <is>
          <t>Not Assigned</t>
        </is>
      </c>
      <c r="H681" s="17" t="inlineStr">
        <is>
          <t>N/A (Not Assigned)</t>
        </is>
      </c>
      <c r="I681" s="17" t="inlineStr">
        <is>
          <t>3 bhk/ 2bhk budget 20k pearl heigts visit</t>
        </is>
      </c>
    </row>
    <row r="682" ht="20" customHeight="1">
      <c r="A682" s="57" t="n">
        <v>46270.62910974537</v>
      </c>
      <c r="B682" s="16" t="inlineStr">
        <is>
          <t>3. This Month (Sep 2026)</t>
        </is>
      </c>
      <c r="C682" s="14" t="inlineStr">
        <is>
          <t>Meta Ads (NB PropertyTech Survey Ad 3108)</t>
        </is>
      </c>
      <c r="D682" s="14" t="inlineStr">
        <is>
          <t>Pragnaba Jaspalsinh Parmar (9662104405)</t>
        </is>
      </c>
      <c r="E682" s="14" t="inlineStr">
        <is>
          <t>Prexa Vithalapara</t>
        </is>
      </c>
      <c r="F682" s="14" t="inlineStr">
        <is>
          <t>Interested</t>
        </is>
      </c>
      <c r="G682" s="14" t="inlineStr">
        <is>
          <t>Rajan Purani</t>
        </is>
      </c>
      <c r="H682" s="14" t="inlineStr">
        <is>
          <t>Live</t>
        </is>
      </c>
      <c r="I682" s="14" t="inlineStr">
        <is>
          <t>Details share call for visit update | Followup: call tomorrow after 12 pm | CRM: call for visit | CRM Followup: call tomorrow after 12 pm | call for visit</t>
        </is>
      </c>
    </row>
    <row r="683" ht="20" customHeight="1">
      <c r="A683" s="58" t="n">
        <v>46270.51722833333</v>
      </c>
      <c r="B683" s="19" t="inlineStr">
        <is>
          <t>3. This Month (Sep 2026)</t>
        </is>
      </c>
      <c r="C683" s="17" t="inlineStr">
        <is>
          <t>Direct / Manual</t>
        </is>
      </c>
      <c r="D683" s="17" t="inlineStr">
        <is>
          <t>Madhav Trivedi (9924153841)</t>
        </is>
      </c>
      <c r="E683" s="17" t="inlineStr">
        <is>
          <t>Unassigned</t>
        </is>
      </c>
      <c r="F683" s="17" t="inlineStr">
        <is>
          <t>Sales</t>
        </is>
      </c>
      <c r="G683" s="17" t="inlineStr">
        <is>
          <t>Somel Rathod</t>
        </is>
      </c>
      <c r="H683" s="17" t="inlineStr">
        <is>
          <t>Not Started</t>
        </is>
      </c>
      <c r="I683" s="17" t="inlineStr">
        <is>
          <t>Req- 2bhk budget-25k near zydus ( send to PH detail) | CRM: Req- 2bhk budget-25k near zydus ( send to PH detail)</t>
        </is>
      </c>
    </row>
    <row r="684" ht="20" customHeight="1">
      <c r="A684" s="57" t="n">
        <v>46270.51607775463</v>
      </c>
      <c r="B684" s="16" t="inlineStr">
        <is>
          <t>3. This Month (Sep 2026)</t>
        </is>
      </c>
      <c r="C684" s="14" t="inlineStr">
        <is>
          <t>Direct / Manual</t>
        </is>
      </c>
      <c r="D684" s="14" t="inlineStr">
        <is>
          <t>Dhartiben Umrania (8758043902)</t>
        </is>
      </c>
      <c r="E684" s="14" t="inlineStr">
        <is>
          <t>Unassigned</t>
        </is>
      </c>
      <c r="F684" s="14" t="inlineStr">
        <is>
          <t>Site Visit Scheduled</t>
        </is>
      </c>
      <c r="G684" s="14" t="inlineStr">
        <is>
          <t>Rajan Purani</t>
        </is>
      </c>
      <c r="H684" s="14" t="inlineStr">
        <is>
          <t>Site Visit Done</t>
        </is>
      </c>
      <c r="I684" s="14" t="inlineStr">
        <is>
          <t>call tomorrow morning for meeting
[17 Sep '26, 12:48 PM] atyre jya rahe che tya 6 month nathi thaya to own deposit aapva nu na pade etle 1 month pa chi jova nu chalu karse
[17 Sep '26, 12:48 PM] atyre jya rahe che tya 6 month nathi thaya to own deposit aapva nu na pade etle 1 month pa chi jova nu chalu karse | CRM: 2nd time visit done shivam arcade, shajanand Oasis, krishna apartment, pratham heights call for evening meeting | 2nd time visit done shivam arcade, shajanand Oasis, krishna apartment, pratham heights call for evening meeting</t>
        </is>
      </c>
    </row>
    <row r="685" ht="20" customHeight="1">
      <c r="A685" s="58" t="n">
        <v>46270.5047362037</v>
      </c>
      <c r="B685" s="19" t="inlineStr">
        <is>
          <t>3. This Month (Sep 2026)</t>
        </is>
      </c>
      <c r="C685" s="17" t="inlineStr">
        <is>
          <t>Direct / Manual</t>
        </is>
      </c>
      <c r="D685" s="17" t="inlineStr">
        <is>
          <t>Jay Soni (9876543210)</t>
        </is>
      </c>
      <c r="E685" s="17" t="inlineStr">
        <is>
          <t>Unassigned</t>
        </is>
      </c>
      <c r="F685" s="17" t="inlineStr">
        <is>
          <t>Sales</t>
        </is>
      </c>
      <c r="G685" s="17" t="inlineStr">
        <is>
          <t>Rajan Purani</t>
        </is>
      </c>
      <c r="H685" s="17" t="inlineStr">
        <is>
          <t>Not Started</t>
        </is>
      </c>
      <c r="I685" s="17" t="inlineStr">
        <is>
          <t>Hii | CRM: Hii</t>
        </is>
      </c>
    </row>
    <row r="686" ht="20" customHeight="1">
      <c r="A686" s="57" t="n">
        <v>46269.62259076389</v>
      </c>
      <c r="B686" s="16" t="inlineStr">
        <is>
          <t>3. This Month (Sep 2026)</t>
        </is>
      </c>
      <c r="C686" s="14" t="inlineStr">
        <is>
          <t>Direct / Manual</t>
        </is>
      </c>
      <c r="D686" s="14" t="inlineStr">
        <is>
          <t>Xyz (9876542230)</t>
        </is>
      </c>
      <c r="E686" s="14" t="inlineStr">
        <is>
          <t>Unassigned</t>
        </is>
      </c>
      <c r="F686" s="14" t="inlineStr">
        <is>
          <t>Interested</t>
        </is>
      </c>
      <c r="G686" s="14" t="inlineStr">
        <is>
          <t>Not Assigned</t>
        </is>
      </c>
      <c r="H686" s="14" t="inlineStr">
        <is>
          <t>N/A (Not Assigned)</t>
        </is>
      </c>
      <c r="I686" s="14" t="inlineStr">
        <is>
          <t>[11 Sep '26, 11:26 AM] helllo | Followup: hello today follow ups site visits | CRM: xyz remarks | CRM Followup: hello today follow ups site visits | xyz remarks</t>
        </is>
      </c>
    </row>
    <row r="687" ht="20" customHeight="1">
      <c r="A687" s="58" t="n">
        <v>46267.54002136574</v>
      </c>
      <c r="B687" s="19" t="inlineStr">
        <is>
          <t>3. This Month (Sep 2026)</t>
        </is>
      </c>
      <c r="C687" s="17" t="inlineStr">
        <is>
          <t>Direct / Manual</t>
        </is>
      </c>
      <c r="D687" s="17" t="inlineStr">
        <is>
          <t>Hii (9876543210)</t>
        </is>
      </c>
      <c r="E687" s="17" t="inlineStr">
        <is>
          <t>Unassigned</t>
        </is>
      </c>
      <c r="F687" s="17" t="inlineStr">
        <is>
          <t>Sales</t>
        </is>
      </c>
      <c r="G687" s="17" t="inlineStr">
        <is>
          <t>Rakesh Jadav</t>
        </is>
      </c>
      <c r="H687" s="17" t="inlineStr">
        <is>
          <t>Not Started</t>
        </is>
      </c>
      <c r="I687" s="17" t="inlineStr">
        <is>
          <t>Hii</t>
        </is>
      </c>
    </row>
    <row r="688" ht="20" customHeight="1">
      <c r="A688" s="57" t="n">
        <v>46267.53656043982</v>
      </c>
      <c r="B688" s="16" t="inlineStr">
        <is>
          <t>3. This Month (Sep 2026)</t>
        </is>
      </c>
      <c r="C688" s="14" t="inlineStr">
        <is>
          <t>Direct / Manual</t>
        </is>
      </c>
      <c r="D688" s="14" t="inlineStr">
        <is>
          <t>Testing Leads (3165247890)</t>
        </is>
      </c>
      <c r="E688" s="14" t="inlineStr">
        <is>
          <t>Unassigned</t>
        </is>
      </c>
      <c r="F688" s="14" t="inlineStr">
        <is>
          <t>Interested</t>
        </is>
      </c>
      <c r="G688" s="14" t="inlineStr">
        <is>
          <t>Akhil prajapati</t>
        </is>
      </c>
      <c r="H688" s="14" t="inlineStr">
        <is>
          <t>Interested</t>
        </is>
      </c>
      <c r="I688" s="14" t="inlineStr">
        <is>
          <t>hello ! | Followup: daa | CRM: khv | CRM Followup: daa | khv</t>
        </is>
      </c>
    </row>
    <row r="689" ht="20" customHeight="1">
      <c r="A689" s="58" t="n">
        <v>46266.61712787037</v>
      </c>
      <c r="B689" s="19" t="inlineStr">
        <is>
          <t>3. This Month (Sep 2026)</t>
        </is>
      </c>
      <c r="C689" s="17" t="inlineStr">
        <is>
          <t>Direct / Manual</t>
        </is>
      </c>
      <c r="D689" s="17" t="inlineStr">
        <is>
          <t>Hello Testing (1326598740)</t>
        </is>
      </c>
      <c r="E689" s="17" t="inlineStr">
        <is>
          <t>Unassigned</t>
        </is>
      </c>
      <c r="F689" s="17" t="inlineStr">
        <is>
          <t>Sales</t>
        </is>
      </c>
      <c r="G689" s="17" t="inlineStr">
        <is>
          <t>Akhil prajapati</t>
        </is>
      </c>
      <c r="H689" s="17" t="inlineStr">
        <is>
          <t>Re-Followup</t>
        </is>
      </c>
      <c r="I689" s="17" t="inlineStr">
        <is>
          <t>zvzvzvz | Followup: zvzvzvz | CRM: zvzvzvz | CRM Followup: zvzvzvz</t>
        </is>
      </c>
    </row>
    <row r="690" ht="20" customHeight="1">
      <c r="A690" s="57" t="n">
        <v>46264.76899685185</v>
      </c>
      <c r="B690" s="16" t="inlineStr">
        <is>
          <t>4. This Year (2026)</t>
        </is>
      </c>
      <c r="C690" s="14" t="inlineStr">
        <is>
          <t>Direct / Manual</t>
        </is>
      </c>
      <c r="D690" s="14" t="inlineStr">
        <is>
          <t>Pratik Bhai Prajapati (9664816636)</t>
        </is>
      </c>
      <c r="E690" s="14" t="inlineStr">
        <is>
          <t>Unassigned</t>
        </is>
      </c>
      <c r="F690" s="14" t="inlineStr">
        <is>
          <t>Rejected / Lost</t>
        </is>
      </c>
      <c r="G690" s="14" t="inlineStr">
        <is>
          <t>Rakesh Jadav</t>
        </is>
      </c>
      <c r="H690" s="14" t="inlineStr">
        <is>
          <t>Rejected (Already Rented)</t>
        </is>
      </c>
      <c r="I690" s="14" t="inlineStr">
        <is>
          <t>amne pearl hight visit krayu jaagatpur  option aapya apyo che peal hight nathi gamtu | CRM: unfurnished ke semi urnshed chalse amne | unfurnished ke semi urnshed chalse amne</t>
        </is>
      </c>
    </row>
    <row r="691" ht="20" customHeight="1">
      <c r="A691" s="58" t="n">
        <v>46264.72633020833</v>
      </c>
      <c r="B691" s="19" t="inlineStr">
        <is>
          <t>4. This Year (2026)</t>
        </is>
      </c>
      <c r="C691" s="17" t="inlineStr">
        <is>
          <t>Direct / Manual</t>
        </is>
      </c>
      <c r="D691" s="17" t="inlineStr">
        <is>
          <t>Dipaksinh Ranawat (9619000702)</t>
        </is>
      </c>
      <c r="E691" s="17" t="inlineStr">
        <is>
          <t>Unassigned</t>
        </is>
      </c>
      <c r="F691" s="17" t="inlineStr">
        <is>
          <t>Rejected / Lost</t>
        </is>
      </c>
      <c r="G691" s="17" t="inlineStr">
        <is>
          <t>Rajan Purani</t>
        </is>
      </c>
      <c r="H691" s="17" t="inlineStr">
        <is>
          <t>Rejected (Not Answering)</t>
        </is>
      </c>
      <c r="I691" s="17" t="inlineStr">
        <is>
          <t>the call is not responding so call back tomorrow | Followup: the cotinuosly call not responding so call back another number | CRM: the call is not responding so call back tomorrow | CRM Followup: the cotinuosly call not responding so call back another number | [26 Sep '26, 3:18 PM] continuosly not responding so close</t>
        </is>
      </c>
    </row>
    <row r="692" ht="20" customHeight="1">
      <c r="A692" s="57" t="n">
        <v>46264.63952103009</v>
      </c>
      <c r="B692" s="16" t="inlineStr">
        <is>
          <t>4. This Year (2026)</t>
        </is>
      </c>
      <c r="C692" s="14" t="inlineStr">
        <is>
          <t>Direct / Manual</t>
        </is>
      </c>
      <c r="D692" s="14" t="inlineStr">
        <is>
          <t>Shrusti (9167483103)</t>
        </is>
      </c>
      <c r="E692" s="14" t="inlineStr">
        <is>
          <t>Unassigned</t>
        </is>
      </c>
      <c r="F692" s="14" t="inlineStr">
        <is>
          <t>Sales</t>
        </is>
      </c>
      <c r="G692" s="14" t="inlineStr">
        <is>
          <t>Not Assigned</t>
        </is>
      </c>
      <c r="H692" s="14" t="inlineStr">
        <is>
          <t>N/A (Not Assigned)</t>
        </is>
      </c>
      <c r="I692" s="14" t="inlineStr">
        <is>
          <t>-</t>
        </is>
      </c>
    </row>
    <row r="693" ht="20" customHeight="1">
      <c r="A693" s="58" t="n">
        <v>46264.63550392361</v>
      </c>
      <c r="B693" s="19" t="inlineStr">
        <is>
          <t>4. This Year (2026)</t>
        </is>
      </c>
      <c r="C693" s="17" t="inlineStr">
        <is>
          <t>Direct / Manual</t>
        </is>
      </c>
      <c r="D693" s="17" t="inlineStr">
        <is>
          <t>Shrusti (9167483103)</t>
        </is>
      </c>
      <c r="E693" s="17" t="inlineStr">
        <is>
          <t>Unassigned</t>
        </is>
      </c>
      <c r="F693" s="17" t="inlineStr">
        <is>
          <t>Sales</t>
        </is>
      </c>
      <c r="G693" s="17" t="inlineStr">
        <is>
          <t>Not Assigned</t>
        </is>
      </c>
      <c r="H693" s="17" t="inlineStr">
        <is>
          <t>N/A (Not Assigned)</t>
        </is>
      </c>
      <c r="I693" s="17" t="inlineStr">
        <is>
          <t>-</t>
        </is>
      </c>
    </row>
    <row r="694" ht="20" customHeight="1">
      <c r="A694" s="57" t="n">
        <v>46264.42014319445</v>
      </c>
      <c r="B694" s="16" t="inlineStr">
        <is>
          <t>4. This Year (2026)</t>
        </is>
      </c>
      <c r="C694" s="14" t="inlineStr">
        <is>
          <t>Direct / Manual</t>
        </is>
      </c>
      <c r="D694" s="14" t="inlineStr">
        <is>
          <t>Seema Chaudhary (7357451271)</t>
        </is>
      </c>
      <c r="E694" s="14" t="inlineStr">
        <is>
          <t>Unassigned</t>
        </is>
      </c>
      <c r="F694" s="14" t="inlineStr">
        <is>
          <t>Site Visit Scheduled</t>
        </is>
      </c>
      <c r="G694" s="14" t="inlineStr">
        <is>
          <t>Rajan Purani</t>
        </is>
      </c>
      <c r="H694" s="14" t="inlineStr">
        <is>
          <t>Site Visit Done</t>
        </is>
      </c>
      <c r="I694" s="14" t="inlineStr">
        <is>
          <t>call for family visit | Followup: call for visit today shivam arcade 2bhk | CRM: call for visit today shivam arcade 2bhk | CRM Followup: call for visit today shivam arcade 2bhk | call for visit today shivam arcade 2bhk</t>
        </is>
      </c>
    </row>
    <row r="695" ht="20" customHeight="1">
      <c r="A695" s="58" t="n">
        <v>46263.95231831018</v>
      </c>
      <c r="B695" s="19" t="inlineStr">
        <is>
          <t>4. This Year (2026)</t>
        </is>
      </c>
      <c r="C695" s="17" t="inlineStr">
        <is>
          <t>Direct / Manual</t>
        </is>
      </c>
      <c r="D695" s="17" t="inlineStr">
        <is>
          <t>Sonu Raval (1234567890)</t>
        </is>
      </c>
      <c r="E695" s="17" t="inlineStr">
        <is>
          <t>Unassigned</t>
        </is>
      </c>
      <c r="F695" s="17" t="inlineStr">
        <is>
          <t>Interested</t>
        </is>
      </c>
      <c r="G695" s="17" t="inlineStr">
        <is>
          <t>Akhil Prajapati</t>
        </is>
      </c>
      <c r="H695" s="17" t="inlineStr">
        <is>
          <t>Interested</t>
        </is>
      </c>
      <c r="I695" s="17" t="inlineStr">
        <is>
          <t>Remember of this person in the one property match of there requirement ! | Followup: Remember of this person in the one property match of there requirement ! | CRM: Remember of this person in the one property match of there requirement ! | CRM Followup: Remember of this person in the one property match of there requirement !</t>
        </is>
      </c>
    </row>
    <row r="696" ht="20" customHeight="1">
      <c r="A696" s="57" t="n">
        <v>46260.52593729167</v>
      </c>
      <c r="B696" s="16" t="inlineStr">
        <is>
          <t>4. This Year (2026)</t>
        </is>
      </c>
      <c r="C696" s="14" t="inlineStr">
        <is>
          <t>Direct / Manual</t>
        </is>
      </c>
      <c r="D696" s="14" t="inlineStr">
        <is>
          <t>Hemang K. (9104254490)</t>
        </is>
      </c>
      <c r="E696" s="14" t="inlineStr">
        <is>
          <t>Unassigned</t>
        </is>
      </c>
      <c r="F696" s="14" t="inlineStr">
        <is>
          <t>Rejected / Lost</t>
        </is>
      </c>
      <c r="G696" s="14" t="inlineStr">
        <is>
          <t>Rakesh Jadav</t>
        </is>
      </c>
      <c r="H696" s="14" t="inlineStr">
        <is>
          <t>Rejected (No Requirement)</t>
        </is>
      </c>
      <c r="I696" s="14" t="inlineStr">
        <is>
          <t>amne girls bechlour mate joiye che | Followup: amne girls bechlour mate joiye che | CRM: amne girls bechlour mate joiye che | CRM Followup: amne girls bechlour mate joiye che</t>
        </is>
      </c>
    </row>
    <row r="697" ht="20" customHeight="1">
      <c r="A697" s="58" t="n">
        <v>46260.46533525463</v>
      </c>
      <c r="B697" s="19" t="inlineStr">
        <is>
          <t>4. This Year (2026)</t>
        </is>
      </c>
      <c r="C697" s="17" t="inlineStr">
        <is>
          <t>Direct / Manual</t>
        </is>
      </c>
      <c r="D697" s="17" t="inlineStr">
        <is>
          <t>Pinkey Suthar (9712256167)</t>
        </is>
      </c>
      <c r="E697" s="17" t="inlineStr">
        <is>
          <t>Unassigned</t>
        </is>
      </c>
      <c r="F697" s="17" t="inlineStr">
        <is>
          <t>Rejected / Lost</t>
        </is>
      </c>
      <c r="G697" s="17" t="inlineStr">
        <is>
          <t>Rajan Purani</t>
        </is>
      </c>
      <c r="H697" s="17" t="inlineStr">
        <is>
          <t>Rejected (Budget Mismatch)</t>
        </is>
      </c>
      <c r="I697" s="17" t="inlineStr">
        <is>
          <t>Call Cut kare che call for tomorrow | Followup: already rakesh bhai sathe connected hata pachi replay nathi aapta so close | CRM: Call Cut kare che call for tomorrow | CRM Followup: already rakesh bhai sathe connected hata pachi replay nathi aapta so close</t>
        </is>
      </c>
    </row>
    <row r="698" ht="20" customHeight="1">
      <c r="A698" s="57" t="n">
        <v>46260.46343318287</v>
      </c>
      <c r="B698" s="16" t="inlineStr">
        <is>
          <t>4. This Year (2026)</t>
        </is>
      </c>
      <c r="C698" s="14" t="inlineStr">
        <is>
          <t>Direct / Manual</t>
        </is>
      </c>
      <c r="D698" s="14" t="inlineStr">
        <is>
          <t>Vasrsha Acharya (9978519620)</t>
        </is>
      </c>
      <c r="E698" s="14" t="inlineStr">
        <is>
          <t>Unassigned</t>
        </is>
      </c>
      <c r="F698" s="14" t="inlineStr">
        <is>
          <t>Interested</t>
        </is>
      </c>
      <c r="G698" s="14" t="inlineStr">
        <is>
          <t>Rajan Purani</t>
        </is>
      </c>
      <c r="H698" s="14" t="inlineStr">
        <is>
          <t>Interested</t>
        </is>
      </c>
      <c r="I698" s="14" t="inlineStr">
        <is>
          <t>2 BHK for Girls PG or apartment 25k | CRM: 2 BHK for Girls PG or apartment 25k</t>
        </is>
      </c>
    </row>
    <row r="699" ht="20" customHeight="1">
      <c r="A699" s="58" t="n">
        <v>46260.4371503588</v>
      </c>
      <c r="B699" s="19" t="inlineStr">
        <is>
          <t>4. This Year (2026)</t>
        </is>
      </c>
      <c r="C699" s="17" t="inlineStr">
        <is>
          <t>Direct / Manual</t>
        </is>
      </c>
      <c r="D699" s="17" t="inlineStr">
        <is>
          <t>Mihir Desai (9725999800)</t>
        </is>
      </c>
      <c r="E699" s="17" t="inlineStr">
        <is>
          <t>Unassigned</t>
        </is>
      </c>
      <c r="F699" s="17" t="inlineStr">
        <is>
          <t>Site Visit Scheduled</t>
        </is>
      </c>
      <c r="G699" s="17" t="inlineStr">
        <is>
          <t>Rajan Purani</t>
        </is>
      </c>
      <c r="H699" s="17" t="inlineStr">
        <is>
          <t>Site Visit Done</t>
        </is>
      </c>
      <c r="I699" s="17" t="inlineStr">
        <is>
          <t>call for visit tomorrow
[14 Sep '26, 3:41 PM] continuosly not responding and no replay | CRM: Today visit 12 pm gota vaishnodevi options batava | Today visit 12 pm gota vaishnodevi options batava</t>
        </is>
      </c>
    </row>
    <row r="700" ht="20" customHeight="1">
      <c r="A700" s="57" t="n">
        <v>46260.43474188657</v>
      </c>
      <c r="B700" s="16" t="inlineStr">
        <is>
          <t>4. This Year (2026)</t>
        </is>
      </c>
      <c r="C700" s="14" t="inlineStr">
        <is>
          <t>Direct / Manual</t>
        </is>
      </c>
      <c r="D700" s="14" t="inlineStr">
        <is>
          <t>Manna Patel (9824365828)</t>
        </is>
      </c>
      <c r="E700" s="14" t="inlineStr">
        <is>
          <t>Unassigned</t>
        </is>
      </c>
      <c r="F700" s="14" t="inlineStr">
        <is>
          <t>Rejected / Lost</t>
        </is>
      </c>
      <c r="G700" s="14" t="inlineStr">
        <is>
          <t>Rajan Purani</t>
        </is>
      </c>
      <c r="H700" s="14" t="inlineStr">
        <is>
          <t>Rejected (Others)</t>
        </is>
      </c>
      <c r="I700" s="14" t="inlineStr">
        <is>
          <t>Visit Done Vrisavaerkar 1, R 803 He interested | CRM: Visit Done Vrisavaerkar 1, R 803 He interested</t>
        </is>
      </c>
    </row>
    <row r="701" ht="20" customHeight="1">
      <c r="A701" s="58" t="n">
        <v>46256.95333880787</v>
      </c>
      <c r="B701" s="19" t="inlineStr">
        <is>
          <t>4. This Year (2026)</t>
        </is>
      </c>
      <c r="C701" s="17" t="inlineStr">
        <is>
          <t>Direct / Manual</t>
        </is>
      </c>
      <c r="D701" s="17" t="inlineStr">
        <is>
          <t>Ayush Tripathi (9865327401)</t>
        </is>
      </c>
      <c r="E701" s="17" t="inlineStr">
        <is>
          <t>Unassigned</t>
        </is>
      </c>
      <c r="F701" s="17" t="inlineStr">
        <is>
          <t>Interested</t>
        </is>
      </c>
      <c r="G701" s="17" t="inlineStr">
        <is>
          <t>Akhil prajapati</t>
        </is>
      </c>
      <c r="H701" s="17" t="inlineStr">
        <is>
          <t>Interested</t>
        </is>
      </c>
      <c r="I701" s="17" t="inlineStr">
        <is>
          <t>3heh | Followup: I have to meet up | CRM: 3heh | CRM Followup: I have to meet up</t>
        </is>
      </c>
    </row>
    <row r="702" ht="20" customHeight="1">
      <c r="A702" s="57" t="n">
        <v>46256.45888762731</v>
      </c>
      <c r="B702" s="16" t="inlineStr">
        <is>
          <t>4. This Year (2026)</t>
        </is>
      </c>
      <c r="C702" s="14" t="inlineStr">
        <is>
          <t>Direct / Manual</t>
        </is>
      </c>
      <c r="D702" s="14" t="inlineStr">
        <is>
          <t>Tarun Bhai (9662025046)</t>
        </is>
      </c>
      <c r="E702" s="14" t="inlineStr">
        <is>
          <t>Unassigned</t>
        </is>
      </c>
      <c r="F702" s="14" t="inlineStr">
        <is>
          <t>Rejected / Lost</t>
        </is>
      </c>
      <c r="G702" s="14" t="inlineStr">
        <is>
          <t>Rajan Purani</t>
        </is>
      </c>
      <c r="H702" s="14" t="inlineStr">
        <is>
          <t>Rejected (Not Answering)</t>
        </is>
      </c>
      <c r="I702" s="14" t="inlineStr">
        <is>
          <t>[18 Sep '26, 12:26 PM] tarun bhai call k msg no respond karta nathi so close | CRM: Details shared call for office visit he stay south bopal | Details shared call for office visit he stay south bopal</t>
        </is>
      </c>
    </row>
    <row r="703" ht="20" customHeight="1">
      <c r="A703" s="58" t="n">
        <v>46255.6978191088</v>
      </c>
      <c r="B703" s="19" t="inlineStr">
        <is>
          <t>4. This Year (2026)</t>
        </is>
      </c>
      <c r="C703" s="17" t="inlineStr">
        <is>
          <t>Direct / Manual</t>
        </is>
      </c>
      <c r="D703" s="17" t="inlineStr">
        <is>
          <t>Priya Mahajan (7045001455)</t>
        </is>
      </c>
      <c r="E703" s="17" t="inlineStr">
        <is>
          <t>Unassigned</t>
        </is>
      </c>
      <c r="F703" s="17" t="inlineStr">
        <is>
          <t>Interested</t>
        </is>
      </c>
      <c r="G703" s="17" t="inlineStr">
        <is>
          <t>Rakesh Jadav</t>
        </is>
      </c>
      <c r="H703" s="17" t="inlineStr">
        <is>
          <t>Assigned / In Progress</t>
        </is>
      </c>
      <c r="I703" s="17" t="inlineStr">
        <is>
          <t>semi funished joiye che amne 2 bhk gota and near by sg highway</t>
        </is>
      </c>
    </row>
    <row r="704" ht="20" customHeight="1">
      <c r="A704" s="57" t="n">
        <v>46255.68154379629</v>
      </c>
      <c r="B704" s="16" t="inlineStr">
        <is>
          <t>4. This Year (2026)</t>
        </is>
      </c>
      <c r="C704" s="14" t="inlineStr">
        <is>
          <t>Direct / Manual</t>
        </is>
      </c>
      <c r="D704" s="14" t="inlineStr">
        <is>
          <t>Laxmi Mehta (9727389179)</t>
        </is>
      </c>
      <c r="E704" s="14" t="inlineStr">
        <is>
          <t>Unassigned</t>
        </is>
      </c>
      <c r="F704" s="14" t="inlineStr">
        <is>
          <t>Sales</t>
        </is>
      </c>
      <c r="G704" s="14" t="inlineStr">
        <is>
          <t>Somel Rathod</t>
        </is>
      </c>
      <c r="H704" s="14" t="inlineStr">
        <is>
          <t>Not Started</t>
        </is>
      </c>
      <c r="I704" s="14" t="inlineStr">
        <is>
          <t>-</t>
        </is>
      </c>
    </row>
    <row r="705" ht="20" customHeight="1">
      <c r="A705" s="58" t="n">
        <v>46255.66568983797</v>
      </c>
      <c r="B705" s="19" t="inlineStr">
        <is>
          <t>4. This Year (2026)</t>
        </is>
      </c>
      <c r="C705" s="17" t="inlineStr">
        <is>
          <t>Direct / Manual</t>
        </is>
      </c>
      <c r="D705" s="17" t="inlineStr">
        <is>
          <t>Khemraj Rajvadi Tea (9511545048)</t>
        </is>
      </c>
      <c r="E705" s="17" t="inlineStr">
        <is>
          <t>Unassigned</t>
        </is>
      </c>
      <c r="F705" s="17" t="inlineStr">
        <is>
          <t>Rejected / Lost</t>
        </is>
      </c>
      <c r="G705" s="17" t="inlineStr">
        <is>
          <t>Rakesh Jadav</t>
        </is>
      </c>
      <c r="H705" s="17" t="inlineStr">
        <is>
          <t>Rejected (Locality Mismatch)</t>
        </is>
      </c>
      <c r="I705" s="17" t="inlineStr">
        <is>
          <t>ground flore joiye che rajvadii chay maatte | Followup: CNR | CRM: tea stall mate dukan joiye cche option work out krva | CRM Followup: CNR | tea stall mate dukan joiye cche option work out krva</t>
        </is>
      </c>
    </row>
    <row r="706" ht="20" customHeight="1">
      <c r="A706" s="57" t="n">
        <v>46255.42364456019</v>
      </c>
      <c r="B706" s="16" t="inlineStr">
        <is>
          <t>4. This Year (2026)</t>
        </is>
      </c>
      <c r="C706" s="14" t="inlineStr">
        <is>
          <t>Direct / Manual</t>
        </is>
      </c>
      <c r="D706" s="14" t="inlineStr">
        <is>
          <t>Amit Bhai Modi (8866217251)</t>
        </is>
      </c>
      <c r="E706" s="14" t="inlineStr">
        <is>
          <t>Unassigned</t>
        </is>
      </c>
      <c r="F706" s="14" t="inlineStr">
        <is>
          <t>Site Visit Scheduled</t>
        </is>
      </c>
      <c r="G706" s="14" t="inlineStr">
        <is>
          <t>Rajan Purani</t>
        </is>
      </c>
      <c r="H706" s="14" t="inlineStr">
        <is>
          <t>Site Visit Done</t>
        </is>
      </c>
      <c r="I706" s="14" t="inlineStr">
        <is>
          <t>-</t>
        </is>
      </c>
    </row>
    <row r="707" ht="20" customHeight="1">
      <c r="A707" s="58" t="n">
        <v>46254.78017479167</v>
      </c>
      <c r="B707" s="19" t="inlineStr">
        <is>
          <t>4. This Year (2026)</t>
        </is>
      </c>
      <c r="C707" s="17" t="inlineStr">
        <is>
          <t>Direct / Manual</t>
        </is>
      </c>
      <c r="D707" s="17" t="inlineStr">
        <is>
          <t>Vishal Shah (9998871164)</t>
        </is>
      </c>
      <c r="E707" s="17" t="inlineStr">
        <is>
          <t>Unassigned</t>
        </is>
      </c>
      <c r="F707" s="17" t="inlineStr">
        <is>
          <t>Sales</t>
        </is>
      </c>
      <c r="G707" s="17" t="inlineStr">
        <is>
          <t>Rakesh Jadav</t>
        </is>
      </c>
      <c r="H707" s="17" t="inlineStr">
        <is>
          <t>Re-Followup</t>
        </is>
      </c>
      <c r="I707" s="17" t="inlineStr">
        <is>
          <t>amne single person mate joiy che 1/2 bhk vaiisnodevi | Followup: option  work ot krrva | CRM: amne single person mate joiy che 1/2 bhk vaiisnodevi | CRM Followup: option  work ot krrva</t>
        </is>
      </c>
    </row>
    <row r="708" ht="20" customHeight="1">
      <c r="A708" s="57" t="n">
        <v>46254.75655010417</v>
      </c>
      <c r="B708" s="16" t="inlineStr">
        <is>
          <t>4. This Year (2026)</t>
        </is>
      </c>
      <c r="C708" s="14" t="inlineStr">
        <is>
          <t>Direct / Manual</t>
        </is>
      </c>
      <c r="D708" s="14" t="inlineStr">
        <is>
          <t>Mahaveershih Parmar (7778005899)</t>
        </is>
      </c>
      <c r="E708" s="14" t="inlineStr">
        <is>
          <t>Unassigned</t>
        </is>
      </c>
      <c r="F708" s="14" t="inlineStr">
        <is>
          <t>Interested</t>
        </is>
      </c>
      <c r="G708" s="14" t="inlineStr">
        <is>
          <t>Rakesh Jadav</t>
        </is>
      </c>
      <c r="H708" s="14" t="inlineStr">
        <is>
          <t>Assigned / In Progress</t>
        </is>
      </c>
      <c r="I708" s="14" t="inlineStr">
        <is>
          <t>modular kichen and bed joiye</t>
        </is>
      </c>
    </row>
    <row r="709" ht="20" customHeight="1">
      <c r="A709" s="58" t="n">
        <v>46254.65054938658</v>
      </c>
      <c r="B709" s="19" t="inlineStr">
        <is>
          <t>4. This Year (2026)</t>
        </is>
      </c>
      <c r="C709" s="17" t="inlineStr">
        <is>
          <t>Direct / Manual</t>
        </is>
      </c>
      <c r="D709" s="17" t="inlineStr">
        <is>
          <t>Jyoti Gadhavi (8511216756)</t>
        </is>
      </c>
      <c r="E709" s="17" t="inlineStr">
        <is>
          <t>Unassigned</t>
        </is>
      </c>
      <c r="F709" s="17" t="inlineStr">
        <is>
          <t>Sales</t>
        </is>
      </c>
      <c r="G709" s="17" t="inlineStr">
        <is>
          <t>Somel Rathod</t>
        </is>
      </c>
      <c r="H709" s="17" t="inlineStr">
        <is>
          <t>Re-Followup</t>
        </is>
      </c>
      <c r="I709" s="17" t="inlineStr">
        <is>
          <t>bija koi option moklo 
send to PH and kishor park | Followup: send to Reflection by pacifica | CRM: bija koi option moklo 
send to PH and kishor park | CRM Followup: send to Reflection by pacifica</t>
        </is>
      </c>
    </row>
    <row r="710" ht="20" customHeight="1">
      <c r="A710" s="57" t="n">
        <v>46254.6415766088</v>
      </c>
      <c r="B710" s="16" t="inlineStr">
        <is>
          <t>4. This Year (2026)</t>
        </is>
      </c>
      <c r="C710" s="14" t="inlineStr">
        <is>
          <t>Direct / Manual</t>
        </is>
      </c>
      <c r="D710" s="14" t="inlineStr">
        <is>
          <t>Harsha Akhja (9879666513)</t>
        </is>
      </c>
      <c r="E710" s="14" t="inlineStr">
        <is>
          <t>Unassigned</t>
        </is>
      </c>
      <c r="F710" s="14" t="inlineStr">
        <is>
          <t>Rejected / Lost</t>
        </is>
      </c>
      <c r="G710" s="14" t="inlineStr">
        <is>
          <t>Somel Rathod</t>
        </is>
      </c>
      <c r="H710" s="14" t="inlineStr">
        <is>
          <t>Rejected (Others)</t>
        </is>
      </c>
      <c r="I710" s="14" t="inlineStr">
        <is>
          <t>Hello | CRM: Hello</t>
        </is>
      </c>
    </row>
    <row r="711" ht="20" customHeight="1">
      <c r="A711" s="58" t="n">
        <v>46254.63870879629</v>
      </c>
      <c r="B711" s="19" t="inlineStr">
        <is>
          <t>4. This Year (2026)</t>
        </is>
      </c>
      <c r="C711" s="17" t="inlineStr">
        <is>
          <t>Direct / Manual</t>
        </is>
      </c>
      <c r="D711" s="17" t="inlineStr">
        <is>
          <t>Ripal Ashish Mistry (9712256167)</t>
        </is>
      </c>
      <c r="E711" s="17" t="inlineStr">
        <is>
          <t>Unassigned</t>
        </is>
      </c>
      <c r="F711" s="17" t="inlineStr">
        <is>
          <t>Rejected / Lost</t>
        </is>
      </c>
      <c r="G711" s="17" t="inlineStr">
        <is>
          <t>Somel Rathod</t>
        </is>
      </c>
      <c r="H711" s="17" t="inlineStr">
        <is>
          <t>Rejected (Others)</t>
        </is>
      </c>
      <c r="I711" s="17" t="inlineStr">
        <is>
          <t>[10 Sep '26, 11:07 AM] rewqfaef | CRM: Low budget 15k | Low budget 15k | Call Cut kare che call for tomorrow</t>
        </is>
      </c>
    </row>
    <row r="712" ht="20" customHeight="1">
      <c r="A712" s="57" t="n">
        <v>46254.44945506944</v>
      </c>
      <c r="B712" s="16" t="inlineStr">
        <is>
          <t>4. This Year (2026)</t>
        </is>
      </c>
      <c r="C712" s="14" t="inlineStr">
        <is>
          <t>Direct / Manual</t>
        </is>
      </c>
      <c r="D712" s="14" t="inlineStr">
        <is>
          <t>Khushi Patel (9265602115)</t>
        </is>
      </c>
      <c r="E712" s="14" t="inlineStr">
        <is>
          <t>Unassigned</t>
        </is>
      </c>
      <c r="F712" s="14" t="inlineStr">
        <is>
          <t>Rejected / Lost</t>
        </is>
      </c>
      <c r="G712" s="14" t="inlineStr">
        <is>
          <t>Somel Rathod</t>
        </is>
      </c>
      <c r="H712" s="14" t="inlineStr">
        <is>
          <t>Rejected (Others)</t>
        </is>
      </c>
      <c r="I712" s="14" t="inlineStr">
        <is>
          <t>Call not responding | Followup: call not respondgin | CRM: Call not responding | CRM Followup: call not respondgin</t>
        </is>
      </c>
    </row>
    <row r="713" ht="20" customHeight="1">
      <c r="A713" s="58" t="n">
        <v>46253.54685773148</v>
      </c>
      <c r="B713" s="19" t="inlineStr">
        <is>
          <t>4. This Year (2026)</t>
        </is>
      </c>
      <c r="C713" s="17" t="inlineStr">
        <is>
          <t>Meta Ads (NB PropertyTech Survey Ad 0308)</t>
        </is>
      </c>
      <c r="D713" s="17" t="inlineStr">
        <is>
          <t>Prakruti • Personal Brand Strategist (9033657599)</t>
        </is>
      </c>
      <c r="E713" s="17" t="inlineStr">
        <is>
          <t>Unassigned</t>
        </is>
      </c>
      <c r="F713" s="17" t="inlineStr">
        <is>
          <t>Sales</t>
        </is>
      </c>
      <c r="G713" s="17" t="inlineStr">
        <is>
          <t>Somel Rathod</t>
        </is>
      </c>
      <c r="H713" s="17" t="inlineStr">
        <is>
          <t>Re-Followup</t>
        </is>
      </c>
      <c r="I713" s="17" t="inlineStr">
        <is>
          <t>[Telecaller Key Points]: Req 2BHK, furnised, Gota, 25k Budget, family and 1 pet. | Transfer: Req 2BHK, furnised, Gota, 25k Budget, family and 1 pet. | Transfer Note: Req 2BHK, furnised, Gota, 25k Budget, family and 1 pet. | Followup: kishor park detail send kari che | CRM: [Telecaller Key Points]: Req 2BHK, furnised, Gota, 25k Budget, family and 1 pet. | CRM Followup: kishor park detail send kari che</t>
        </is>
      </c>
    </row>
    <row r="714" ht="20" customHeight="1">
      <c r="A714" s="57" t="n">
        <v>46253.54448981481</v>
      </c>
      <c r="B714" s="16" t="inlineStr">
        <is>
          <t>4. This Year (2026)</t>
        </is>
      </c>
      <c r="C714" s="14" t="inlineStr">
        <is>
          <t>Direct / Manual</t>
        </is>
      </c>
      <c r="D714" s="14" t="inlineStr">
        <is>
          <t>Ajay Rathore (8238702589)</t>
        </is>
      </c>
      <c r="E714" s="14" t="inlineStr">
        <is>
          <t>Unassigned</t>
        </is>
      </c>
      <c r="F714" s="14" t="inlineStr">
        <is>
          <t>Rejected / Lost</t>
        </is>
      </c>
      <c r="G714" s="14" t="inlineStr">
        <is>
          <t>Not Assigned</t>
        </is>
      </c>
      <c r="H714" s="14" t="inlineStr">
        <is>
          <t>N/A (Not Assigned)</t>
        </is>
      </c>
      <c r="I714" s="14" t="inlineStr">
        <is>
          <t>Req - 2/3bhk budget-20 Location- gota vaishnovdevi | CRM: Req - 2/3bhk budget-20 Location- gota vaishnovdevi</t>
        </is>
      </c>
    </row>
    <row r="715" ht="20" customHeight="1">
      <c r="A715" s="58" t="n">
        <v>46248.55430251158</v>
      </c>
      <c r="B715" s="19" t="inlineStr">
        <is>
          <t>4. This Year (2026)</t>
        </is>
      </c>
      <c r="C715" s="17" t="inlineStr">
        <is>
          <t>Direct / Manual</t>
        </is>
      </c>
      <c r="D715" s="17" t="inlineStr">
        <is>
          <t>Shraddha Vyas (9979843397)</t>
        </is>
      </c>
      <c r="E715" s="17" t="inlineStr">
        <is>
          <t>Unassigned</t>
        </is>
      </c>
      <c r="F715" s="17" t="inlineStr">
        <is>
          <t>Interested</t>
        </is>
      </c>
      <c r="G715" s="17" t="inlineStr">
        <is>
          <t>Rajan Purani</t>
        </is>
      </c>
      <c r="H715" s="17" t="inlineStr">
        <is>
          <t>Interested</t>
        </is>
      </c>
      <c r="I715" s="17" t="inlineStr">
        <is>
          <t>CNR | Followup: call for visit update | CRM: call for visit update | CRM Followup: call for visit update | call for visit update</t>
        </is>
      </c>
    </row>
    <row r="716" ht="20" customHeight="1">
      <c r="A716" s="57" t="n">
        <v>46247.75695809028</v>
      </c>
      <c r="B716" s="16" t="inlineStr">
        <is>
          <t>4. This Year (2026)</t>
        </is>
      </c>
      <c r="C716" s="14" t="inlineStr">
        <is>
          <t>Direct / Manual</t>
        </is>
      </c>
      <c r="D716" s="14" t="inlineStr">
        <is>
          <t>Dira (9712258350)</t>
        </is>
      </c>
      <c r="E716" s="14" t="inlineStr">
        <is>
          <t>Unassigned</t>
        </is>
      </c>
      <c r="F716" s="14" t="inlineStr">
        <is>
          <t>Rejected / Lost</t>
        </is>
      </c>
      <c r="G716" s="14" t="inlineStr">
        <is>
          <t>Rakesh Jadav</t>
        </is>
      </c>
      <c r="H716" s="14" t="inlineStr">
        <is>
          <t>Rejected (Already Rented)</t>
        </is>
      </c>
      <c r="I716" s="14" t="inlineStr">
        <is>
          <t>pearl hight visit done bt location nathi gamtu bija option work out krva | CRM: pearl hight visit done bt location nathi gamtu bija option work out krva</t>
        </is>
      </c>
    </row>
    <row r="717" ht="20" customHeight="1">
      <c r="A717" s="58" t="n">
        <v>46247.58141997685</v>
      </c>
      <c r="B717" s="19" t="inlineStr">
        <is>
          <t>4. This Year (2026)</t>
        </is>
      </c>
      <c r="C717" s="17" t="inlineStr">
        <is>
          <t>Direct / Manual</t>
        </is>
      </c>
      <c r="D717" s="17" t="inlineStr">
        <is>
          <t>Hiren Patolia (9638516939)</t>
        </is>
      </c>
      <c r="E717" s="17" t="inlineStr">
        <is>
          <t>Unassigned</t>
        </is>
      </c>
      <c r="F717" s="17" t="inlineStr">
        <is>
          <t>Rejected / Lost</t>
        </is>
      </c>
      <c r="G717" s="17" t="inlineStr">
        <is>
          <t>Rakesh Jadav</t>
        </is>
      </c>
      <c r="H717" s="17" t="inlineStr">
        <is>
          <t>Rejected (Others)</t>
        </is>
      </c>
      <c r="I717" s="17" t="inlineStr">
        <is>
          <t>option workout krva | Followup: option workout krva | CRM: option workout krva | CRM Followup: option workout krva</t>
        </is>
      </c>
    </row>
    <row r="718" ht="20" customHeight="1">
      <c r="A718" s="57" t="n">
        <v>46247.58033855324</v>
      </c>
      <c r="B718" s="16" t="inlineStr">
        <is>
          <t>4. This Year (2026)</t>
        </is>
      </c>
      <c r="C718" s="14" t="inlineStr">
        <is>
          <t>Direct / Manual</t>
        </is>
      </c>
      <c r="D718" s="14" t="inlineStr">
        <is>
          <t>Ridhi Mewada (7043617780)</t>
        </is>
      </c>
      <c r="E718" s="14" t="inlineStr">
        <is>
          <t>Unassigned</t>
        </is>
      </c>
      <c r="F718" s="14" t="inlineStr">
        <is>
          <t>Rejected / Lost</t>
        </is>
      </c>
      <c r="G718" s="14" t="inlineStr">
        <is>
          <t>Rakesh Jadav</t>
        </is>
      </c>
      <c r="H718" s="14" t="inlineStr">
        <is>
          <t>Rejected (No Requirement)</t>
        </is>
      </c>
      <c r="I718" s="14" t="inlineStr">
        <is>
          <t>amne kese amnu buget ochu che | Followup: amne kese amnu buget ochu che | CRM: amne kese amnu buget ochu che | CRM Followup: amne kese amnu buget ochu che</t>
        </is>
      </c>
    </row>
    <row r="719" ht="20" customHeight="1">
      <c r="A719" s="58" t="n">
        <v>46247.57649938657</v>
      </c>
      <c r="B719" s="19" t="inlineStr">
        <is>
          <t>4. This Year (2026)</t>
        </is>
      </c>
      <c r="C719" s="17" t="inlineStr">
        <is>
          <t>Direct / Manual</t>
        </is>
      </c>
      <c r="D719" s="17" t="inlineStr">
        <is>
          <t>Seema Puri (9687677734)</t>
        </is>
      </c>
      <c r="E719" s="17" t="inlineStr">
        <is>
          <t>Unassigned</t>
        </is>
      </c>
      <c r="F719" s="17" t="inlineStr">
        <is>
          <t>Interested</t>
        </is>
      </c>
      <c r="G719" s="17" t="inlineStr">
        <is>
          <t>Rakesh Jadav</t>
        </is>
      </c>
      <c r="H719" s="17" t="inlineStr">
        <is>
          <t>Not Interested</t>
        </is>
      </c>
      <c r="I719" s="17" t="inlineStr">
        <is>
          <t>first prefrence penthouse | Followup: amne only pent house joiye che 25k ma vaisnodevi  gurukul ma shaligram lake view no option apyo che | CRM: first prefrence penthouse | CRM Followup: amne only pent house joiye che 25k ma vaisnodevi  gurukul ma shaligram lake view no option apyo che</t>
        </is>
      </c>
    </row>
    <row r="720" ht="20" customHeight="1">
      <c r="A720" s="57" t="n">
        <v>46247.54107714121</v>
      </c>
      <c r="B720" s="16" t="inlineStr">
        <is>
          <t>4. This Year (2026)</t>
        </is>
      </c>
      <c r="C720" s="14" t="inlineStr">
        <is>
          <t>Direct / Manual</t>
        </is>
      </c>
      <c r="D720" s="14" t="inlineStr">
        <is>
          <t>Kavita Ghaghda (7874284068)</t>
        </is>
      </c>
      <c r="E720" s="14" t="inlineStr">
        <is>
          <t>Unassigned</t>
        </is>
      </c>
      <c r="F720" s="14" t="inlineStr">
        <is>
          <t>Sales</t>
        </is>
      </c>
      <c r="G720" s="14" t="inlineStr">
        <is>
          <t>Rajan Purani</t>
        </is>
      </c>
      <c r="H720" s="14" t="inlineStr">
        <is>
          <t>Re-Followup</t>
        </is>
      </c>
      <c r="I720" s="14" t="inlineStr">
        <is>
          <t>3bhk req min carpet 1300 sqft joye che satellite naranpura jodhpur locations ma and multiple tower vadi scheme ma joye che | Followup: The call is not responding call back for visit update | CRM: 3bhk req min carpet 1300 sqft joye che satellite naranpura jodhpur locations ma and multiple tower vadi scheme ma joye che | CRM Followup: The call is not responding call back for visit update</t>
        </is>
      </c>
    </row>
    <row r="721" ht="20" customHeight="1">
      <c r="A721" s="58" t="n">
        <v>46247.52519922454</v>
      </c>
      <c r="B721" s="19" t="inlineStr">
        <is>
          <t>4. This Year (2026)</t>
        </is>
      </c>
      <c r="C721" s="17" t="inlineStr">
        <is>
          <t>Direct / Manual</t>
        </is>
      </c>
      <c r="D721" s="17" t="inlineStr">
        <is>
          <t>Anju Soni (9979607890)</t>
        </is>
      </c>
      <c r="E721" s="17" t="inlineStr">
        <is>
          <t>Unassigned</t>
        </is>
      </c>
      <c r="F721" s="17" t="inlineStr">
        <is>
          <t>Sales</t>
        </is>
      </c>
      <c r="G721" s="17" t="inlineStr">
        <is>
          <t>Rajan Purani</t>
        </is>
      </c>
      <c r="H721" s="17" t="inlineStr">
        <is>
          <t>Re-Followup</t>
        </is>
      </c>
      <c r="I721" s="17" t="inlineStr">
        <is>
          <t>voice mail drop
[13 Sep '26, 3:43 PM] she booked another said so close | Followup: CNR wp msg drop call for update | CRM: she call me after 3 atyre baar che | CRM Followup: CNR wp msg drop call for update | she call me after 3 atyre baar che</t>
        </is>
      </c>
    </row>
    <row r="722" ht="20" customHeight="1">
      <c r="A722" s="57" t="n">
        <v>46246.56085870371</v>
      </c>
      <c r="B722" s="16" t="inlineStr">
        <is>
          <t>4. This Year (2026)</t>
        </is>
      </c>
      <c r="C722" s="14" t="inlineStr">
        <is>
          <t>Direct / Manual</t>
        </is>
      </c>
      <c r="D722" s="14" t="inlineStr">
        <is>
          <t>Jagdish Ghetiya (8401153539)</t>
        </is>
      </c>
      <c r="E722" s="14" t="inlineStr">
        <is>
          <t>Unassigned</t>
        </is>
      </c>
      <c r="F722" s="14" t="inlineStr">
        <is>
          <t>Rejected / Lost</t>
        </is>
      </c>
      <c r="G722" s="14" t="inlineStr">
        <is>
          <t>Rakesh Jadav</t>
        </is>
      </c>
      <c r="H722" s="14" t="inlineStr">
        <is>
          <t>Rejected (Locality Mismatch)</t>
        </is>
      </c>
      <c r="I722" s="14" t="inlineStr">
        <is>
          <t>whatsp msg kryo che update mate call not receve | Followup: CNR | CRM: whatsp msg kryo che update mate call not receve | CRM Followup: CNR</t>
        </is>
      </c>
    </row>
    <row r="723" ht="20" customHeight="1">
      <c r="A723" s="58" t="n">
        <v>46246.56024815972</v>
      </c>
      <c r="B723" s="19" t="inlineStr">
        <is>
          <t>4. This Year (2026)</t>
        </is>
      </c>
      <c r="C723" s="17" t="inlineStr">
        <is>
          <t>Direct / Manual</t>
        </is>
      </c>
      <c r="D723" s="17" t="inlineStr">
        <is>
          <t>Shraddha Vyas (9979843397)</t>
        </is>
      </c>
      <c r="E723" s="17" t="inlineStr">
        <is>
          <t>Unassigned</t>
        </is>
      </c>
      <c r="F723" s="17" t="inlineStr">
        <is>
          <t>Rejected / Lost</t>
        </is>
      </c>
      <c r="G723" s="17" t="inlineStr">
        <is>
          <t>Somel Rathod</t>
        </is>
      </c>
      <c r="H723" s="17" t="inlineStr">
        <is>
          <t>Rejected (No Requirement)</t>
        </is>
      </c>
      <c r="I723" s="17" t="inlineStr">
        <is>
          <t>Property purchased | Followup: send to kishor park So detail send call to next month | CRM: send to kishor park So detail send call to next month | CRM Followup: send to kishor park So detail send call to next month | send to kishor park So detail send call to next month | call for visit update</t>
        </is>
      </c>
    </row>
    <row r="724" ht="20" customHeight="1">
      <c r="A724" s="57" t="n">
        <v>46246.5575708912</v>
      </c>
      <c r="B724" s="16" t="inlineStr">
        <is>
          <t>4. This Year (2026)</t>
        </is>
      </c>
      <c r="C724" s="14" t="inlineStr">
        <is>
          <t>Direct / Manual</t>
        </is>
      </c>
      <c r="D724" s="14" t="inlineStr">
        <is>
          <t>Vijay Patel (9428671953)</t>
        </is>
      </c>
      <c r="E724" s="14" t="inlineStr">
        <is>
          <t>Unassigned</t>
        </is>
      </c>
      <c r="F724" s="14" t="inlineStr">
        <is>
          <t>Site Visit Scheduled</t>
        </is>
      </c>
      <c r="G724" s="14" t="inlineStr">
        <is>
          <t>Not Assigned</t>
        </is>
      </c>
      <c r="H724" s="14" t="inlineStr">
        <is>
          <t>N/A (Not Assigned)</t>
        </is>
      </c>
      <c r="I724" s="14" t="inlineStr">
        <is>
          <t>amne visit mate puchvu | Budget-20k Location- sola, new ranip - secend 2 floor sudhi ma jove che</t>
        </is>
      </c>
    </row>
    <row r="725" ht="20" customHeight="1">
      <c r="A725" s="58" t="n">
        <v>46246.55748038195</v>
      </c>
      <c r="B725" s="19" t="inlineStr">
        <is>
          <t>4. This Year (2026)</t>
        </is>
      </c>
      <c r="C725" s="17" t="inlineStr">
        <is>
          <t>Direct / Manual</t>
        </is>
      </c>
      <c r="D725" s="17" t="inlineStr">
        <is>
          <t>Naman Singh (7875135770)</t>
        </is>
      </c>
      <c r="E725" s="17" t="inlineStr">
        <is>
          <t>Unassigned</t>
        </is>
      </c>
      <c r="F725" s="17" t="inlineStr">
        <is>
          <t>Rejected / Lost</t>
        </is>
      </c>
      <c r="G725" s="17" t="inlineStr">
        <is>
          <t>Somel Rathod</t>
        </is>
      </c>
      <c r="H725" s="17" t="inlineStr">
        <is>
          <t>Rejected (Others)</t>
        </is>
      </c>
      <c r="I725" s="17" t="inlineStr">
        <is>
          <t>Bachelor | Followup: Call not respondig | CRM: Call not respondig | CRM Followup: Call not respondig | Call not respondig</t>
        </is>
      </c>
    </row>
    <row r="726" ht="20" customHeight="1">
      <c r="A726" s="57" t="n">
        <v>46246.55614299769</v>
      </c>
      <c r="B726" s="16" t="inlineStr">
        <is>
          <t>4. This Year (2026)</t>
        </is>
      </c>
      <c r="C726" s="14" t="inlineStr">
        <is>
          <t>Direct / Manual</t>
        </is>
      </c>
      <c r="D726" s="14" t="inlineStr">
        <is>
          <t>Mithu (9409715092)</t>
        </is>
      </c>
      <c r="E726" s="14" t="inlineStr">
        <is>
          <t>Unassigned</t>
        </is>
      </c>
      <c r="F726" s="14" t="inlineStr">
        <is>
          <t>Rejected / Lost</t>
        </is>
      </c>
      <c r="G726" s="14" t="inlineStr">
        <is>
          <t>Rakesh Jadav</t>
        </is>
      </c>
      <c r="H726" s="14" t="inlineStr">
        <is>
          <t>Rejected (Negotiation Failed)</t>
        </is>
      </c>
      <c r="I726" s="14" t="inlineStr">
        <is>
          <t>25k bgt 2 bhk fully furnished flate for family | CRM: 25k bgt 2 bhk fully furnished flate for family | 2 BHK semi furnished flat joye che, chinmay tower, sarjan tower</t>
        </is>
      </c>
    </row>
    <row r="727" ht="20" customHeight="1">
      <c r="A727" s="58" t="n">
        <v>46246.55404646991</v>
      </c>
      <c r="B727" s="19" t="inlineStr">
        <is>
          <t>4. This Year (2026)</t>
        </is>
      </c>
      <c r="C727" s="17" t="inlineStr">
        <is>
          <t>Direct / Manual</t>
        </is>
      </c>
      <c r="D727" s="17" t="inlineStr">
        <is>
          <t>Bipin Kumar (9173939333)</t>
        </is>
      </c>
      <c r="E727" s="17" t="inlineStr">
        <is>
          <t>Unassigned</t>
        </is>
      </c>
      <c r="F727" s="17" t="inlineStr">
        <is>
          <t>Rejected / Lost</t>
        </is>
      </c>
      <c r="G727" s="17" t="inlineStr">
        <is>
          <t>Rakesh Jadav</t>
        </is>
      </c>
      <c r="H727" s="17" t="inlineStr">
        <is>
          <t>Assigned</t>
        </is>
      </c>
      <c r="I727" s="17" t="inlineStr">
        <is>
          <t>option serch krva | Followup: option serch krva | CRM: [Telecaller Key Points]: Gota vaishanodevi, 4bhk, 30-40k budget, with all electric item, family | CRM Followup: option serch krva | [Telecaller Key Points]: Gota vaishanodevi, 4bhk, 30-40k budget, with all electric item, family | Gota vaishanodevi, 4bhk, 30-40k budget, with all electric item, family</t>
        </is>
      </c>
    </row>
    <row r="728" ht="20" customHeight="1">
      <c r="A728" s="57" t="n">
        <v>46246.55091171296</v>
      </c>
      <c r="B728" s="16" t="inlineStr">
        <is>
          <t>4. This Year (2026)</t>
        </is>
      </c>
      <c r="C728" s="14" t="inlineStr">
        <is>
          <t>Direct / Manual</t>
        </is>
      </c>
      <c r="D728" s="14" t="inlineStr">
        <is>
          <t>Krishan Kumar Sharma (8209866095)</t>
        </is>
      </c>
      <c r="E728" s="14" t="inlineStr">
        <is>
          <t>Unassigned</t>
        </is>
      </c>
      <c r="F728" s="14" t="inlineStr">
        <is>
          <t>Rejected / Lost</t>
        </is>
      </c>
      <c r="G728" s="14" t="inlineStr">
        <is>
          <t>Somel Rathod</t>
        </is>
      </c>
      <c r="H728" s="14" t="inlineStr">
        <is>
          <t>Rejected (Others)</t>
        </is>
      </c>
      <c r="I728" s="14" t="inlineStr">
        <is>
          <t>location- gota  2/3 bhk  rent -25 to 30 k  with furniture &amp; car parking need  ( Bachelor ) | Followup: call not responding | CRM: location- gota  2/3 bhk  rent -25 to 30 k  with furniture &amp; car parking need  ( Bachelor ) | CRM Followup: call not responding</t>
        </is>
      </c>
    </row>
    <row r="729" ht="20" customHeight="1">
      <c r="A729" s="58" t="n">
        <v>46246.54948905093</v>
      </c>
      <c r="B729" s="19" t="inlineStr">
        <is>
          <t>4. This Year (2026)</t>
        </is>
      </c>
      <c r="C729" s="17" t="inlineStr">
        <is>
          <t>Direct / Manual</t>
        </is>
      </c>
      <c r="D729" s="17" t="inlineStr">
        <is>
          <t>Mansi Shreemali (8780112663)</t>
        </is>
      </c>
      <c r="E729" s="17" t="inlineStr">
        <is>
          <t>Unassigned</t>
        </is>
      </c>
      <c r="F729" s="17" t="inlineStr">
        <is>
          <t>Interested</t>
        </is>
      </c>
      <c r="G729" s="17" t="inlineStr">
        <is>
          <t>Rakesh Jadav</t>
        </is>
      </c>
      <c r="H729" s="17" t="inlineStr">
        <is>
          <t>Not Interested</t>
        </is>
      </c>
      <c r="I729" s="17" t="inlineStr">
        <is>
          <t>otpion work out krva | Followup: otpion work out krva | CRM: otpion work out krva | CRM Followup: otpion work out krva</t>
        </is>
      </c>
    </row>
    <row r="730" ht="20" customHeight="1">
      <c r="A730" s="57" t="n">
        <v>46246.54714516204</v>
      </c>
      <c r="B730" s="16" t="inlineStr">
        <is>
          <t>4. This Year (2026)</t>
        </is>
      </c>
      <c r="C730" s="14" t="inlineStr">
        <is>
          <t>Direct / Manual</t>
        </is>
      </c>
      <c r="D730" s="14" t="inlineStr">
        <is>
          <t>Rina Bhalani (8141939884)</t>
        </is>
      </c>
      <c r="E730" s="14" t="inlineStr">
        <is>
          <t>Unassigned</t>
        </is>
      </c>
      <c r="F730" s="14" t="inlineStr">
        <is>
          <t>Rejected / Lost</t>
        </is>
      </c>
      <c r="G730" s="14" t="inlineStr">
        <is>
          <t>Rakesh Jadav</t>
        </is>
      </c>
      <c r="H730" s="14" t="inlineStr">
        <is>
          <t>Rejected (Others)</t>
        </is>
      </c>
      <c r="I730" s="14" t="inlineStr">
        <is>
          <t>amne shivranjani final kri diidhu che | Followup: amne shivranjani final kri diidhu che | CRM: amne shivranjani final kri diidhu che | CRM Followup: amne shivranjani final kri diidhu che</t>
        </is>
      </c>
    </row>
    <row r="731" ht="20" customHeight="1">
      <c r="A731" s="58" t="n">
        <v>46241.725120625</v>
      </c>
      <c r="B731" s="19" t="inlineStr">
        <is>
          <t>4. This Year (2026)</t>
        </is>
      </c>
      <c r="C731" s="17" t="inlineStr">
        <is>
          <t>Direct / Manual</t>
        </is>
      </c>
      <c r="D731" s="17" t="inlineStr">
        <is>
          <t>Nirav Solanki (6354073846)</t>
        </is>
      </c>
      <c r="E731" s="17" t="inlineStr">
        <is>
          <t>Unassigned</t>
        </is>
      </c>
      <c r="F731" s="17" t="inlineStr">
        <is>
          <t>Rejected / Lost</t>
        </is>
      </c>
      <c r="G731" s="17" t="inlineStr">
        <is>
          <t>Rakesh Jadav</t>
        </is>
      </c>
      <c r="H731" s="17" t="inlineStr">
        <is>
          <t>Rejected (Already Rented)</t>
        </is>
      </c>
      <c r="I731" s="17" t="inlineStr">
        <is>
          <t>amdavad aavse tyare kese | Followup: amdavad aavse tyare kese | CRM: amdavad aavse tyare kese | CRM Followup: amdavad aavse tyare kese</t>
        </is>
      </c>
    </row>
    <row r="732" ht="20" customHeight="1">
      <c r="A732" s="57" t="n">
        <v>46240.48055108796</v>
      </c>
      <c r="B732" s="16" t="inlineStr">
        <is>
          <t>4. This Year (2026)</t>
        </is>
      </c>
      <c r="C732" s="14" t="inlineStr">
        <is>
          <t>Direct / Manual</t>
        </is>
      </c>
      <c r="D732" s="14" t="inlineStr">
        <is>
          <t>Tirth Panchal (9099869478)</t>
        </is>
      </c>
      <c r="E732" s="14" t="inlineStr">
        <is>
          <t>Unassigned</t>
        </is>
      </c>
      <c r="F732" s="14" t="inlineStr">
        <is>
          <t>Rejected / Lost</t>
        </is>
      </c>
      <c r="G732" s="14" t="inlineStr">
        <is>
          <t>Rajan Purani</t>
        </is>
      </c>
      <c r="H732" s="14" t="inlineStr">
        <is>
          <t>Rejected (Budget Mismatch)</t>
        </is>
      </c>
      <c r="I732" s="14" t="inlineStr">
        <is>
          <t>2 BHK req 50 lakh ma joye che RTM vaishnodevi ranip said joye che | CRM: 2 BHK req 50 lakh ma joye che RTM vaishnodevi ranip said joye che | [25 Sep '26, 12:15 PM] options not available</t>
        </is>
      </c>
    </row>
    <row r="733" ht="20" customHeight="1">
      <c r="A733" s="58" t="n">
        <v>46239.74143648148</v>
      </c>
      <c r="B733" s="19" t="inlineStr">
        <is>
          <t>4. This Year (2026)</t>
        </is>
      </c>
      <c r="C733" s="17" t="inlineStr">
        <is>
          <t>Direct / Manual</t>
        </is>
      </c>
      <c r="D733" s="17" t="inlineStr">
        <is>
          <t>Akshay Bhai (9588214063)</t>
        </is>
      </c>
      <c r="E733" s="17" t="inlineStr">
        <is>
          <t>Unassigned</t>
        </is>
      </c>
      <c r="F733" s="17" t="inlineStr">
        <is>
          <t>Sales</t>
        </is>
      </c>
      <c r="G733" s="17" t="inlineStr">
        <is>
          <t>Rakesh Jadav</t>
        </is>
      </c>
      <c r="H733" s="17" t="inlineStr">
        <is>
          <t>Re-Followup</t>
        </is>
      </c>
      <c r="I733" s="17" t="inlineStr">
        <is>
          <t>wtsp msg kryo che aamne | Followup: option work out krva | CRM: wtsp msg kryo che aamne | CRM Followup: option work out krva</t>
        </is>
      </c>
    </row>
    <row r="734" ht="20" customHeight="1">
      <c r="A734" s="57" t="n">
        <v>46239.51673033565</v>
      </c>
      <c r="B734" s="16" t="inlineStr">
        <is>
          <t>4. This Year (2026)</t>
        </is>
      </c>
      <c r="C734" s="14" t="inlineStr">
        <is>
          <t>Direct / Manual</t>
        </is>
      </c>
      <c r="D734" s="14" t="inlineStr">
        <is>
          <t>Rakesh Agarwal (9825229841)</t>
        </is>
      </c>
      <c r="E734" s="14" t="inlineStr">
        <is>
          <t>Unassigned</t>
        </is>
      </c>
      <c r="F734" s="14" t="inlineStr">
        <is>
          <t>Sales</t>
        </is>
      </c>
      <c r="G734" s="14" t="inlineStr">
        <is>
          <t>Rajan Purani</t>
        </is>
      </c>
      <c r="H734" s="14" t="inlineStr">
        <is>
          <t>Not Started</t>
        </is>
      </c>
      <c r="I734" s="14" t="inlineStr">
        <is>
          <t>Call after 5 Pm | CRM: Call after 5 Pm</t>
        </is>
      </c>
    </row>
    <row r="735" ht="20" customHeight="1">
      <c r="A735" s="58" t="n">
        <v>46220.71551438657</v>
      </c>
      <c r="B735" s="19" t="inlineStr">
        <is>
          <t>4. This Year (2026)</t>
        </is>
      </c>
      <c r="C735" s="17" t="inlineStr">
        <is>
          <t>Direct / Manual</t>
        </is>
      </c>
      <c r="D735" s="17" t="inlineStr">
        <is>
          <t>Somil (9898989898)</t>
        </is>
      </c>
      <c r="E735" s="17" t="inlineStr">
        <is>
          <t>Unassigned</t>
        </is>
      </c>
      <c r="F735" s="17" t="inlineStr">
        <is>
          <t>Sales</t>
        </is>
      </c>
      <c r="G735" s="17" t="inlineStr">
        <is>
          <t>Rakesh Jadav</t>
        </is>
      </c>
      <c r="H735" s="17" t="inlineStr">
        <is>
          <t>Live</t>
        </is>
      </c>
      <c r="I735" s="17" t="inlineStr">
        <is>
          <t>[Furnishing: Unfurnished] | CRM: [Furnishing: Unfurnished]</t>
        </is>
      </c>
    </row>
    <row r="736" ht="20" customHeight="1">
      <c r="A736" s="57" t="n">
        <v>46220.54921651621</v>
      </c>
      <c r="B736" s="16" t="inlineStr">
        <is>
          <t>4. This Year (2026)</t>
        </is>
      </c>
      <c r="C736" s="14" t="inlineStr">
        <is>
          <t>Direct / Manual</t>
        </is>
      </c>
      <c r="D736" s="14" t="inlineStr">
        <is>
          <t>Rajan (8200659030)</t>
        </is>
      </c>
      <c r="E736" s="14" t="inlineStr">
        <is>
          <t>Unassigned</t>
        </is>
      </c>
      <c r="F736" s="14" t="inlineStr">
        <is>
          <t>Sales</t>
        </is>
      </c>
      <c r="G736" s="14" t="inlineStr">
        <is>
          <t>Rajan Purani</t>
        </is>
      </c>
      <c r="H736" s="14" t="inlineStr">
        <is>
          <t>Live</t>
        </is>
      </c>
      <c r="I736" s="14" t="inlineStr">
        <is>
          <t>3 bhk semi or fully furnished | Followup: Call him | CRM: 3 bhk semi or fully furnished | CRM Followup: Call him</t>
        </is>
      </c>
    </row>
  </sheetData>
  <autoFilter ref="A1:I7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5" customWidth="1" min="2" max="2"/>
    <col width="16" customWidth="1" min="3" max="3"/>
    <col width="42" customWidth="1" min="4" max="4"/>
    <col width="20" customWidth="1" min="5" max="5"/>
    <col width="15" customWidth="1" min="6" max="6"/>
    <col width="18" customWidth="1" min="7" max="7"/>
    <col width="19" customWidth="1" min="8" max="8"/>
    <col width="14" customWidth="1" min="9" max="9"/>
    <col width="18" customWidth="1" min="10" max="10"/>
    <col width="14" customWidth="1" min="11" max="11"/>
    <col width="22" customWidth="1" min="12" max="12"/>
    <col width="23" customWidth="1" min="13" max="13"/>
    <col width="14" customWidth="1" min="14" max="14"/>
    <col width="28" customWidth="1" min="15" max="15"/>
    <col width="15" customWidth="1" min="16" max="16"/>
    <col width="20" customWidth="1" min="17" max="17"/>
    <col width="65" customWidth="1" min="18" max="18"/>
  </cols>
  <sheetData>
    <row r="1" ht="28" customHeight="1">
      <c r="A1" s="23" t="inlineStr">
        <is>
          <t>date</t>
        </is>
      </c>
      <c r="B1" s="23" t="inlineStr">
        <is>
          <t>date filter</t>
        </is>
      </c>
      <c r="C1" s="23" t="inlineStr">
        <is>
          <t>property code</t>
        </is>
      </c>
      <c r="D1" s="23" t="inlineStr">
        <is>
          <t>title</t>
        </is>
      </c>
      <c r="E1" s="23" t="inlineStr">
        <is>
          <t>property type</t>
        </is>
      </c>
      <c r="F1" s="23" t="inlineStr">
        <is>
          <t>listing type</t>
        </is>
      </c>
      <c r="G1" s="23" t="inlineStr">
        <is>
          <t>status</t>
        </is>
      </c>
      <c r="H1" s="23" t="inlineStr">
        <is>
          <t>rent / price (₹)</t>
        </is>
      </c>
      <c r="I1" s="23" t="inlineStr">
        <is>
          <t>deposit (₹)</t>
        </is>
      </c>
      <c r="J1" s="23" t="inlineStr">
        <is>
          <t>maintenance (₹)</t>
        </is>
      </c>
      <c r="K1" s="23" t="inlineStr">
        <is>
          <t>bedrooms</t>
        </is>
      </c>
      <c r="L1" s="23" t="inlineStr">
        <is>
          <t>carpet area (sq ft)</t>
        </is>
      </c>
      <c r="M1" s="23" t="inlineStr">
        <is>
          <t>locality / area</t>
        </is>
      </c>
      <c r="N1" s="23" t="inlineStr">
        <is>
          <t>city</t>
        </is>
      </c>
      <c r="O1" s="23" t="inlineStr">
        <is>
          <t>owner name</t>
        </is>
      </c>
      <c r="P1" s="23" t="inlineStr">
        <is>
          <t>owner mobile</t>
        </is>
      </c>
      <c r="Q1" s="23" t="inlineStr">
        <is>
          <t>created by (user)</t>
        </is>
      </c>
      <c r="R1" s="23" t="inlineStr">
        <is>
          <t>remarks</t>
        </is>
      </c>
    </row>
    <row r="2" ht="20" customHeight="1">
      <c r="A2" s="57" t="n">
        <v>46291.68899077546</v>
      </c>
      <c r="B2" s="29" t="inlineStr">
        <is>
          <t>2. This Week (Last 7 Days)</t>
        </is>
      </c>
      <c r="C2" s="14" t="inlineStr">
        <is>
          <t>PR-1194</t>
        </is>
      </c>
      <c r="D2" s="14" t="inlineStr">
        <is>
          <t>Signature Elena,B/h Sangath Prominence, opp. CBD Mall, Zundal</t>
        </is>
      </c>
      <c r="E2" s="14" t="inlineStr">
        <is>
          <t>Flat</t>
        </is>
      </c>
      <c r="F2" s="14" t="inlineStr">
        <is>
          <t>Rent</t>
        </is>
      </c>
      <c r="G2" s="14" t="inlineStr">
        <is>
          <t>Available</t>
        </is>
      </c>
      <c r="H2" s="59" t="n">
        <v>22000</v>
      </c>
      <c r="I2" s="59" t="n">
        <v>22000</v>
      </c>
      <c r="J2" s="59" t="n">
        <v>0</v>
      </c>
      <c r="K2" s="14" t="n">
        <v>3</v>
      </c>
      <c r="L2" s="14" t="n">
        <v>922</v>
      </c>
      <c r="M2" s="14" t="inlineStr">
        <is>
          <t>Zundal</t>
        </is>
      </c>
      <c r="N2" s="14" t="inlineStr">
        <is>
          <t>Ahmedabad</t>
        </is>
      </c>
      <c r="O2" s="14" t="inlineStr">
        <is>
          <t>Aval Barochia</t>
        </is>
      </c>
      <c r="P2" s="14" t="inlineStr">
        <is>
          <t>8866706086</t>
        </is>
      </c>
      <c r="Q2" s="14" t="inlineStr">
        <is>
          <t>Zeel Mudaliyar</t>
        </is>
      </c>
      <c r="R2" s="14" t="inlineStr">
        <is>
          <t>-</t>
        </is>
      </c>
    </row>
    <row r="3" ht="20" customHeight="1">
      <c r="A3" s="58" t="n">
        <v>46291.58962253472</v>
      </c>
      <c r="B3" s="28" t="inlineStr">
        <is>
          <t>2. This Week (Last 7 Days)</t>
        </is>
      </c>
      <c r="C3" s="17" t="inlineStr">
        <is>
          <t>PR-1193</t>
        </is>
      </c>
      <c r="D3" s="17" t="inlineStr">
        <is>
          <t>Aakash 2</t>
        </is>
      </c>
      <c r="E3" s="17" t="inlineStr">
        <is>
          <t>Flat</t>
        </is>
      </c>
      <c r="F3" s="17" t="inlineStr">
        <is>
          <t>Rent</t>
        </is>
      </c>
      <c r="G3" s="17" t="inlineStr">
        <is>
          <t>Rented Out</t>
        </is>
      </c>
      <c r="H3" s="60" t="n">
        <v>33000</v>
      </c>
      <c r="I3" s="60" t="n">
        <v>66000</v>
      </c>
      <c r="J3" s="60" t="n">
        <v>1500</v>
      </c>
      <c r="K3" s="17" t="n">
        <v>2</v>
      </c>
      <c r="L3" s="17" t="inlineStr">
        <is>
          <t>-</t>
        </is>
      </c>
      <c r="M3" s="17" t="inlineStr">
        <is>
          <t>Vastrapur</t>
        </is>
      </c>
      <c r="N3" s="17" t="inlineStr">
        <is>
          <t>Ahmedabad</t>
        </is>
      </c>
      <c r="O3" s="17" t="inlineStr">
        <is>
          <t>Karan bhai</t>
        </is>
      </c>
      <c r="P3" s="17" t="inlineStr">
        <is>
          <t>9510877481</t>
        </is>
      </c>
      <c r="Q3" s="17" t="inlineStr">
        <is>
          <t>Rajan Purani</t>
        </is>
      </c>
      <c r="R3" s="17" t="inlineStr">
        <is>
          <t>-</t>
        </is>
      </c>
    </row>
    <row r="4" ht="20" customHeight="1">
      <c r="A4" s="57" t="n">
        <v>46290.75347712963</v>
      </c>
      <c r="B4" s="29" t="inlineStr">
        <is>
          <t>2. This Week (Last 7 Days)</t>
        </is>
      </c>
      <c r="C4" s="14" t="inlineStr">
        <is>
          <t>PR-1192</t>
        </is>
      </c>
      <c r="D4" s="14" t="inlineStr">
        <is>
          <t>Sangath 2</t>
        </is>
      </c>
      <c r="E4" s="14" t="inlineStr">
        <is>
          <t>Rowhouse/Tenament</t>
        </is>
      </c>
      <c r="F4" s="14" t="inlineStr">
        <is>
          <t>Rent</t>
        </is>
      </c>
      <c r="G4" s="14" t="inlineStr">
        <is>
          <t>Available</t>
        </is>
      </c>
      <c r="H4" s="59" t="n">
        <v>35000</v>
      </c>
      <c r="I4" s="59" t="n">
        <v>70000</v>
      </c>
      <c r="J4" s="59" t="n">
        <v>0</v>
      </c>
      <c r="K4" s="14" t="n">
        <v>3</v>
      </c>
      <c r="L4" s="14" t="n">
        <v>1030</v>
      </c>
      <c r="M4" s="14" t="inlineStr">
        <is>
          <t>Motera</t>
        </is>
      </c>
      <c r="N4" s="14" t="inlineStr">
        <is>
          <t>Ahmedabad</t>
        </is>
      </c>
      <c r="O4" s="14" t="inlineStr">
        <is>
          <t>Vivek Shah</t>
        </is>
      </c>
      <c r="P4" s="14" t="inlineStr">
        <is>
          <t>9904902525</t>
        </is>
      </c>
      <c r="Q4" s="14" t="inlineStr">
        <is>
          <t>Propkart Admin</t>
        </is>
      </c>
      <c r="R4" s="14" t="inlineStr">
        <is>
          <t>Semi furnished, modular kitchen, basic accesories</t>
        </is>
      </c>
    </row>
    <row r="5" ht="20" customHeight="1">
      <c r="A5" s="58" t="n">
        <v>46290.70731293981</v>
      </c>
      <c r="B5" s="28" t="inlineStr">
        <is>
          <t>2. This Week (Last 7 Days)</t>
        </is>
      </c>
      <c r="C5" s="17" t="inlineStr">
        <is>
          <t>PR-1191</t>
        </is>
      </c>
      <c r="D5" s="17" t="inlineStr">
        <is>
          <t>Kameshwar elite 140</t>
        </is>
      </c>
      <c r="E5" s="17" t="inlineStr">
        <is>
          <t>Flat</t>
        </is>
      </c>
      <c r="F5" s="17" t="inlineStr">
        <is>
          <t>Rent</t>
        </is>
      </c>
      <c r="G5" s="17" t="inlineStr">
        <is>
          <t>Available</t>
        </is>
      </c>
      <c r="H5" s="60" t="n">
        <v>45000</v>
      </c>
      <c r="I5" s="60" t="n">
        <v>90000</v>
      </c>
      <c r="J5" s="60" t="n">
        <v>0</v>
      </c>
      <c r="K5" s="17" t="n">
        <v>3</v>
      </c>
      <c r="L5" s="17" t="n">
        <v>1342</v>
      </c>
      <c r="M5" s="17" t="inlineStr">
        <is>
          <t>Bodakdev</t>
        </is>
      </c>
      <c r="N5" s="17" t="inlineStr">
        <is>
          <t>Ahmedabad</t>
        </is>
      </c>
      <c r="O5" s="17" t="inlineStr">
        <is>
          <t>Jignesh mandlecha</t>
        </is>
      </c>
      <c r="P5" s="17" t="inlineStr">
        <is>
          <t>7990733327</t>
        </is>
      </c>
      <c r="Q5" s="17" t="inlineStr">
        <is>
          <t>Propkart Admin</t>
        </is>
      </c>
      <c r="R5" s="17" t="inlineStr">
        <is>
          <t>curtain rod, modular kitchen, fan and lights, bird nett, exhaust fan in Bathroom and kichen, adani Gas line</t>
        </is>
      </c>
    </row>
    <row r="6" ht="20" customHeight="1">
      <c r="A6" s="57" t="n">
        <v>46290.66241351852</v>
      </c>
      <c r="B6" s="29" t="inlineStr">
        <is>
          <t>2. This Week (Last 7 Days)</t>
        </is>
      </c>
      <c r="C6" s="14" t="inlineStr">
        <is>
          <t>PR-1190</t>
        </is>
      </c>
      <c r="D6" s="14" t="inlineStr">
        <is>
          <t>Jasmine Green 1</t>
        </is>
      </c>
      <c r="E6" s="14" t="inlineStr">
        <is>
          <t>Flat</t>
        </is>
      </c>
      <c r="F6" s="14" t="inlineStr">
        <is>
          <t>Rent</t>
        </is>
      </c>
      <c r="G6" s="14" t="inlineStr">
        <is>
          <t>Available</t>
        </is>
      </c>
      <c r="H6" s="59" t="n">
        <v>16000</v>
      </c>
      <c r="I6" s="59" t="n">
        <v>32000</v>
      </c>
      <c r="J6" s="59" t="n">
        <v>2250</v>
      </c>
      <c r="K6" s="14" t="n">
        <v>2</v>
      </c>
      <c r="L6" s="14" t="n">
        <v>608</v>
      </c>
      <c r="M6" s="14" t="inlineStr">
        <is>
          <t>Vaishnodevi</t>
        </is>
      </c>
      <c r="N6" s="14" t="inlineStr">
        <is>
          <t>Ahmedabad</t>
        </is>
      </c>
      <c r="O6" s="14" t="inlineStr">
        <is>
          <t>Hardik Nayak</t>
        </is>
      </c>
      <c r="P6" s="14" t="inlineStr">
        <is>
          <t>9724409089</t>
        </is>
      </c>
      <c r="Q6" s="14" t="inlineStr">
        <is>
          <t>Propkart Admin</t>
        </is>
      </c>
      <c r="R6" s="14" t="inlineStr">
        <is>
          <t>Semi furnished, modular kitchen, bed, basic accesories, gas line
Maintenance 2250</t>
        </is>
      </c>
    </row>
    <row r="7" ht="20" customHeight="1">
      <c r="A7" s="58" t="n">
        <v>46290.64971753472</v>
      </c>
      <c r="B7" s="28" t="inlineStr">
        <is>
          <t>2. This Week (Last 7 Days)</t>
        </is>
      </c>
      <c r="C7" s="17" t="inlineStr">
        <is>
          <t>PR-1189</t>
        </is>
      </c>
      <c r="D7" s="17" t="inlineStr">
        <is>
          <t>Sahjanand Status Bungalow</t>
        </is>
      </c>
      <c r="E7" s="17" t="inlineStr">
        <is>
          <t>Bungalow</t>
        </is>
      </c>
      <c r="F7" s="17" t="inlineStr">
        <is>
          <t>Rent</t>
        </is>
      </c>
      <c r="G7" s="17" t="inlineStr">
        <is>
          <t>Rented Out</t>
        </is>
      </c>
      <c r="H7" s="60" t="n">
        <v>70000</v>
      </c>
      <c r="I7" s="60" t="n">
        <v>140000</v>
      </c>
      <c r="J7" s="60" t="n">
        <v>0</v>
      </c>
      <c r="K7" s="17" t="n">
        <v>4</v>
      </c>
      <c r="L7" s="17" t="n">
        <v>1643</v>
      </c>
      <c r="M7" s="17" t="inlineStr">
        <is>
          <t>Science city</t>
        </is>
      </c>
      <c r="N7" s="17" t="inlineStr">
        <is>
          <t>Ahmedabad</t>
        </is>
      </c>
      <c r="O7" s="17" t="inlineStr">
        <is>
          <t>Rajan Purani</t>
        </is>
      </c>
      <c r="P7" s="17" t="inlineStr">
        <is>
          <t>8200659030</t>
        </is>
      </c>
      <c r="Q7" s="17" t="inlineStr">
        <is>
          <t>Propkart Admin</t>
        </is>
      </c>
      <c r="R7" s="17" t="inlineStr">
        <is>
          <t>TV, Refrigerator, AC, Fully furnished</t>
        </is>
      </c>
    </row>
    <row r="8" ht="20" customHeight="1">
      <c r="A8" s="57" t="n">
        <v>46290.6363352662</v>
      </c>
      <c r="B8" s="29" t="inlineStr">
        <is>
          <t>2. This Week (Last 7 Days)</t>
        </is>
      </c>
      <c r="C8" s="14" t="inlineStr">
        <is>
          <t>PR-1188</t>
        </is>
      </c>
      <c r="D8" s="14" t="inlineStr">
        <is>
          <t>Ratnadeep Complex</t>
        </is>
      </c>
      <c r="E8" s="14" t="inlineStr">
        <is>
          <t>Flat</t>
        </is>
      </c>
      <c r="F8" s="14" t="inlineStr">
        <is>
          <t>Rent</t>
        </is>
      </c>
      <c r="G8" s="14" t="inlineStr">
        <is>
          <t>Available</t>
        </is>
      </c>
      <c r="H8" s="59" t="n">
        <v>40000</v>
      </c>
      <c r="I8" s="59" t="n">
        <v>80000</v>
      </c>
      <c r="J8" s="59" t="n">
        <v>0</v>
      </c>
      <c r="K8" s="14" t="n">
        <v>3</v>
      </c>
      <c r="L8" s="14" t="n">
        <v>1250</v>
      </c>
      <c r="M8" s="14" t="inlineStr">
        <is>
          <t>-</t>
        </is>
      </c>
      <c r="N8" s="14" t="inlineStr">
        <is>
          <t>Ahmedabad</t>
        </is>
      </c>
      <c r="O8" s="14" t="inlineStr">
        <is>
          <t>Pathik Brahmkshatriya</t>
        </is>
      </c>
      <c r="P8" s="14" t="inlineStr">
        <is>
          <t>9727603446</t>
        </is>
      </c>
      <c r="Q8" s="14" t="inlineStr">
        <is>
          <t>Propkart Admin</t>
        </is>
      </c>
      <c r="R8" s="14" t="inlineStr">
        <is>
          <t>Two Split ACs, Sofa (3+2), Dining Table with 4 Chairs, CNG Gas connection, Refrigerator, Furnished Kitchen with store room, Center table, Dressing Table, Wardrobes, Double bed with Mattresses, Temple Altar</t>
        </is>
      </c>
    </row>
    <row r="9" ht="20" customHeight="1">
      <c r="A9" s="58" t="n">
        <v>46290.60883818287</v>
      </c>
      <c r="B9" s="28" t="inlineStr">
        <is>
          <t>2. This Week (Last 7 Days)</t>
        </is>
      </c>
      <c r="C9" s="17" t="inlineStr">
        <is>
          <t>PR-1187</t>
        </is>
      </c>
      <c r="D9" s="17" t="inlineStr">
        <is>
          <t>Diwali Blessings</t>
        </is>
      </c>
      <c r="E9" s="17" t="inlineStr">
        <is>
          <t>Flat</t>
        </is>
      </c>
      <c r="F9" s="17" t="inlineStr">
        <is>
          <t>Rent</t>
        </is>
      </c>
      <c r="G9" s="17" t="inlineStr">
        <is>
          <t>Available</t>
        </is>
      </c>
      <c r="H9" s="60" t="n">
        <v>35000</v>
      </c>
      <c r="I9" s="60" t="n">
        <v>70000</v>
      </c>
      <c r="J9" s="60" t="n">
        <v>0</v>
      </c>
      <c r="K9" s="17" t="n">
        <v>3</v>
      </c>
      <c r="L9" s="17" t="n">
        <v>787</v>
      </c>
      <c r="M9" s="17" t="inlineStr">
        <is>
          <t>Vaishnodevi</t>
        </is>
      </c>
      <c r="N9" s="17" t="inlineStr">
        <is>
          <t>Ahmedabad</t>
        </is>
      </c>
      <c r="O9" s="17" t="inlineStr">
        <is>
          <t>Uma Vyas</t>
        </is>
      </c>
      <c r="P9" s="17" t="inlineStr">
        <is>
          <t>7043336692</t>
        </is>
      </c>
      <c r="Q9" s="17" t="inlineStr">
        <is>
          <t>Propkart Admin</t>
        </is>
      </c>
      <c r="R9" s="17" t="inlineStr">
        <is>
          <t>Furnished Kitchen, folding dining, TV, AC, Gyzer, Ro, Refridgerator, Washing machine, fully furnished</t>
        </is>
      </c>
    </row>
    <row r="10" ht="20" customHeight="1">
      <c r="A10" s="57" t="n">
        <v>46290.59803724537</v>
      </c>
      <c r="B10" s="29" t="inlineStr">
        <is>
          <t>2. This Week (Last 7 Days)</t>
        </is>
      </c>
      <c r="C10" s="14" t="inlineStr">
        <is>
          <t>PR-1186</t>
        </is>
      </c>
      <c r="D10" s="14" t="inlineStr">
        <is>
          <t>Shop Sagar Avenue</t>
        </is>
      </c>
      <c r="E10" s="14" t="inlineStr">
        <is>
          <t>Office</t>
        </is>
      </c>
      <c r="F10" s="14" t="inlineStr">
        <is>
          <t>Rent</t>
        </is>
      </c>
      <c r="G10" s="14" t="inlineStr">
        <is>
          <t>Available</t>
        </is>
      </c>
      <c r="H10" s="59" t="n">
        <v>13000</v>
      </c>
      <c r="I10" s="59" t="n">
        <v>26000</v>
      </c>
      <c r="J10" s="59" t="n">
        <v>0</v>
      </c>
      <c r="K10" s="14" t="n">
        <v>1</v>
      </c>
      <c r="L10" s="14" t="n">
        <v>110</v>
      </c>
      <c r="M10" s="14" t="inlineStr">
        <is>
          <t>Ashram Road</t>
        </is>
      </c>
      <c r="N10" s="14" t="inlineStr">
        <is>
          <t>Ahmedabad</t>
        </is>
      </c>
      <c r="O10" s="14" t="inlineStr">
        <is>
          <t>Pradeep Pithadiya</t>
        </is>
      </c>
      <c r="P10" s="14" t="inlineStr">
        <is>
          <t>9016337978</t>
        </is>
      </c>
      <c r="Q10" s="14" t="inlineStr">
        <is>
          <t>Propkart Admin</t>
        </is>
      </c>
      <c r="R10" s="14" t="inlineStr">
        <is>
          <t>-</t>
        </is>
      </c>
    </row>
    <row r="11" ht="20" customHeight="1">
      <c r="A11" s="58" t="n">
        <v>46290.59158957176</v>
      </c>
      <c r="B11" s="28" t="inlineStr">
        <is>
          <t>2. This Week (Last 7 Days)</t>
        </is>
      </c>
      <c r="C11" s="17" t="inlineStr">
        <is>
          <t>PR-1185</t>
        </is>
      </c>
      <c r="D11" s="17" t="inlineStr">
        <is>
          <t>Chandraprabhu Krupa Society</t>
        </is>
      </c>
      <c r="E11" s="17" t="inlineStr">
        <is>
          <t>Rowhouse/Tenament</t>
        </is>
      </c>
      <c r="F11" s="17" t="inlineStr">
        <is>
          <t>Rent</t>
        </is>
      </c>
      <c r="G11" s="17" t="inlineStr">
        <is>
          <t>Available</t>
        </is>
      </c>
      <c r="H11" s="60" t="n">
        <v>30000</v>
      </c>
      <c r="I11" s="60" t="n">
        <v>60000</v>
      </c>
      <c r="J11" s="60" t="n">
        <v>0</v>
      </c>
      <c r="K11" s="17" t="n">
        <v>3</v>
      </c>
      <c r="L11" s="17" t="n">
        <v>1417.5</v>
      </c>
      <c r="M11" s="17" t="inlineStr">
        <is>
          <t>Ranip</t>
        </is>
      </c>
      <c r="N11" s="17" t="inlineStr">
        <is>
          <t>Ahmedabad</t>
        </is>
      </c>
      <c r="O11" s="17" t="inlineStr">
        <is>
          <t>Parmeshwar</t>
        </is>
      </c>
      <c r="P11" s="17" t="inlineStr">
        <is>
          <t>9265031372</t>
        </is>
      </c>
      <c r="Q11" s="17" t="inlineStr">
        <is>
          <t>Propkart Admin</t>
        </is>
      </c>
      <c r="R11" s="17" t="inlineStr">
        <is>
          <t>Semi furnished, modular kitchen, basic accesories</t>
        </is>
      </c>
    </row>
    <row r="12" ht="20" customHeight="1">
      <c r="A12" s="57" t="n">
        <v>46290.54673900463</v>
      </c>
      <c r="B12" s="29" t="inlineStr">
        <is>
          <t>2. This Week (Last 7 Days)</t>
        </is>
      </c>
      <c r="C12" s="14" t="inlineStr">
        <is>
          <t>PR-1184</t>
        </is>
      </c>
      <c r="D12" s="14" t="inlineStr">
        <is>
          <t>Suyash Status , Near Capital 1 Science city</t>
        </is>
      </c>
      <c r="E12" s="14" t="inlineStr">
        <is>
          <t>Flat</t>
        </is>
      </c>
      <c r="F12" s="14" t="inlineStr">
        <is>
          <t>Rent</t>
        </is>
      </c>
      <c r="G12" s="14" t="inlineStr">
        <is>
          <t>Available</t>
        </is>
      </c>
      <c r="H12" s="59" t="n">
        <v>35000</v>
      </c>
      <c r="I12" s="59" t="n">
        <v>35000</v>
      </c>
      <c r="J12" s="59" t="n">
        <v>0</v>
      </c>
      <c r="K12" s="14" t="n">
        <v>3</v>
      </c>
      <c r="L12" s="14" t="n">
        <v>1400</v>
      </c>
      <c r="M12" s="14" t="inlineStr">
        <is>
          <t>Science city</t>
        </is>
      </c>
      <c r="N12" s="14" t="inlineStr">
        <is>
          <t>Ahmedabad</t>
        </is>
      </c>
      <c r="O12" s="14" t="inlineStr">
        <is>
          <t>Viral bhai</t>
        </is>
      </c>
      <c r="P12" s="14" t="inlineStr">
        <is>
          <t>9016134878</t>
        </is>
      </c>
      <c r="Q12" s="14" t="inlineStr">
        <is>
          <t>Propkart Admin</t>
        </is>
      </c>
      <c r="R12" s="14" t="inlineStr">
        <is>
          <t>Viral bhai ae aa property mokli che 
other details mate Viral bhai ne contact kro</t>
        </is>
      </c>
    </row>
    <row r="13" ht="20" customHeight="1">
      <c r="A13" s="58" t="n">
        <v>46290.5378722801</v>
      </c>
      <c r="B13" s="28" t="inlineStr">
        <is>
          <t>2. This Week (Last 7 Days)</t>
        </is>
      </c>
      <c r="C13" s="17" t="inlineStr">
        <is>
          <t>PR-1183</t>
        </is>
      </c>
      <c r="D13" s="17" t="inlineStr">
        <is>
          <t>Riverside park park, New Vasna</t>
        </is>
      </c>
      <c r="E13" s="17" t="inlineStr">
        <is>
          <t>Flat</t>
        </is>
      </c>
      <c r="F13" s="17" t="inlineStr">
        <is>
          <t>Rent</t>
        </is>
      </c>
      <c r="G13" s="17" t="inlineStr">
        <is>
          <t>Available</t>
        </is>
      </c>
      <c r="H13" s="60" t="n">
        <v>17000</v>
      </c>
      <c r="I13" s="60" t="n">
        <v>34000</v>
      </c>
      <c r="J13" s="60" t="n">
        <v>0</v>
      </c>
      <c r="K13" s="17" t="n">
        <v>2</v>
      </c>
      <c r="L13" s="17" t="n">
        <v>571</v>
      </c>
      <c r="M13" s="17" t="inlineStr">
        <is>
          <t>Vasna</t>
        </is>
      </c>
      <c r="N13" s="17" t="inlineStr">
        <is>
          <t>Ahmedabad</t>
        </is>
      </c>
      <c r="O13" s="17" t="inlineStr">
        <is>
          <t>Ashmita Patel</t>
        </is>
      </c>
      <c r="P13" s="17" t="inlineStr">
        <is>
          <t>9510187511</t>
        </is>
      </c>
      <c r="Q13" s="17" t="inlineStr">
        <is>
          <t>Propkart Admin</t>
        </is>
      </c>
      <c r="R13" s="17" t="inlineStr">
        <is>
          <t>Semi furnished, modular kitchen, bed, basic accesories</t>
        </is>
      </c>
    </row>
    <row r="14" ht="20" customHeight="1">
      <c r="A14" s="57" t="n">
        <v>46290.53360490741</v>
      </c>
      <c r="B14" s="29" t="inlineStr">
        <is>
          <t>2. This Week (Last 7 Days)</t>
        </is>
      </c>
      <c r="C14" s="14" t="inlineStr">
        <is>
          <t>PR-1182</t>
        </is>
      </c>
      <c r="D14" s="14" t="inlineStr">
        <is>
          <t>RJ Pashmina</t>
        </is>
      </c>
      <c r="E14" s="14" t="inlineStr">
        <is>
          <t>Flat</t>
        </is>
      </c>
      <c r="F14" s="14" t="inlineStr">
        <is>
          <t>Rent</t>
        </is>
      </c>
      <c r="G14" s="14" t="inlineStr">
        <is>
          <t>Available</t>
        </is>
      </c>
      <c r="H14" s="59" t="n">
        <v>35000</v>
      </c>
      <c r="I14" s="59" t="n">
        <v>35000</v>
      </c>
      <c r="J14" s="59" t="n">
        <v>0</v>
      </c>
      <c r="K14" s="14" t="n">
        <v>3</v>
      </c>
      <c r="L14" s="14" t="n">
        <v>1512</v>
      </c>
      <c r="M14" s="14" t="inlineStr">
        <is>
          <t>Chandkheda</t>
        </is>
      </c>
      <c r="N14" s="14" t="inlineStr">
        <is>
          <t>Ahmedabad</t>
        </is>
      </c>
      <c r="O14" s="14" t="inlineStr">
        <is>
          <t>Bhavik Kareliya</t>
        </is>
      </c>
      <c r="P14" s="14" t="inlineStr">
        <is>
          <t>9824143858</t>
        </is>
      </c>
      <c r="Q14" s="14" t="inlineStr">
        <is>
          <t>Propkart Admin</t>
        </is>
      </c>
      <c r="R14" s="14" t="inlineStr">
        <is>
          <t>-</t>
        </is>
      </c>
    </row>
    <row r="15" ht="20" customHeight="1">
      <c r="A15" s="58" t="n">
        <v>46290.52696570602</v>
      </c>
      <c r="B15" s="28" t="inlineStr">
        <is>
          <t>2. This Week (Last 7 Days)</t>
        </is>
      </c>
      <c r="C15" s="17" t="inlineStr">
        <is>
          <t>PR-1181</t>
        </is>
      </c>
      <c r="D15" s="17" t="inlineStr">
        <is>
          <t>MOONLIGHT COMPLEX OPP GURUKUL TEMPLE GURUKUL</t>
        </is>
      </c>
      <c r="E15" s="17" t="inlineStr">
        <is>
          <t>Shop</t>
        </is>
      </c>
      <c r="F15" s="17" t="inlineStr">
        <is>
          <t>Rent</t>
        </is>
      </c>
      <c r="G15" s="17" t="inlineStr">
        <is>
          <t>Available</t>
        </is>
      </c>
      <c r="H15" s="60" t="n">
        <v>11000</v>
      </c>
      <c r="I15" s="60" t="n">
        <v>22000</v>
      </c>
      <c r="J15" s="60" t="n">
        <v>0</v>
      </c>
      <c r="K15" s="17" t="n">
        <v>1</v>
      </c>
      <c r="L15" s="17" t="n">
        <v>117</v>
      </c>
      <c r="M15" s="17" t="inlineStr">
        <is>
          <t>Gurukul</t>
        </is>
      </c>
      <c r="N15" s="17" t="inlineStr">
        <is>
          <t>Ahmedabad</t>
        </is>
      </c>
      <c r="O15" s="17" t="inlineStr">
        <is>
          <t>Mukesh Jain</t>
        </is>
      </c>
      <c r="P15" s="17" t="inlineStr">
        <is>
          <t>9638699860</t>
        </is>
      </c>
      <c r="Q15" s="17" t="inlineStr">
        <is>
          <t>Propkart Admin</t>
        </is>
      </c>
      <c r="R15" s="17" t="inlineStr">
        <is>
          <t>-</t>
        </is>
      </c>
    </row>
    <row r="16" ht="20" customHeight="1">
      <c r="A16" s="57" t="n">
        <v>46290.52269271991</v>
      </c>
      <c r="B16" s="29" t="inlineStr">
        <is>
          <t>2. This Week (Last 7 Days)</t>
        </is>
      </c>
      <c r="C16" s="14" t="inlineStr">
        <is>
          <t>PR-1180</t>
        </is>
      </c>
      <c r="D16" s="14" t="inlineStr">
        <is>
          <t>Palash prime</t>
        </is>
      </c>
      <c r="E16" s="14" t="inlineStr">
        <is>
          <t>Flat</t>
        </is>
      </c>
      <c r="F16" s="14" t="inlineStr">
        <is>
          <t>Rent</t>
        </is>
      </c>
      <c r="G16" s="14" t="inlineStr">
        <is>
          <t>Available</t>
        </is>
      </c>
      <c r="H16" s="59" t="n">
        <v>25000</v>
      </c>
      <c r="I16" s="59" t="n">
        <v>50000</v>
      </c>
      <c r="J16" s="59" t="n">
        <v>1800</v>
      </c>
      <c r="K16" s="14" t="n">
        <v>3</v>
      </c>
      <c r="L16" s="14" t="n">
        <v>810</v>
      </c>
      <c r="M16" s="14" t="inlineStr">
        <is>
          <t>Chandkheda</t>
        </is>
      </c>
      <c r="N16" s="14" t="inlineStr">
        <is>
          <t>Ahmedabad</t>
        </is>
      </c>
      <c r="O16" s="14" t="inlineStr">
        <is>
          <t>Dinesh Parmar</t>
        </is>
      </c>
      <c r="P16" s="14" t="inlineStr">
        <is>
          <t>8511123220</t>
        </is>
      </c>
      <c r="Q16" s="14" t="inlineStr">
        <is>
          <t>Propkart Admin</t>
        </is>
      </c>
      <c r="R16" s="14" t="inlineStr">
        <is>
          <t>Maintenance 1800</t>
        </is>
      </c>
    </row>
    <row r="17" ht="20" customHeight="1">
      <c r="A17" s="58" t="n">
        <v>46290.51662805556</v>
      </c>
      <c r="B17" s="28" t="inlineStr">
        <is>
          <t>2. This Week (Last 7 Days)</t>
        </is>
      </c>
      <c r="C17" s="17" t="inlineStr">
        <is>
          <t>PR-1179</t>
        </is>
      </c>
      <c r="D17" s="17" t="inlineStr">
        <is>
          <t>Shop Western sparsh</t>
        </is>
      </c>
      <c r="E17" s="17" t="inlineStr">
        <is>
          <t>Shop</t>
        </is>
      </c>
      <c r="F17" s="17" t="inlineStr">
        <is>
          <t>Rent</t>
        </is>
      </c>
      <c r="G17" s="17" t="inlineStr">
        <is>
          <t>Available</t>
        </is>
      </c>
      <c r="H17" s="60" t="n">
        <v>34000</v>
      </c>
      <c r="I17" s="60" t="n">
        <v>68000</v>
      </c>
      <c r="J17" s="60" t="n">
        <v>0</v>
      </c>
      <c r="K17" s="17" t="n">
        <v>1</v>
      </c>
      <c r="L17" s="17" t="n">
        <v>462</v>
      </c>
      <c r="M17" s="17" t="inlineStr">
        <is>
          <t>Vaishnodevi</t>
        </is>
      </c>
      <c r="N17" s="17" t="inlineStr">
        <is>
          <t>Ahmedabad</t>
        </is>
      </c>
      <c r="O17" s="17" t="inlineStr">
        <is>
          <t>Dhruv Patel</t>
        </is>
      </c>
      <c r="P17" s="17" t="inlineStr">
        <is>
          <t>9426975700</t>
        </is>
      </c>
      <c r="Q17" s="17" t="inlineStr">
        <is>
          <t>Propkart Admin</t>
        </is>
      </c>
      <c r="R17" s="17" t="inlineStr">
        <is>
          <t>17,000 rent for each shop</t>
        </is>
      </c>
    </row>
    <row r="18" ht="20" customHeight="1">
      <c r="A18" s="57" t="n">
        <v>46290.50447324074</v>
      </c>
      <c r="B18" s="29" t="inlineStr">
        <is>
          <t>2. This Week (Last 7 Days)</t>
        </is>
      </c>
      <c r="C18" s="14" t="inlineStr">
        <is>
          <t>PR-1178</t>
        </is>
      </c>
      <c r="D18" s="14" t="inlineStr">
        <is>
          <t>Bluvian Pratham</t>
        </is>
      </c>
      <c r="E18" s="14" t="inlineStr">
        <is>
          <t>Flat</t>
        </is>
      </c>
      <c r="F18" s="14" t="inlineStr">
        <is>
          <t>Rent</t>
        </is>
      </c>
      <c r="G18" s="14" t="inlineStr">
        <is>
          <t>Available</t>
        </is>
      </c>
      <c r="H18" s="59" t="n">
        <v>30000</v>
      </c>
      <c r="I18" s="59" t="n">
        <v>60000</v>
      </c>
      <c r="J18" s="59" t="n">
        <v>2500</v>
      </c>
      <c r="K18" s="14" t="n">
        <v>3</v>
      </c>
      <c r="L18" s="14" t="n">
        <v>482</v>
      </c>
      <c r="M18" s="14" t="inlineStr">
        <is>
          <t>Bhadaj</t>
        </is>
      </c>
      <c r="N18" s="14" t="inlineStr">
        <is>
          <t>Ahmedabad</t>
        </is>
      </c>
      <c r="O18" s="14" t="inlineStr">
        <is>
          <t>Nilesh Soni</t>
        </is>
      </c>
      <c r="P18" s="14" t="inlineStr">
        <is>
          <t>9099986026</t>
        </is>
      </c>
      <c r="Q18" s="14" t="inlineStr">
        <is>
          <t>Propkart Admin</t>
        </is>
      </c>
      <c r="R18" s="14" t="inlineStr">
        <is>
          <t>2500 maintenance</t>
        </is>
      </c>
    </row>
    <row r="19" ht="20" customHeight="1">
      <c r="A19" s="58" t="n">
        <v>46290.4917574537</v>
      </c>
      <c r="B19" s="28" t="inlineStr">
        <is>
          <t>2. This Week (Last 7 Days)</t>
        </is>
      </c>
      <c r="C19" s="17" t="inlineStr">
        <is>
          <t>PR-1177</t>
        </is>
      </c>
      <c r="D19" s="17" t="inlineStr">
        <is>
          <t>Shivranjni Society</t>
        </is>
      </c>
      <c r="E19" s="17" t="inlineStr">
        <is>
          <t>Rowhouse/Tenament</t>
        </is>
      </c>
      <c r="F19" s="17" t="inlineStr">
        <is>
          <t>Rent</t>
        </is>
      </c>
      <c r="G19" s="17" t="inlineStr">
        <is>
          <t>Available</t>
        </is>
      </c>
      <c r="H19" s="60" t="n">
        <v>25000</v>
      </c>
      <c r="I19" s="60" t="n">
        <v>50000</v>
      </c>
      <c r="J19" s="60" t="n">
        <v>333</v>
      </c>
      <c r="K19" s="17" t="n">
        <v>2</v>
      </c>
      <c r="L19" s="17" t="n">
        <v>600</v>
      </c>
      <c r="M19" s="17" t="inlineStr">
        <is>
          <t>Satellite</t>
        </is>
      </c>
      <c r="N19" s="17" t="inlineStr">
        <is>
          <t>Ahmedabad</t>
        </is>
      </c>
      <c r="O19" s="17" t="inlineStr">
        <is>
          <t>Ramesh Padia</t>
        </is>
      </c>
      <c r="P19" s="17" t="inlineStr">
        <is>
          <t>9898467025</t>
        </is>
      </c>
      <c r="Q19" s="17" t="inlineStr">
        <is>
          <t>Propkart Admin</t>
        </is>
      </c>
      <c r="R19" s="17" t="inlineStr">
        <is>
          <t>4k per year, electricity bill excluded</t>
        </is>
      </c>
    </row>
    <row r="20" ht="20" customHeight="1">
      <c r="A20" s="57" t="n">
        <v>46289.92418684028</v>
      </c>
      <c r="B20" s="29" t="inlineStr">
        <is>
          <t>2. This Week (Last 7 Days)</t>
        </is>
      </c>
      <c r="C20" s="14" t="inlineStr">
        <is>
          <t>PR-1176</t>
        </is>
      </c>
      <c r="D20" s="14" t="inlineStr">
        <is>
          <t>shivanta regel zundal</t>
        </is>
      </c>
      <c r="E20" s="14" t="inlineStr">
        <is>
          <t>Flat</t>
        </is>
      </c>
      <c r="F20" s="14" t="inlineStr">
        <is>
          <t>Re-Sale</t>
        </is>
      </c>
      <c r="G20" s="14" t="inlineStr">
        <is>
          <t>Available</t>
        </is>
      </c>
      <c r="H20" s="59" t="n">
        <v>7500000</v>
      </c>
      <c r="I20" s="59" t="n">
        <v>0</v>
      </c>
      <c r="J20" s="59" t="n">
        <v>0</v>
      </c>
      <c r="K20" s="14" t="n">
        <v>3</v>
      </c>
      <c r="L20" s="14" t="inlineStr">
        <is>
          <t>-</t>
        </is>
      </c>
      <c r="M20" s="14" t="inlineStr">
        <is>
          <t>Vaishnodevi</t>
        </is>
      </c>
      <c r="N20" s="14" t="inlineStr">
        <is>
          <t>Ahmedabad</t>
        </is>
      </c>
      <c r="O20" s="14" t="inlineStr">
        <is>
          <t>karan bhai</t>
        </is>
      </c>
      <c r="P20" s="14" t="inlineStr">
        <is>
          <t>9227087898</t>
        </is>
      </c>
      <c r="Q20" s="14" t="inlineStr">
        <is>
          <t>Rakesh Jadav</t>
        </is>
      </c>
      <c r="R20" s="14" t="inlineStr">
        <is>
          <t>invester flate che sara rate ma</t>
        </is>
      </c>
    </row>
    <row r="21" ht="20" customHeight="1">
      <c r="A21" s="58" t="n">
        <v>46289.78695744213</v>
      </c>
      <c r="B21" s="28" t="inlineStr">
        <is>
          <t>2. This Week (Last 7 Days)</t>
        </is>
      </c>
      <c r="C21" s="17" t="inlineStr">
        <is>
          <t>PR-1175</t>
        </is>
      </c>
      <c r="D21" s="17" t="inlineStr">
        <is>
          <t>super city bhadaj</t>
        </is>
      </c>
      <c r="E21" s="17" t="inlineStr">
        <is>
          <t>Bungalow</t>
        </is>
      </c>
      <c r="F21" s="17" t="inlineStr">
        <is>
          <t>Rent</t>
        </is>
      </c>
      <c r="G21" s="17" t="inlineStr">
        <is>
          <t>Rented Out</t>
        </is>
      </c>
      <c r="H21" s="60" t="n">
        <v>39000</v>
      </c>
      <c r="I21" s="60" t="n">
        <v>78000</v>
      </c>
      <c r="J21" s="60" t="n">
        <v>4000</v>
      </c>
      <c r="K21" s="17" t="n">
        <v>4</v>
      </c>
      <c r="L21" s="17" t="n">
        <v>2000</v>
      </c>
      <c r="M21" s="17" t="inlineStr">
        <is>
          <t>Bhadaj</t>
        </is>
      </c>
      <c r="N21" s="17" t="inlineStr">
        <is>
          <t>Ahmedabad</t>
        </is>
      </c>
      <c r="O21" s="17" t="inlineStr">
        <is>
          <t>indu ben</t>
        </is>
      </c>
      <c r="P21" s="17" t="inlineStr">
        <is>
          <t>9427132974</t>
        </is>
      </c>
      <c r="Q21" s="17" t="inlineStr">
        <is>
          <t>Rakesh Jadav</t>
        </is>
      </c>
      <c r="R21" s="17" t="inlineStr">
        <is>
          <t>-</t>
        </is>
      </c>
    </row>
    <row r="22" ht="20" customHeight="1">
      <c r="A22" s="57" t="n">
        <v>46289.69046956018</v>
      </c>
      <c r="B22" s="29" t="inlineStr">
        <is>
          <t>2. This Week (Last 7 Days)</t>
        </is>
      </c>
      <c r="C22" s="14" t="inlineStr">
        <is>
          <t>PR-1174</t>
        </is>
      </c>
      <c r="D22" s="14" t="inlineStr">
        <is>
          <t>Daffodils PLAZA, Gala Gymkhana Road South Bopal</t>
        </is>
      </c>
      <c r="E22" s="14" t="inlineStr">
        <is>
          <t>Office</t>
        </is>
      </c>
      <c r="F22" s="14" t="inlineStr">
        <is>
          <t>Rent</t>
        </is>
      </c>
      <c r="G22" s="14" t="inlineStr">
        <is>
          <t>Available</t>
        </is>
      </c>
      <c r="H22" s="59" t="n">
        <v>30000</v>
      </c>
      <c r="I22" s="59" t="n">
        <v>30000</v>
      </c>
      <c r="J22" s="59" t="n">
        <v>0</v>
      </c>
      <c r="K22" s="14" t="n">
        <v>1</v>
      </c>
      <c r="L22" s="14" t="n">
        <v>594</v>
      </c>
      <c r="M22" s="14" t="inlineStr">
        <is>
          <t>South Bopal</t>
        </is>
      </c>
      <c r="N22" s="14" t="inlineStr">
        <is>
          <t>Ahmedabad</t>
        </is>
      </c>
      <c r="O22" s="14" t="inlineStr">
        <is>
          <t>Rajendra Jadav</t>
        </is>
      </c>
      <c r="P22" s="14" t="inlineStr">
        <is>
          <t>9879160888</t>
        </is>
      </c>
      <c r="Q22" s="14" t="inlineStr">
        <is>
          <t>Prexa Vithalapara</t>
        </is>
      </c>
      <c r="R22" s="14" t="inlineStr">
        <is>
          <t>2 months deposit and pay advanvce rent every month</t>
        </is>
      </c>
    </row>
    <row r="23" ht="20" customHeight="1">
      <c r="A23" s="58" t="n">
        <v>46289.61908621528</v>
      </c>
      <c r="B23" s="28" t="inlineStr">
        <is>
          <t>2. This Week (Last 7 Days)</t>
        </is>
      </c>
      <c r="C23" s="17" t="inlineStr">
        <is>
          <t>PR-1173</t>
        </is>
      </c>
      <c r="D23" s="17" t="inlineStr">
        <is>
          <t>Suryansh Sanidhya Shivalaya, behind Sun Estate, near Ujala Cross road, Sarkhej, SG Highway, Ahmedabad</t>
        </is>
      </c>
      <c r="E23" s="17" t="inlineStr">
        <is>
          <t>Flat</t>
        </is>
      </c>
      <c r="F23" s="17" t="inlineStr">
        <is>
          <t>Rent</t>
        </is>
      </c>
      <c r="G23" s="17" t="inlineStr">
        <is>
          <t>Available</t>
        </is>
      </c>
      <c r="H23" s="60" t="n">
        <v>22000</v>
      </c>
      <c r="I23" s="60" t="n">
        <v>22000</v>
      </c>
      <c r="J23" s="60" t="n">
        <v>0</v>
      </c>
      <c r="K23" s="17" t="n">
        <v>2</v>
      </c>
      <c r="L23" s="17" t="n">
        <v>540</v>
      </c>
      <c r="M23" s="17" t="inlineStr">
        <is>
          <t>sarkhej</t>
        </is>
      </c>
      <c r="N23" s="17" t="inlineStr">
        <is>
          <t>Ahmedabad</t>
        </is>
      </c>
      <c r="O23" s="17" t="inlineStr">
        <is>
          <t>Girish Gohil</t>
        </is>
      </c>
      <c r="P23" s="17" t="inlineStr">
        <is>
          <t>9909915052</t>
        </is>
      </c>
      <c r="Q23" s="17" t="inlineStr">
        <is>
          <t>Zeel Mudaliyar</t>
        </is>
      </c>
      <c r="R23" s="17" t="inlineStr">
        <is>
          <t>-</t>
        </is>
      </c>
    </row>
    <row r="24" ht="20" customHeight="1">
      <c r="A24" s="57" t="n">
        <v>46288.61111858796</v>
      </c>
      <c r="B24" s="29" t="inlineStr">
        <is>
          <t>2. This Week (Last 7 Days)</t>
        </is>
      </c>
      <c r="C24" s="14" t="inlineStr">
        <is>
          <t>PR-1172</t>
        </is>
      </c>
      <c r="D24" s="14" t="inlineStr">
        <is>
          <t>Maher-5</t>
        </is>
      </c>
      <c r="E24" s="14" t="inlineStr">
        <is>
          <t>Flat</t>
        </is>
      </c>
      <c r="F24" s="14" t="inlineStr">
        <is>
          <t>Rent</t>
        </is>
      </c>
      <c r="G24" s="14" t="inlineStr">
        <is>
          <t>Available</t>
        </is>
      </c>
      <c r="H24" s="59" t="n">
        <v>22000</v>
      </c>
      <c r="I24" s="59" t="n">
        <v>22000</v>
      </c>
      <c r="J24" s="59" t="n">
        <v>2000</v>
      </c>
      <c r="K24" s="14" t="n">
        <v>2</v>
      </c>
      <c r="L24" s="14" t="n">
        <v>659</v>
      </c>
      <c r="M24" s="14" t="inlineStr">
        <is>
          <t>Shela</t>
        </is>
      </c>
      <c r="N24" s="14" t="inlineStr">
        <is>
          <t>Ahmedabad</t>
        </is>
      </c>
      <c r="O24" s="14" t="inlineStr">
        <is>
          <t>Divyesh Ruparel</t>
        </is>
      </c>
      <c r="P24" s="14" t="inlineStr">
        <is>
          <t>8306640345</t>
        </is>
      </c>
      <c r="Q24" s="14" t="inlineStr">
        <is>
          <t>Daksh Jasoliya</t>
        </is>
      </c>
      <c r="R24" s="14" t="inlineStr">
        <is>
          <t>Semi furnished, modular kitchen, basic accesories, Geyser</t>
        </is>
      </c>
    </row>
    <row r="25" ht="20" customHeight="1">
      <c r="A25" s="58" t="n">
        <v>46288.60370584491</v>
      </c>
      <c r="B25" s="28" t="inlineStr">
        <is>
          <t>2. This Week (Last 7 Days)</t>
        </is>
      </c>
      <c r="C25" s="17" t="inlineStr">
        <is>
          <t>PR-1171</t>
        </is>
      </c>
      <c r="D25" s="17" t="inlineStr">
        <is>
          <t>Money plant high street</t>
        </is>
      </c>
      <c r="E25" s="17" t="inlineStr">
        <is>
          <t>Office</t>
        </is>
      </c>
      <c r="F25" s="17" t="inlineStr">
        <is>
          <t>Rent</t>
        </is>
      </c>
      <c r="G25" s="17" t="inlineStr">
        <is>
          <t>Available</t>
        </is>
      </c>
      <c r="H25" s="60" t="n">
        <v>45000</v>
      </c>
      <c r="I25" s="60" t="n">
        <v>45000</v>
      </c>
      <c r="J25" s="60" t="n">
        <v>0</v>
      </c>
      <c r="K25" s="17" t="n">
        <v>2</v>
      </c>
      <c r="L25" s="17" t="n">
        <v>355</v>
      </c>
      <c r="M25" s="17" t="inlineStr">
        <is>
          <t>-</t>
        </is>
      </c>
      <c r="N25" s="17" t="inlineStr">
        <is>
          <t>Ahmedabad</t>
        </is>
      </c>
      <c r="O25" s="17" t="inlineStr">
        <is>
          <t>Anil Mistry</t>
        </is>
      </c>
      <c r="P25" s="17" t="inlineStr">
        <is>
          <t>9426569262</t>
        </is>
      </c>
      <c r="Q25" s="17" t="inlineStr">
        <is>
          <t>Daksh Jasoliya</t>
        </is>
      </c>
      <c r="R25" s="17" t="inlineStr">
        <is>
          <t>Office furniture</t>
        </is>
      </c>
    </row>
    <row r="26" ht="20" customHeight="1">
      <c r="A26" s="57" t="n">
        <v>46288.54560560185</v>
      </c>
      <c r="B26" s="29" t="inlineStr">
        <is>
          <t>2. This Week (Last 7 Days)</t>
        </is>
      </c>
      <c r="C26" s="14" t="inlineStr">
        <is>
          <t>PR-1170</t>
        </is>
      </c>
      <c r="D26" s="14" t="inlineStr">
        <is>
          <t>GOYAL PALLADIUM</t>
        </is>
      </c>
      <c r="E26" s="14" t="inlineStr">
        <is>
          <t>Office</t>
        </is>
      </c>
      <c r="F26" s="14" t="inlineStr">
        <is>
          <t>Rent</t>
        </is>
      </c>
      <c r="G26" s="14" t="inlineStr">
        <is>
          <t>Available</t>
        </is>
      </c>
      <c r="H26" s="59" t="n">
        <v>43650</v>
      </c>
      <c r="I26" s="59" t="n">
        <v>87300</v>
      </c>
      <c r="J26" s="59" t="n">
        <v>2000</v>
      </c>
      <c r="K26" s="14" t="n">
        <v>1</v>
      </c>
      <c r="L26" s="14" t="n">
        <v>436</v>
      </c>
      <c r="M26" s="14" t="inlineStr">
        <is>
          <t>-</t>
        </is>
      </c>
      <c r="N26" s="14" t="inlineStr">
        <is>
          <t>Ahmedabad</t>
        </is>
      </c>
      <c r="O26" s="14" t="inlineStr">
        <is>
          <t>Nishita Shah</t>
        </is>
      </c>
      <c r="P26" s="14" t="inlineStr">
        <is>
          <t>9427601721</t>
        </is>
      </c>
      <c r="Q26" s="14" t="inlineStr">
        <is>
          <t>Daksh Jasoliya</t>
        </is>
      </c>
      <c r="R26" s="14" t="inlineStr">
        <is>
          <t>2 AC, Partion
Maintenance Charges separate</t>
        </is>
      </c>
    </row>
    <row r="27" ht="20" customHeight="1">
      <c r="A27" s="58" t="n">
        <v>46288.47747572917</v>
      </c>
      <c r="B27" s="28" t="inlineStr">
        <is>
          <t>2. This Week (Last 7 Days)</t>
        </is>
      </c>
      <c r="C27" s="17" t="inlineStr">
        <is>
          <t>PR-1169</t>
        </is>
      </c>
      <c r="D27" s="17" t="inlineStr">
        <is>
          <t>Mitri lake view</t>
        </is>
      </c>
      <c r="E27" s="17" t="inlineStr">
        <is>
          <t>Flat</t>
        </is>
      </c>
      <c r="F27" s="17" t="inlineStr">
        <is>
          <t>Rent</t>
        </is>
      </c>
      <c r="G27" s="17" t="inlineStr">
        <is>
          <t>Available</t>
        </is>
      </c>
      <c r="H27" s="60" t="n">
        <v>25000</v>
      </c>
      <c r="I27" s="60" t="n">
        <v>25000</v>
      </c>
      <c r="J27" s="60" t="n">
        <v>0</v>
      </c>
      <c r="K27" s="17" t="n">
        <v>2</v>
      </c>
      <c r="L27" s="17" t="n">
        <v>589</v>
      </c>
      <c r="M27" s="17" t="inlineStr">
        <is>
          <t>Zundal</t>
        </is>
      </c>
      <c r="N27" s="17" t="inlineStr">
        <is>
          <t>Ahmedabad</t>
        </is>
      </c>
      <c r="O27" s="17" t="inlineStr">
        <is>
          <t>Mamta Vora</t>
        </is>
      </c>
      <c r="P27" s="17" t="inlineStr">
        <is>
          <t>8780327185</t>
        </is>
      </c>
      <c r="Q27" s="17" t="inlineStr">
        <is>
          <t>Daksh Jasoliya</t>
        </is>
      </c>
      <c r="R27" s="17" t="inlineStr">
        <is>
          <t>-</t>
        </is>
      </c>
    </row>
    <row r="28" ht="20" customHeight="1">
      <c r="A28" s="57" t="n">
        <v>46287.7227947338</v>
      </c>
      <c r="B28" s="29" t="inlineStr">
        <is>
          <t>2. This Week (Last 7 Days)</t>
        </is>
      </c>
      <c r="C28" s="14" t="inlineStr">
        <is>
          <t>PR-1168</t>
        </is>
      </c>
      <c r="D28" s="14" t="inlineStr">
        <is>
          <t>Shivam Appartment</t>
        </is>
      </c>
      <c r="E28" s="14" t="inlineStr">
        <is>
          <t>Flat</t>
        </is>
      </c>
      <c r="F28" s="14" t="inlineStr">
        <is>
          <t>Rent</t>
        </is>
      </c>
      <c r="G28" s="14" t="inlineStr">
        <is>
          <t>Rented Out</t>
        </is>
      </c>
      <c r="H28" s="59" t="n">
        <v>15000</v>
      </c>
      <c r="I28" s="59" t="n">
        <v>15000</v>
      </c>
      <c r="J28" s="59" t="n">
        <v>200</v>
      </c>
      <c r="K28" s="14" t="n">
        <v>2</v>
      </c>
      <c r="L28" s="14" t="n">
        <v>888</v>
      </c>
      <c r="M28" s="14" t="inlineStr">
        <is>
          <t>New Vadaj</t>
        </is>
      </c>
      <c r="N28" s="14" t="inlineStr">
        <is>
          <t>Ahmedabad</t>
        </is>
      </c>
      <c r="O28" s="14" t="inlineStr">
        <is>
          <t>Dhaval Patel</t>
        </is>
      </c>
      <c r="P28" s="14" t="inlineStr">
        <is>
          <t>9558630687</t>
        </is>
      </c>
      <c r="Q28" s="14" t="inlineStr">
        <is>
          <t>Daksh Jasoliya</t>
        </is>
      </c>
      <c r="R28" s="14" t="inlineStr">
        <is>
          <t>Sofa, Double Bed, Dining table + warddrobe + 2 extra bed + modular kitchen, all fan + light + curtain + 2 AC point + 2 no water tank for water storage
Maintenance 2500 annually</t>
        </is>
      </c>
    </row>
    <row r="29" ht="20" customHeight="1">
      <c r="A29" s="58" t="n">
        <v>46287.49392215277</v>
      </c>
      <c r="B29" s="28" t="inlineStr">
        <is>
          <t>2. This Week (Last 7 Days)</t>
        </is>
      </c>
      <c r="C29" s="17" t="inlineStr">
        <is>
          <t>PR-1167</t>
        </is>
      </c>
      <c r="D29" s="17" t="inlineStr">
        <is>
          <t>Pramukh park</t>
        </is>
      </c>
      <c r="E29" s="17" t="inlineStr">
        <is>
          <t>Flat</t>
        </is>
      </c>
      <c r="F29" s="17" t="inlineStr">
        <is>
          <t>Rent</t>
        </is>
      </c>
      <c r="G29" s="17" t="inlineStr">
        <is>
          <t>Available</t>
        </is>
      </c>
      <c r="H29" s="60" t="n">
        <v>27000</v>
      </c>
      <c r="I29" s="60" t="n">
        <v>27000</v>
      </c>
      <c r="J29" s="60" t="n">
        <v>0</v>
      </c>
      <c r="K29" s="17" t="n">
        <v>2</v>
      </c>
      <c r="L29" s="17" t="n">
        <v>810</v>
      </c>
      <c r="M29" s="17" t="inlineStr">
        <is>
          <t>Naranpura</t>
        </is>
      </c>
      <c r="N29" s="17" t="inlineStr">
        <is>
          <t>Ahmedabad</t>
        </is>
      </c>
      <c r="O29" s="17" t="inlineStr">
        <is>
          <t>Rajveet Singh</t>
        </is>
      </c>
      <c r="P29" s="17" t="inlineStr">
        <is>
          <t>8264292166</t>
        </is>
      </c>
      <c r="Q29" s="17" t="inlineStr">
        <is>
          <t>Daksh Jasoliya</t>
        </is>
      </c>
      <c r="R29" s="17" t="inlineStr">
        <is>
          <t>No Brokerage</t>
        </is>
      </c>
    </row>
    <row r="30" ht="20" customHeight="1">
      <c r="A30" s="57" t="n">
        <v>46286.62718346065</v>
      </c>
      <c r="B30" s="16" t="inlineStr">
        <is>
          <t>3. This Month (Sep 2026)</t>
        </is>
      </c>
      <c r="C30" s="14" t="inlineStr">
        <is>
          <t>PR-1166</t>
        </is>
      </c>
      <c r="D30" s="14" t="inlineStr">
        <is>
          <t>Madri Apartment</t>
        </is>
      </c>
      <c r="E30" s="14" t="inlineStr">
        <is>
          <t>Flat</t>
        </is>
      </c>
      <c r="F30" s="14" t="inlineStr">
        <is>
          <t>Rent</t>
        </is>
      </c>
      <c r="G30" s="14" t="inlineStr">
        <is>
          <t>Available</t>
        </is>
      </c>
      <c r="H30" s="59" t="n">
        <v>22000</v>
      </c>
      <c r="I30" s="59" t="n">
        <v>22000</v>
      </c>
      <c r="J30" s="59" t="n">
        <v>0</v>
      </c>
      <c r="K30" s="14" t="n">
        <v>2</v>
      </c>
      <c r="L30" s="14" t="n">
        <v>500</v>
      </c>
      <c r="M30" s="14" t="inlineStr">
        <is>
          <t>Memnagar</t>
        </is>
      </c>
      <c r="N30" s="14" t="inlineStr">
        <is>
          <t>Ahmedabad</t>
        </is>
      </c>
      <c r="O30" s="14" t="inlineStr">
        <is>
          <t>Umang Trivedi</t>
        </is>
      </c>
      <c r="P30" s="14" t="inlineStr">
        <is>
          <t>9898426900</t>
        </is>
      </c>
      <c r="Q30" s="14" t="inlineStr">
        <is>
          <t>Daksh Jasoliya</t>
        </is>
      </c>
      <c r="R30" s="14" t="inlineStr">
        <is>
          <t>-</t>
        </is>
      </c>
    </row>
    <row r="31" ht="20" customHeight="1">
      <c r="A31" s="58" t="n">
        <v>46286.61947680556</v>
      </c>
      <c r="B31" s="19" t="inlineStr">
        <is>
          <t>3. This Month (Sep 2026)</t>
        </is>
      </c>
      <c r="C31" s="17" t="inlineStr">
        <is>
          <t>PR-1165</t>
        </is>
      </c>
      <c r="D31" s="17" t="inlineStr">
        <is>
          <t>Sukun Arcade</t>
        </is>
      </c>
      <c r="E31" s="17" t="inlineStr">
        <is>
          <t>Office</t>
        </is>
      </c>
      <c r="F31" s="17" t="inlineStr">
        <is>
          <t>Rent</t>
        </is>
      </c>
      <c r="G31" s="17" t="inlineStr">
        <is>
          <t>Available</t>
        </is>
      </c>
      <c r="H31" s="60" t="n">
        <v>35000</v>
      </c>
      <c r="I31" s="60" t="n">
        <v>35000</v>
      </c>
      <c r="J31" s="60" t="n">
        <v>2800</v>
      </c>
      <c r="K31" s="17" t="n">
        <v>1</v>
      </c>
      <c r="L31" s="17" t="n">
        <v>487</v>
      </c>
      <c r="M31" s="17" t="inlineStr">
        <is>
          <t>Navrangpura</t>
        </is>
      </c>
      <c r="N31" s="17" t="inlineStr">
        <is>
          <t>Ahmedabad</t>
        </is>
      </c>
      <c r="O31" s="17" t="inlineStr">
        <is>
          <t>Viral Jani</t>
        </is>
      </c>
      <c r="P31" s="17" t="inlineStr">
        <is>
          <t>9998526402</t>
        </is>
      </c>
      <c r="Q31" s="17" t="inlineStr">
        <is>
          <t>Daksh Jasoliya</t>
        </is>
      </c>
      <c r="R31" s="17" t="inlineStr">
        <is>
          <t>Maintenance approx quarterly 8300</t>
        </is>
      </c>
    </row>
    <row r="32" ht="20" customHeight="1">
      <c r="A32" s="57" t="n">
        <v>46286.55087959491</v>
      </c>
      <c r="B32" s="16" t="inlineStr">
        <is>
          <t>3. This Month (Sep 2026)</t>
        </is>
      </c>
      <c r="C32" s="14" t="inlineStr">
        <is>
          <t>PR-1164</t>
        </is>
      </c>
      <c r="D32" s="14" t="inlineStr">
        <is>
          <t>Sun footprints</t>
        </is>
      </c>
      <c r="E32" s="14" t="inlineStr">
        <is>
          <t>Flat</t>
        </is>
      </c>
      <c r="F32" s="14" t="inlineStr">
        <is>
          <t>Rent</t>
        </is>
      </c>
      <c r="G32" s="14" t="inlineStr">
        <is>
          <t>Available</t>
        </is>
      </c>
      <c r="H32" s="59" t="n">
        <v>31000</v>
      </c>
      <c r="I32" s="59" t="n">
        <v>31000</v>
      </c>
      <c r="J32" s="59" t="n">
        <v>0</v>
      </c>
      <c r="K32" s="14" t="n">
        <v>2</v>
      </c>
      <c r="L32" s="14" t="n">
        <v>671</v>
      </c>
      <c r="M32" s="14" t="inlineStr">
        <is>
          <t>Shela</t>
        </is>
      </c>
      <c r="N32" s="14" t="inlineStr">
        <is>
          <t>Ahmedabad</t>
        </is>
      </c>
      <c r="O32" s="14" t="inlineStr">
        <is>
          <t>Raju Bharwad</t>
        </is>
      </c>
      <c r="P32" s="14" t="inlineStr">
        <is>
          <t>6355323756</t>
        </is>
      </c>
      <c r="Q32" s="14" t="inlineStr">
        <is>
          <t>Daksh Jasoliya</t>
        </is>
      </c>
      <c r="R32" s="14" t="inlineStr">
        <is>
          <t>Only vegetarian family</t>
        </is>
      </c>
    </row>
    <row r="33" ht="20" customHeight="1">
      <c r="A33" s="58" t="n">
        <v>46286.53431685185</v>
      </c>
      <c r="B33" s="19" t="inlineStr">
        <is>
          <t>3. This Month (Sep 2026)</t>
        </is>
      </c>
      <c r="C33" s="17" t="inlineStr">
        <is>
          <t>PR-1163</t>
        </is>
      </c>
      <c r="D33" s="17" t="inlineStr">
        <is>
          <t>Sun South Street</t>
        </is>
      </c>
      <c r="E33" s="17" t="inlineStr">
        <is>
          <t>Shop</t>
        </is>
      </c>
      <c r="F33" s="17" t="inlineStr">
        <is>
          <t>Rent</t>
        </is>
      </c>
      <c r="G33" s="17" t="inlineStr">
        <is>
          <t>Available</t>
        </is>
      </c>
      <c r="H33" s="60" t="n">
        <v>40000</v>
      </c>
      <c r="I33" s="60" t="n">
        <v>40000</v>
      </c>
      <c r="J33" s="60" t="n">
        <v>0</v>
      </c>
      <c r="K33" s="17" t="n">
        <v>1</v>
      </c>
      <c r="L33" s="17" t="n">
        <v>310</v>
      </c>
      <c r="M33" s="17" t="inlineStr">
        <is>
          <t>Bopal</t>
        </is>
      </c>
      <c r="N33" s="17" t="inlineStr">
        <is>
          <t>Ahmedabad</t>
        </is>
      </c>
      <c r="O33" s="17" t="inlineStr">
        <is>
          <t>Yogina Tripathi</t>
        </is>
      </c>
      <c r="P33" s="17" t="inlineStr">
        <is>
          <t>9998224030</t>
        </is>
      </c>
      <c r="Q33" s="17" t="inlineStr">
        <is>
          <t>Daksh Jasoliya</t>
        </is>
      </c>
      <c r="R33" s="17" t="inlineStr">
        <is>
          <t>-</t>
        </is>
      </c>
    </row>
    <row r="34" ht="20" customHeight="1">
      <c r="A34" s="57" t="n">
        <v>46286.52999175926</v>
      </c>
      <c r="B34" s="16" t="inlineStr">
        <is>
          <t>3. This Month (Sep 2026)</t>
        </is>
      </c>
      <c r="C34" s="14" t="inlineStr">
        <is>
          <t>PR-1162</t>
        </is>
      </c>
      <c r="D34" s="14" t="inlineStr">
        <is>
          <t>Santorini square</t>
        </is>
      </c>
      <c r="E34" s="14" t="inlineStr">
        <is>
          <t>Office</t>
        </is>
      </c>
      <c r="F34" s="14" t="inlineStr">
        <is>
          <t>Rent</t>
        </is>
      </c>
      <c r="G34" s="14" t="inlineStr">
        <is>
          <t>Available</t>
        </is>
      </c>
      <c r="H34" s="59" t="n">
        <v>60000</v>
      </c>
      <c r="I34" s="59" t="n">
        <v>60000</v>
      </c>
      <c r="J34" s="59" t="n">
        <v>0</v>
      </c>
      <c r="K34" s="14" t="n">
        <v>1</v>
      </c>
      <c r="L34" s="14" t="n">
        <v>830</v>
      </c>
      <c r="M34" s="14" t="inlineStr">
        <is>
          <t>Satellite</t>
        </is>
      </c>
      <c r="N34" s="14" t="inlineStr">
        <is>
          <t>Ahmedabad</t>
        </is>
      </c>
      <c r="O34" s="14" t="inlineStr">
        <is>
          <t>Mehul Desai</t>
        </is>
      </c>
      <c r="P34" s="14" t="inlineStr">
        <is>
          <t>9824145011</t>
        </is>
      </c>
      <c r="Q34" s="14" t="inlineStr">
        <is>
          <t>Daksh Jasoliya</t>
        </is>
      </c>
      <c r="R34" s="14" t="inlineStr">
        <is>
          <t>4 AC, 2 cabin, separate lift, 25 work station, in built CCTV, pantry area separate, furnished waiting area, large reception desk</t>
        </is>
      </c>
    </row>
    <row r="35" ht="20" customHeight="1">
      <c r="A35" s="58" t="n">
        <v>46286.5250047338</v>
      </c>
      <c r="B35" s="19" t="inlineStr">
        <is>
          <t>3. This Month (Sep 2026)</t>
        </is>
      </c>
      <c r="C35" s="17" t="inlineStr">
        <is>
          <t>PR-1161</t>
        </is>
      </c>
      <c r="D35" s="17" t="inlineStr">
        <is>
          <t>Amrapali Axiom -1</t>
        </is>
      </c>
      <c r="E35" s="17" t="inlineStr">
        <is>
          <t>Office</t>
        </is>
      </c>
      <c r="F35" s="17" t="inlineStr">
        <is>
          <t>Rent</t>
        </is>
      </c>
      <c r="G35" s="17" t="inlineStr">
        <is>
          <t>Available</t>
        </is>
      </c>
      <c r="H35" s="60" t="n">
        <v>80000</v>
      </c>
      <c r="I35" s="60" t="n">
        <v>80000</v>
      </c>
      <c r="J35" s="60" t="n">
        <v>2000</v>
      </c>
      <c r="K35" s="17" t="n">
        <v>1</v>
      </c>
      <c r="L35" s="17" t="n">
        <v>862</v>
      </c>
      <c r="M35" s="17" t="inlineStr">
        <is>
          <t>Ambli</t>
        </is>
      </c>
      <c r="N35" s="17" t="inlineStr">
        <is>
          <t>Ahmedabad</t>
        </is>
      </c>
      <c r="O35" s="17" t="inlineStr">
        <is>
          <t>Julee Thakkar</t>
        </is>
      </c>
      <c r="P35" s="17" t="inlineStr">
        <is>
          <t>9429622015</t>
        </is>
      </c>
      <c r="Q35" s="17" t="inlineStr">
        <is>
          <t>Daksh Jasoliya</t>
        </is>
      </c>
      <c r="R35" s="17" t="inlineStr">
        <is>
          <t>2000 maintenance (taxes and maintenance excluded)
6 working station, 3 cabins, 8 seater conference room,  6 AC, CCTV Camera, 1 reception, waiting lounge, 1 pantry, EPABX system</t>
        </is>
      </c>
    </row>
    <row r="36" ht="20" customHeight="1">
      <c r="A36" s="57" t="n">
        <v>46286.52489298611</v>
      </c>
      <c r="B36" s="16" t="inlineStr">
        <is>
          <t>3. This Month (Sep 2026)</t>
        </is>
      </c>
      <c r="C36" s="14" t="inlineStr">
        <is>
          <t>PR-1160</t>
        </is>
      </c>
      <c r="D36" s="14" t="inlineStr">
        <is>
          <t>osjdvn</t>
        </is>
      </c>
      <c r="E36" s="14" t="inlineStr">
        <is>
          <t>Flat</t>
        </is>
      </c>
      <c r="F36" s="14" t="inlineStr">
        <is>
          <t>Rent</t>
        </is>
      </c>
      <c r="G36" s="14" t="inlineStr">
        <is>
          <t>Available</t>
        </is>
      </c>
      <c r="H36" s="59" t="n">
        <v>25000</v>
      </c>
      <c r="I36" s="59" t="n">
        <v>50000</v>
      </c>
      <c r="J36" s="59" t="n">
        <v>13233</v>
      </c>
      <c r="K36" s="14" t="n">
        <v>5</v>
      </c>
      <c r="L36" s="14" t="n">
        <v>32221</v>
      </c>
      <c r="M36" s="14" t="inlineStr">
        <is>
          <t>Bhabhar</t>
        </is>
      </c>
      <c r="N36" s="14" t="inlineStr">
        <is>
          <t>Ahmedabad</t>
        </is>
      </c>
      <c r="O36" s="14" t="inlineStr">
        <is>
          <t>aosdjfn</t>
        </is>
      </c>
      <c r="P36" s="14" t="inlineStr">
        <is>
          <t>2222222222</t>
        </is>
      </c>
      <c r="Q36" s="14" t="inlineStr">
        <is>
          <t>Propkart Admin</t>
        </is>
      </c>
      <c r="R36" s="14" t="inlineStr">
        <is>
          <t>wepgvkmn</t>
        </is>
      </c>
    </row>
    <row r="37" ht="20" customHeight="1">
      <c r="A37" s="58" t="n">
        <v>46286.51884021991</v>
      </c>
      <c r="B37" s="19" t="inlineStr">
        <is>
          <t>3. This Month (Sep 2026)</t>
        </is>
      </c>
      <c r="C37" s="17" t="inlineStr">
        <is>
          <t>PR-1159</t>
        </is>
      </c>
      <c r="D37" s="17" t="inlineStr">
        <is>
          <t>Gala Magnus</t>
        </is>
      </c>
      <c r="E37" s="17" t="inlineStr">
        <is>
          <t>Office</t>
        </is>
      </c>
      <c r="F37" s="17" t="inlineStr">
        <is>
          <t>Rent</t>
        </is>
      </c>
      <c r="G37" s="17" t="inlineStr">
        <is>
          <t>Available</t>
        </is>
      </c>
      <c r="H37" s="60" t="n">
        <v>25000</v>
      </c>
      <c r="I37" s="60" t="n">
        <v>25000</v>
      </c>
      <c r="J37" s="60" t="n">
        <v>2000</v>
      </c>
      <c r="K37" s="17" t="n">
        <v>1</v>
      </c>
      <c r="L37" s="17" t="n">
        <v>435</v>
      </c>
      <c r="M37" s="17" t="inlineStr">
        <is>
          <t>South Bopal</t>
        </is>
      </c>
      <c r="N37" s="17" t="inlineStr">
        <is>
          <t>Ahmedabad</t>
        </is>
      </c>
      <c r="O37" s="17" t="inlineStr">
        <is>
          <t>Premal Raval</t>
        </is>
      </c>
      <c r="P37" s="17" t="inlineStr">
        <is>
          <t>9824242410</t>
        </is>
      </c>
      <c r="Q37" s="17" t="inlineStr">
        <is>
          <t>Daksh Jasoliya</t>
        </is>
      </c>
      <c r="R37" s="17" t="inlineStr">
        <is>
          <t>Taxes and maintenance excluded</t>
        </is>
      </c>
    </row>
    <row r="38" ht="20" customHeight="1">
      <c r="A38" s="57" t="n">
        <v>46286.48266606482</v>
      </c>
      <c r="B38" s="16" t="inlineStr">
        <is>
          <t>3. This Month (Sep 2026)</t>
        </is>
      </c>
      <c r="C38" s="14" t="inlineStr">
        <is>
          <t>PR-1158</t>
        </is>
      </c>
      <c r="D38" s="14" t="inlineStr">
        <is>
          <t>Shashtrinagar</t>
        </is>
      </c>
      <c r="E38" s="14" t="inlineStr">
        <is>
          <t>Shop</t>
        </is>
      </c>
      <c r="F38" s="14" t="inlineStr">
        <is>
          <t>Rent</t>
        </is>
      </c>
      <c r="G38" s="14" t="inlineStr">
        <is>
          <t>Rented Out</t>
        </is>
      </c>
      <c r="H38" s="59" t="n">
        <v>12000</v>
      </c>
      <c r="I38" s="59" t="n">
        <v>24000</v>
      </c>
      <c r="J38" s="59" t="n">
        <v>0</v>
      </c>
      <c r="K38" s="14" t="n">
        <v>1</v>
      </c>
      <c r="L38" s="14" t="n">
        <v>120</v>
      </c>
      <c r="M38" s="14" t="inlineStr">
        <is>
          <t>Naranpura</t>
        </is>
      </c>
      <c r="N38" s="14" t="inlineStr">
        <is>
          <t>Ahmedabad</t>
        </is>
      </c>
      <c r="O38" s="14" t="inlineStr">
        <is>
          <t>Jaimin Rathod</t>
        </is>
      </c>
      <c r="P38" s="14" t="inlineStr">
        <is>
          <t>9016134877</t>
        </is>
      </c>
      <c r="Q38" s="14" t="inlineStr">
        <is>
          <t>Daksh Jasoliya</t>
        </is>
      </c>
      <c r="R38" s="14" t="inlineStr">
        <is>
          <t>-</t>
        </is>
      </c>
    </row>
    <row r="39" ht="20" customHeight="1">
      <c r="A39" s="58" t="n">
        <v>46284.75509471065</v>
      </c>
      <c r="B39" s="19" t="inlineStr">
        <is>
          <t>3. This Month (Sep 2026)</t>
        </is>
      </c>
      <c r="C39" s="17" t="inlineStr">
        <is>
          <t>PR-1157</t>
        </is>
      </c>
      <c r="D39" s="17" t="inlineStr">
        <is>
          <t>Gamara Hills, VIP Road, Shela</t>
        </is>
      </c>
      <c r="E39" s="17" t="inlineStr">
        <is>
          <t>Flat</t>
        </is>
      </c>
      <c r="F39" s="17" t="inlineStr">
        <is>
          <t>Rent</t>
        </is>
      </c>
      <c r="G39" s="17" t="inlineStr">
        <is>
          <t>Available</t>
        </is>
      </c>
      <c r="H39" s="60" t="n">
        <v>30000</v>
      </c>
      <c r="I39" s="60" t="n">
        <v>30000</v>
      </c>
      <c r="J39" s="60" t="n">
        <v>0</v>
      </c>
      <c r="K39" s="17" t="n">
        <v>3</v>
      </c>
      <c r="L39" s="17" t="n">
        <v>878</v>
      </c>
      <c r="M39" s="17" t="inlineStr">
        <is>
          <t>Shela</t>
        </is>
      </c>
      <c r="N39" s="17" t="inlineStr">
        <is>
          <t>Ahmedabad</t>
        </is>
      </c>
      <c r="O39" s="17" t="inlineStr">
        <is>
          <t>Rohit Trivedi</t>
        </is>
      </c>
      <c r="P39" s="17" t="inlineStr">
        <is>
          <t>9825007326</t>
        </is>
      </c>
      <c r="Q39" s="17" t="inlineStr">
        <is>
          <t>Zeel Mudaliyar</t>
        </is>
      </c>
      <c r="R39" s="17" t="inlineStr">
        <is>
          <t>Lift Shifting Charges 3000</t>
        </is>
      </c>
    </row>
    <row r="40" ht="20" customHeight="1">
      <c r="A40" s="57" t="n">
        <v>46284.74133688657</v>
      </c>
      <c r="B40" s="16" t="inlineStr">
        <is>
          <t>3. This Month (Sep 2026)</t>
        </is>
      </c>
      <c r="C40" s="14" t="inlineStr">
        <is>
          <t>PR-1156</t>
        </is>
      </c>
      <c r="D40" s="14" t="inlineStr">
        <is>
          <t>Setu Exotica</t>
        </is>
      </c>
      <c r="E40" s="14" t="inlineStr">
        <is>
          <t>Flat</t>
        </is>
      </c>
      <c r="F40" s="14" t="inlineStr">
        <is>
          <t>Rent</t>
        </is>
      </c>
      <c r="G40" s="14" t="inlineStr">
        <is>
          <t>Available</t>
        </is>
      </c>
      <c r="H40" s="59" t="n">
        <v>26500</v>
      </c>
      <c r="I40" s="59" t="n">
        <v>26500</v>
      </c>
      <c r="J40" s="59" t="n">
        <v>2500</v>
      </c>
      <c r="K40" s="14" t="n">
        <v>3</v>
      </c>
      <c r="L40" s="14" t="n">
        <v>1026</v>
      </c>
      <c r="M40" s="14" t="inlineStr">
        <is>
          <t>-</t>
        </is>
      </c>
      <c r="N40" s="14" t="inlineStr">
        <is>
          <t>Ahmedabad</t>
        </is>
      </c>
      <c r="O40" s="14" t="inlineStr">
        <is>
          <t>Dhairya Patel</t>
        </is>
      </c>
      <c r="P40" s="14" t="inlineStr">
        <is>
          <t>8141279797</t>
        </is>
      </c>
      <c r="Q40" s="14" t="inlineStr">
        <is>
          <t>Daksh Jasoliya</t>
        </is>
      </c>
      <c r="R40" s="14" t="inlineStr">
        <is>
          <t>2500 maintenance</t>
        </is>
      </c>
    </row>
    <row r="41" ht="20" customHeight="1">
      <c r="A41" s="58" t="n">
        <v>46284.73942607639</v>
      </c>
      <c r="B41" s="19" t="inlineStr">
        <is>
          <t>3. This Month (Sep 2026)</t>
        </is>
      </c>
      <c r="C41" s="17" t="inlineStr">
        <is>
          <t>PR-1155</t>
        </is>
      </c>
      <c r="D41" s="17" t="inlineStr">
        <is>
          <t>testing property</t>
        </is>
      </c>
      <c r="E41" s="17" t="inlineStr">
        <is>
          <t>Flat</t>
        </is>
      </c>
      <c r="F41" s="17" t="inlineStr">
        <is>
          <t>Rent</t>
        </is>
      </c>
      <c r="G41" s="17" t="inlineStr">
        <is>
          <t>Available</t>
        </is>
      </c>
      <c r="H41" s="60" t="n">
        <v>13266</v>
      </c>
      <c r="I41" s="60" t="n">
        <v>39798</v>
      </c>
      <c r="J41" s="60" t="n">
        <v>0</v>
      </c>
      <c r="K41" s="17" t="n">
        <v>4</v>
      </c>
      <c r="L41" s="17" t="inlineStr">
        <is>
          <t>-</t>
        </is>
      </c>
      <c r="M41" s="17" t="inlineStr">
        <is>
          <t>-</t>
        </is>
      </c>
      <c r="N41" s="17" t="inlineStr">
        <is>
          <t>Ahmedabad</t>
        </is>
      </c>
      <c r="O41" s="17" t="inlineStr">
        <is>
          <t>kjdkcjas</t>
        </is>
      </c>
      <c r="P41" s="17" t="inlineStr">
        <is>
          <t>1326568979</t>
        </is>
      </c>
      <c r="Q41" s="17" t="inlineStr">
        <is>
          <t>Propkart Admin</t>
        </is>
      </c>
      <c r="R41" s="17">
        <f>---</f>
        <v/>
      </c>
    </row>
    <row r="42" ht="20" customHeight="1">
      <c r="A42" s="57" t="n">
        <v>46284.72759289352</v>
      </c>
      <c r="B42" s="16" t="inlineStr">
        <is>
          <t>3. This Month (Sep 2026)</t>
        </is>
      </c>
      <c r="C42" s="14" t="inlineStr">
        <is>
          <t>PR-1154</t>
        </is>
      </c>
      <c r="D42" s="14" t="inlineStr">
        <is>
          <t>Savvy Studio</t>
        </is>
      </c>
      <c r="E42" s="14" t="inlineStr">
        <is>
          <t>Flat</t>
        </is>
      </c>
      <c r="F42" s="14" t="inlineStr">
        <is>
          <t>Rent</t>
        </is>
      </c>
      <c r="G42" s="14" t="inlineStr">
        <is>
          <t>Available</t>
        </is>
      </c>
      <c r="H42" s="59" t="n">
        <v>17000</v>
      </c>
      <c r="I42" s="59" t="n">
        <v>17000</v>
      </c>
      <c r="J42" s="59" t="n">
        <v>0</v>
      </c>
      <c r="K42" s="14" t="n">
        <v>1</v>
      </c>
      <c r="L42" s="14" t="n">
        <v>320</v>
      </c>
      <c r="M42" s="14" t="inlineStr">
        <is>
          <t>Gota</t>
        </is>
      </c>
      <c r="N42" s="14" t="inlineStr">
        <is>
          <t>Ahmedabad</t>
        </is>
      </c>
      <c r="O42" s="14" t="inlineStr">
        <is>
          <t>Chetan Ghediya</t>
        </is>
      </c>
      <c r="P42" s="14" t="inlineStr">
        <is>
          <t>8734811158</t>
        </is>
      </c>
      <c r="Q42" s="14" t="inlineStr">
        <is>
          <t>Zeel Mudaliyar</t>
        </is>
      </c>
      <c r="R42" s="14" t="inlineStr">
        <is>
          <t>Also Available for Bachelors</t>
        </is>
      </c>
    </row>
    <row r="43" ht="20" customHeight="1">
      <c r="A43" s="58" t="n">
        <v>46284.69495606481</v>
      </c>
      <c r="B43" s="19" t="inlineStr">
        <is>
          <t>3. This Month (Sep 2026)</t>
        </is>
      </c>
      <c r="C43" s="17" t="inlineStr">
        <is>
          <t>PR-1153</t>
        </is>
      </c>
      <c r="D43" s="17" t="inlineStr">
        <is>
          <t>Shree Krishna Center, near Bank Of Baroda</t>
        </is>
      </c>
      <c r="E43" s="17" t="inlineStr">
        <is>
          <t>Flat</t>
        </is>
      </c>
      <c r="F43" s="17" t="inlineStr">
        <is>
          <t>Rent</t>
        </is>
      </c>
      <c r="G43" s="17" t="inlineStr">
        <is>
          <t>Available</t>
        </is>
      </c>
      <c r="H43" s="60" t="n">
        <v>20000</v>
      </c>
      <c r="I43" s="60" t="n">
        <v>20000</v>
      </c>
      <c r="J43" s="60" t="n">
        <v>5000</v>
      </c>
      <c r="K43" s="17" t="n">
        <v>1</v>
      </c>
      <c r="L43" s="17" t="n">
        <v>170</v>
      </c>
      <c r="M43" s="17" t="inlineStr">
        <is>
          <t>Navrangpura</t>
        </is>
      </c>
      <c r="N43" s="17" t="inlineStr">
        <is>
          <t>Ahmedabad</t>
        </is>
      </c>
      <c r="O43" s="17" t="inlineStr">
        <is>
          <t>Sunil Chaterjee</t>
        </is>
      </c>
      <c r="P43" s="17" t="inlineStr">
        <is>
          <t>6353676023</t>
        </is>
      </c>
      <c r="Q43" s="17" t="inlineStr">
        <is>
          <t>Zeel Mudaliyar</t>
        </is>
      </c>
      <c r="R43" s="17" t="inlineStr">
        <is>
          <t>-</t>
        </is>
      </c>
    </row>
    <row r="44" ht="20" customHeight="1">
      <c r="A44" s="57" t="n">
        <v>46284.67747395833</v>
      </c>
      <c r="B44" s="16" t="inlineStr">
        <is>
          <t>3. This Month (Sep 2026)</t>
        </is>
      </c>
      <c r="C44" s="14" t="inlineStr">
        <is>
          <t>PR-1152</t>
        </is>
      </c>
      <c r="D44" s="14" t="inlineStr">
        <is>
          <t>Aakash Residency</t>
        </is>
      </c>
      <c r="E44" s="14" t="inlineStr">
        <is>
          <t>Flat</t>
        </is>
      </c>
      <c r="F44" s="14" t="inlineStr">
        <is>
          <t>Rent</t>
        </is>
      </c>
      <c r="G44" s="14" t="inlineStr">
        <is>
          <t>Available</t>
        </is>
      </c>
      <c r="H44" s="59" t="n">
        <v>24000</v>
      </c>
      <c r="I44" s="59" t="n">
        <v>24000</v>
      </c>
      <c r="J44" s="59" t="n">
        <v>0</v>
      </c>
      <c r="K44" s="14" t="n">
        <v>2</v>
      </c>
      <c r="L44" s="14" t="n">
        <v>463</v>
      </c>
      <c r="M44" s="14" t="inlineStr">
        <is>
          <t>Shela</t>
        </is>
      </c>
      <c r="N44" s="14" t="inlineStr">
        <is>
          <t>Ahmedabad</t>
        </is>
      </c>
      <c r="O44" s="14" t="inlineStr">
        <is>
          <t>Bhadresh Solanki</t>
        </is>
      </c>
      <c r="P44" s="14" t="inlineStr">
        <is>
          <t>9825005069</t>
        </is>
      </c>
      <c r="Q44" s="14" t="inlineStr">
        <is>
          <t>Daksh Jasoliya</t>
        </is>
      </c>
      <c r="R44" s="14" t="inlineStr">
        <is>
          <t>-</t>
        </is>
      </c>
    </row>
    <row r="45" ht="20" customHeight="1">
      <c r="A45" s="58" t="n">
        <v>46284.66752636574</v>
      </c>
      <c r="B45" s="19" t="inlineStr">
        <is>
          <t>3. This Month (Sep 2026)</t>
        </is>
      </c>
      <c r="C45" s="17" t="inlineStr">
        <is>
          <t>PR-1151</t>
        </is>
      </c>
      <c r="D45" s="17" t="inlineStr">
        <is>
          <t>Shyamvilla Bungalows</t>
        </is>
      </c>
      <c r="E45" s="17" t="inlineStr">
        <is>
          <t>Rowhouse/Tenament</t>
        </is>
      </c>
      <c r="F45" s="17" t="inlineStr">
        <is>
          <t>Rent</t>
        </is>
      </c>
      <c r="G45" s="17" t="inlineStr">
        <is>
          <t>Available</t>
        </is>
      </c>
      <c r="H45" s="60" t="n">
        <v>39000</v>
      </c>
      <c r="I45" s="60" t="n">
        <v>39000</v>
      </c>
      <c r="J45" s="60" t="n">
        <v>0</v>
      </c>
      <c r="K45" s="17" t="n">
        <v>3</v>
      </c>
      <c r="L45" s="17" t="n">
        <v>891</v>
      </c>
      <c r="M45" s="17" t="inlineStr">
        <is>
          <t>Sola</t>
        </is>
      </c>
      <c r="N45" s="17" t="inlineStr">
        <is>
          <t>Ahmedabad</t>
        </is>
      </c>
      <c r="O45" s="17" t="inlineStr">
        <is>
          <t>Pratik bhai</t>
        </is>
      </c>
      <c r="P45" s="17" t="inlineStr">
        <is>
          <t>9228121713</t>
        </is>
      </c>
      <c r="Q45" s="17" t="inlineStr">
        <is>
          <t>Daksh Jasoliya</t>
        </is>
      </c>
      <c r="R45" s="17" t="inlineStr">
        <is>
          <t>-</t>
        </is>
      </c>
    </row>
    <row r="46" ht="20" customHeight="1">
      <c r="A46" s="57" t="n">
        <v>46284.66597030093</v>
      </c>
      <c r="B46" s="16" t="inlineStr">
        <is>
          <t>3. This Month (Sep 2026)</t>
        </is>
      </c>
      <c r="C46" s="14" t="inlineStr">
        <is>
          <t>PR-1150</t>
        </is>
      </c>
      <c r="D46" s="14" t="inlineStr">
        <is>
          <t>Keshavbaag Capital Asopalav, Vastrapur</t>
        </is>
      </c>
      <c r="E46" s="14" t="inlineStr">
        <is>
          <t>Office</t>
        </is>
      </c>
      <c r="F46" s="14" t="inlineStr">
        <is>
          <t>Rent</t>
        </is>
      </c>
      <c r="G46" s="14" t="inlineStr">
        <is>
          <t>Available</t>
        </is>
      </c>
      <c r="H46" s="59" t="n">
        <v>18000</v>
      </c>
      <c r="I46" s="59" t="n">
        <v>18000</v>
      </c>
      <c r="J46" s="59" t="n">
        <v>0</v>
      </c>
      <c r="K46" s="14" t="n">
        <v>1</v>
      </c>
      <c r="L46" s="14" t="n">
        <v>675</v>
      </c>
      <c r="M46" s="14" t="inlineStr">
        <is>
          <t>Vastrapur</t>
        </is>
      </c>
      <c r="N46" s="14" t="inlineStr">
        <is>
          <t>Ahmedabad</t>
        </is>
      </c>
      <c r="O46" s="14" t="inlineStr">
        <is>
          <t>Mehul Soni</t>
        </is>
      </c>
      <c r="P46" s="14" t="inlineStr">
        <is>
          <t>9904721565</t>
        </is>
      </c>
      <c r="Q46" s="14" t="inlineStr">
        <is>
          <t>Zeel Mudaliyar</t>
        </is>
      </c>
      <c r="R46" s="14" t="inlineStr">
        <is>
          <t>-</t>
        </is>
      </c>
    </row>
    <row r="47" ht="20" customHeight="1">
      <c r="A47" s="58" t="n">
        <v>46284.48207633102</v>
      </c>
      <c r="B47" s="19" t="inlineStr">
        <is>
          <t>3. This Month (Sep 2026)</t>
        </is>
      </c>
      <c r="C47" s="17" t="inlineStr">
        <is>
          <t>PR-1149</t>
        </is>
      </c>
      <c r="D47" s="17" t="inlineStr">
        <is>
          <t>hvhighi</t>
        </is>
      </c>
      <c r="E47" s="17" t="inlineStr">
        <is>
          <t>Office</t>
        </is>
      </c>
      <c r="F47" s="17" t="inlineStr">
        <is>
          <t>Rent</t>
        </is>
      </c>
      <c r="G47" s="17" t="inlineStr">
        <is>
          <t>Available</t>
        </is>
      </c>
      <c r="H47" s="60" t="n">
        <v>100000</v>
      </c>
      <c r="I47" s="60" t="n">
        <v>200000</v>
      </c>
      <c r="J47" s="60" t="n">
        <v>0</v>
      </c>
      <c r="K47" s="17" t="n">
        <v>1</v>
      </c>
      <c r="L47" s="17" t="inlineStr">
        <is>
          <t>-</t>
        </is>
      </c>
      <c r="M47" s="17" t="inlineStr">
        <is>
          <t>Ambli</t>
        </is>
      </c>
      <c r="N47" s="17" t="inlineStr">
        <is>
          <t>Ahmedabad</t>
        </is>
      </c>
      <c r="O47" s="17" t="inlineStr">
        <is>
          <t>test</t>
        </is>
      </c>
      <c r="P47" s="17" t="inlineStr">
        <is>
          <t>1234567890</t>
        </is>
      </c>
      <c r="Q47" s="17" t="inlineStr">
        <is>
          <t>Viral Jadeja</t>
        </is>
      </c>
      <c r="R47" s="17" t="inlineStr">
        <is>
          <t>hbhi</t>
        </is>
      </c>
    </row>
    <row r="48" ht="20" customHeight="1">
      <c r="A48" s="57" t="n">
        <v>46284.4481094213</v>
      </c>
      <c r="B48" s="16" t="inlineStr">
        <is>
          <t>3. This Month (Sep 2026)</t>
        </is>
      </c>
      <c r="C48" s="14" t="inlineStr">
        <is>
          <t>PR-1148</t>
        </is>
      </c>
      <c r="D48" s="14" t="inlineStr">
        <is>
          <t>Shrifal Apartments Gota</t>
        </is>
      </c>
      <c r="E48" s="14" t="inlineStr">
        <is>
          <t>Flat</t>
        </is>
      </c>
      <c r="F48" s="14" t="inlineStr">
        <is>
          <t>Rent</t>
        </is>
      </c>
      <c r="G48" s="14" t="inlineStr">
        <is>
          <t>Rented Out</t>
        </is>
      </c>
      <c r="H48" s="59" t="n">
        <v>17200</v>
      </c>
      <c r="I48" s="59" t="n">
        <v>34400</v>
      </c>
      <c r="J48" s="59" t="n">
        <v>1200</v>
      </c>
      <c r="K48" s="14" t="n">
        <v>2</v>
      </c>
      <c r="L48" s="14" t="inlineStr">
        <is>
          <t>-</t>
        </is>
      </c>
      <c r="M48" s="14" t="inlineStr">
        <is>
          <t>Gota</t>
        </is>
      </c>
      <c r="N48" s="14" t="inlineStr">
        <is>
          <t>Ahmedabad</t>
        </is>
      </c>
      <c r="O48" s="14" t="inlineStr">
        <is>
          <t>Kishor bhai</t>
        </is>
      </c>
      <c r="P48" s="14" t="inlineStr">
        <is>
          <t>9824940006</t>
        </is>
      </c>
      <c r="Q48" s="14" t="inlineStr">
        <is>
          <t>Somel Rathod</t>
        </is>
      </c>
      <c r="R48" s="14" t="inlineStr">
        <is>
          <t>-</t>
        </is>
      </c>
    </row>
    <row r="49" ht="20" customHeight="1">
      <c r="A49" s="58" t="n">
        <v>46283.66760054398</v>
      </c>
      <c r="B49" s="19" t="inlineStr">
        <is>
          <t>3. This Month (Sep 2026)</t>
        </is>
      </c>
      <c r="C49" s="17" t="inlineStr">
        <is>
          <t>PR-1147</t>
        </is>
      </c>
      <c r="D49" s="17" t="inlineStr">
        <is>
          <t>Aroma Residency</t>
        </is>
      </c>
      <c r="E49" s="17" t="inlineStr">
        <is>
          <t>Flat</t>
        </is>
      </c>
      <c r="F49" s="17" t="inlineStr">
        <is>
          <t>Rent</t>
        </is>
      </c>
      <c r="G49" s="17" t="inlineStr">
        <is>
          <t>Available</t>
        </is>
      </c>
      <c r="H49" s="60" t="n">
        <v>35000</v>
      </c>
      <c r="I49" s="60" t="n">
        <v>70000</v>
      </c>
      <c r="J49" s="60" t="n">
        <v>1500</v>
      </c>
      <c r="K49" s="17" t="n">
        <v>3</v>
      </c>
      <c r="L49" s="17" t="inlineStr">
        <is>
          <t>-</t>
        </is>
      </c>
      <c r="M49" s="17" t="inlineStr">
        <is>
          <t>Vastrapur</t>
        </is>
      </c>
      <c r="N49" s="17" t="inlineStr">
        <is>
          <t>Ahmedabad</t>
        </is>
      </c>
      <c r="O49" s="17" t="inlineStr">
        <is>
          <t>Williams bhai</t>
        </is>
      </c>
      <c r="P49" s="17" t="inlineStr">
        <is>
          <t>7096040390</t>
        </is>
      </c>
      <c r="Q49" s="17" t="inlineStr">
        <is>
          <t>Rajan Purani</t>
        </is>
      </c>
      <c r="R49" s="17" t="inlineStr">
        <is>
          <t>-</t>
        </is>
      </c>
    </row>
    <row r="50" ht="20" customHeight="1">
      <c r="A50" s="57" t="n">
        <v>46283.64128780093</v>
      </c>
      <c r="B50" s="16" t="inlineStr">
        <is>
          <t>3. This Month (Sep 2026)</t>
        </is>
      </c>
      <c r="C50" s="14" t="inlineStr">
        <is>
          <t>PR-1146</t>
        </is>
      </c>
      <c r="D50" s="14" t="inlineStr">
        <is>
          <t>Basil Skyline, Vaishnodevi circle</t>
        </is>
      </c>
      <c r="E50" s="14" t="inlineStr">
        <is>
          <t>Office</t>
        </is>
      </c>
      <c r="F50" s="14" t="inlineStr">
        <is>
          <t>Rent</t>
        </is>
      </c>
      <c r="G50" s="14" t="inlineStr">
        <is>
          <t>Available</t>
        </is>
      </c>
      <c r="H50" s="59" t="n">
        <v>16000</v>
      </c>
      <c r="I50" s="59" t="n">
        <v>16000</v>
      </c>
      <c r="J50" s="59" t="n">
        <v>0</v>
      </c>
      <c r="K50" s="14" t="n">
        <v>3</v>
      </c>
      <c r="L50" s="14" t="n">
        <v>150</v>
      </c>
      <c r="M50" s="14" t="inlineStr">
        <is>
          <t>-</t>
        </is>
      </c>
      <c r="N50" s="14" t="inlineStr">
        <is>
          <t>Ahmedabad</t>
        </is>
      </c>
      <c r="O50" s="14" t="inlineStr">
        <is>
          <t>Priyal Bhatt</t>
        </is>
      </c>
      <c r="P50" s="14" t="inlineStr">
        <is>
          <t>9408280355</t>
        </is>
      </c>
      <c r="Q50" s="14" t="inlineStr">
        <is>
          <t>Daksh Jasoliya</t>
        </is>
      </c>
      <c r="R50" s="14" t="inlineStr">
        <is>
          <t>17,000 + tax and maintenance</t>
        </is>
      </c>
    </row>
    <row r="51" ht="20" customHeight="1">
      <c r="A51" s="58" t="n">
        <v>46283.61049158565</v>
      </c>
      <c r="B51" s="19" t="inlineStr">
        <is>
          <t>3. This Month (Sep 2026)</t>
        </is>
      </c>
      <c r="C51" s="17" t="inlineStr">
        <is>
          <t>PR-1145</t>
        </is>
      </c>
      <c r="D51" s="17" t="inlineStr">
        <is>
          <t>Swatrantra Senani Nagar</t>
        </is>
      </c>
      <c r="E51" s="17" t="inlineStr">
        <is>
          <t>Rowhouse/Tenament</t>
        </is>
      </c>
      <c r="F51" s="17" t="inlineStr">
        <is>
          <t>Rent</t>
        </is>
      </c>
      <c r="G51" s="17" t="inlineStr">
        <is>
          <t>Available</t>
        </is>
      </c>
      <c r="H51" s="60" t="n">
        <v>16000</v>
      </c>
      <c r="I51" s="60" t="n">
        <v>16000</v>
      </c>
      <c r="J51" s="60" t="n">
        <v>0</v>
      </c>
      <c r="K51" s="17" t="n">
        <v>1</v>
      </c>
      <c r="L51" s="17" t="n">
        <v>450</v>
      </c>
      <c r="M51" s="17" t="inlineStr">
        <is>
          <t>Akhbarnagar</t>
        </is>
      </c>
      <c r="N51" s="17" t="inlineStr">
        <is>
          <t>Ahmedabad</t>
        </is>
      </c>
      <c r="O51" s="17" t="inlineStr">
        <is>
          <t>Ghanshyam B Jethva</t>
        </is>
      </c>
      <c r="P51" s="17" t="inlineStr">
        <is>
          <t>9328112792</t>
        </is>
      </c>
      <c r="Q51" s="17" t="inlineStr">
        <is>
          <t>Daksh Jasoliya</t>
        </is>
      </c>
      <c r="R51" s="17" t="inlineStr">
        <is>
          <t>AC, lights, fans, basic accesories
Open terrace, open parking, for both family as well as 2 bach.</t>
        </is>
      </c>
    </row>
    <row r="52" ht="20" customHeight="1">
      <c r="A52" s="57" t="n">
        <v>46283.5910575</v>
      </c>
      <c r="B52" s="16" t="inlineStr">
        <is>
          <t>3. This Month (Sep 2026)</t>
        </is>
      </c>
      <c r="C52" s="14" t="inlineStr">
        <is>
          <t>PR-1144</t>
        </is>
      </c>
      <c r="D52" s="14" t="inlineStr">
        <is>
          <t>Shivay Signature Elena, Opp, CBD Mall, Zundal</t>
        </is>
      </c>
      <c r="E52" s="14" t="inlineStr">
        <is>
          <t>Flat</t>
        </is>
      </c>
      <c r="F52" s="14" t="inlineStr">
        <is>
          <t>Rent</t>
        </is>
      </c>
      <c r="G52" s="14" t="inlineStr">
        <is>
          <t>Available</t>
        </is>
      </c>
      <c r="H52" s="59" t="n">
        <v>23000</v>
      </c>
      <c r="I52" s="59" t="n">
        <v>23000</v>
      </c>
      <c r="J52" s="59" t="n">
        <v>0</v>
      </c>
      <c r="K52" s="14" t="n">
        <v>3</v>
      </c>
      <c r="L52" s="14" t="n">
        <v>922</v>
      </c>
      <c r="M52" s="14" t="inlineStr">
        <is>
          <t>-</t>
        </is>
      </c>
      <c r="N52" s="14" t="inlineStr">
        <is>
          <t>Ahmedabad</t>
        </is>
      </c>
      <c r="O52" s="14" t="inlineStr">
        <is>
          <t>Devang Parekh</t>
        </is>
      </c>
      <c r="P52" s="14" t="inlineStr">
        <is>
          <t>9978908306</t>
        </is>
      </c>
      <c r="Q52" s="14" t="inlineStr">
        <is>
          <t>Daksh Jasoliya</t>
        </is>
      </c>
      <c r="R52" s="14" t="inlineStr">
        <is>
          <t>Garden facing</t>
        </is>
      </c>
    </row>
    <row r="53" ht="20" customHeight="1">
      <c r="A53" s="58" t="n">
        <v>46283.57439059028</v>
      </c>
      <c r="B53" s="19" t="inlineStr">
        <is>
          <t>3. This Month (Sep 2026)</t>
        </is>
      </c>
      <c r="C53" s="17" t="inlineStr">
        <is>
          <t>PR-1143</t>
        </is>
      </c>
      <c r="D53" s="17" t="inlineStr">
        <is>
          <t>Narhari Colony, Kankariya</t>
        </is>
      </c>
      <c r="E53" s="17" t="inlineStr">
        <is>
          <t>Rowhouse/Tenament</t>
        </is>
      </c>
      <c r="F53" s="17" t="inlineStr">
        <is>
          <t>Rent</t>
        </is>
      </c>
      <c r="G53" s="17" t="inlineStr">
        <is>
          <t>Available</t>
        </is>
      </c>
      <c r="H53" s="60" t="n">
        <v>45000</v>
      </c>
      <c r="I53" s="60" t="n">
        <v>45000</v>
      </c>
      <c r="J53" s="60" t="n">
        <v>0</v>
      </c>
      <c r="K53" s="17" t="n">
        <v>4</v>
      </c>
      <c r="L53" s="17" t="n">
        <v>1115</v>
      </c>
      <c r="M53" s="17" t="inlineStr">
        <is>
          <t>-</t>
        </is>
      </c>
      <c r="N53" s="17" t="inlineStr">
        <is>
          <t>Ahmedabad</t>
        </is>
      </c>
      <c r="O53" s="17" t="inlineStr">
        <is>
          <t>Jay</t>
        </is>
      </c>
      <c r="P53" s="17" t="inlineStr">
        <is>
          <t>9157684624</t>
        </is>
      </c>
      <c r="Q53" s="17" t="inlineStr">
        <is>
          <t>Daksh Jasoliya</t>
        </is>
      </c>
      <c r="R53" s="17" t="inlineStr">
        <is>
          <t>No maintenance, 100 sq yard scape at house front, on ground floor, all facilities, wants 1 year of agreement</t>
        </is>
      </c>
    </row>
    <row r="54" ht="20" customHeight="1">
      <c r="A54" s="57" t="n">
        <v>46283.56529958333</v>
      </c>
      <c r="B54" s="16" t="inlineStr">
        <is>
          <t>3. This Month (Sep 2026)</t>
        </is>
      </c>
      <c r="C54" s="14" t="inlineStr">
        <is>
          <t>PR-1142</t>
        </is>
      </c>
      <c r="D54" s="14" t="inlineStr">
        <is>
          <t>Aambaag,near koba circle 382421</t>
        </is>
      </c>
      <c r="E54" s="14" t="inlineStr">
        <is>
          <t>Flat</t>
        </is>
      </c>
      <c r="F54" s="14" t="inlineStr">
        <is>
          <t>Rent</t>
        </is>
      </c>
      <c r="G54" s="14" t="inlineStr">
        <is>
          <t>Available</t>
        </is>
      </c>
      <c r="H54" s="59" t="n">
        <v>33000</v>
      </c>
      <c r="I54" s="59" t="n">
        <v>33000</v>
      </c>
      <c r="J54" s="59" t="n">
        <v>0</v>
      </c>
      <c r="K54" s="14" t="n">
        <v>4</v>
      </c>
      <c r="L54" s="14" t="n">
        <v>1575</v>
      </c>
      <c r="M54" s="14" t="inlineStr">
        <is>
          <t>-</t>
        </is>
      </c>
      <c r="N54" s="14" t="inlineStr">
        <is>
          <t>Ahmedabad</t>
        </is>
      </c>
      <c r="O54" s="14" t="inlineStr">
        <is>
          <t>Ashvin Patel</t>
        </is>
      </c>
      <c r="P54" s="14" t="inlineStr">
        <is>
          <t>9428514992</t>
        </is>
      </c>
      <c r="Q54" s="14" t="inlineStr">
        <is>
          <t>Daksh Jasoliya</t>
        </is>
      </c>
      <c r="R54" s="14" t="inlineStr">
        <is>
          <t>Modular Kitched, curtain, lights, fans, basic accessories
Electricity and gas bill from tenant side, good amenities such as gym, game zone etc..</t>
        </is>
      </c>
    </row>
    <row r="55" ht="20" customHeight="1">
      <c r="A55" s="58" t="n">
        <v>46283.53067240741</v>
      </c>
      <c r="B55" s="19" t="inlineStr">
        <is>
          <t>3. This Month (Sep 2026)</t>
        </is>
      </c>
      <c r="C55" s="17" t="inlineStr">
        <is>
          <t>PR-1141</t>
        </is>
      </c>
      <c r="D55" s="17" t="inlineStr">
        <is>
          <t>Radhe greenz 2 bunglows, k raheja road, gandhinagar</t>
        </is>
      </c>
      <c r="E55" s="17" t="inlineStr">
        <is>
          <t>Bungalow</t>
        </is>
      </c>
      <c r="F55" s="17" t="inlineStr">
        <is>
          <t>Rent</t>
        </is>
      </c>
      <c r="G55" s="17" t="inlineStr">
        <is>
          <t>Available</t>
        </is>
      </c>
      <c r="H55" s="60" t="n">
        <v>55000</v>
      </c>
      <c r="I55" s="60" t="n">
        <v>55000</v>
      </c>
      <c r="J55" s="60" t="n">
        <v>0</v>
      </c>
      <c r="K55" s="17" t="n">
        <v>4</v>
      </c>
      <c r="L55" s="17" t="n">
        <v>1125</v>
      </c>
      <c r="M55" s="17" t="inlineStr">
        <is>
          <t>-</t>
        </is>
      </c>
      <c r="N55" s="17" t="inlineStr">
        <is>
          <t>Ahmedabad</t>
        </is>
      </c>
      <c r="O55" s="17" t="inlineStr">
        <is>
          <t>Mukesh Patel</t>
        </is>
      </c>
      <c r="P55" s="17" t="inlineStr">
        <is>
          <t>9825063997</t>
        </is>
      </c>
      <c r="Q55" s="17" t="inlineStr">
        <is>
          <t>Daksh Jasoliya</t>
        </is>
      </c>
      <c r="R55" s="17" t="inlineStr">
        <is>
          <t>Separate garden provided</t>
        </is>
      </c>
    </row>
    <row r="56" ht="20" customHeight="1">
      <c r="A56" s="57" t="n">
        <v>46283.51807788194</v>
      </c>
      <c r="B56" s="16" t="inlineStr">
        <is>
          <t>3. This Month (Sep 2026)</t>
        </is>
      </c>
      <c r="C56" s="14" t="inlineStr">
        <is>
          <t>PR-1140</t>
        </is>
      </c>
      <c r="D56" s="14" t="inlineStr">
        <is>
          <t>Skyrise, Nr, Sanchi heights</t>
        </is>
      </c>
      <c r="E56" s="14" t="inlineStr">
        <is>
          <t>Flat</t>
        </is>
      </c>
      <c r="F56" s="14" t="inlineStr">
        <is>
          <t>Rent</t>
        </is>
      </c>
      <c r="G56" s="14" t="inlineStr">
        <is>
          <t>Rented Out</t>
        </is>
      </c>
      <c r="H56" s="59" t="n">
        <v>38000</v>
      </c>
      <c r="I56" s="59" t="n">
        <v>38000</v>
      </c>
      <c r="J56" s="59" t="n">
        <v>0</v>
      </c>
      <c r="K56" s="14" t="n">
        <v>3</v>
      </c>
      <c r="L56" s="14" t="n">
        <v>922</v>
      </c>
      <c r="M56" s="14" t="inlineStr">
        <is>
          <t>-</t>
        </is>
      </c>
      <c r="N56" s="14" t="inlineStr">
        <is>
          <t>Ahmedabad</t>
        </is>
      </c>
      <c r="O56" s="14" t="inlineStr">
        <is>
          <t>Kirit Patel</t>
        </is>
      </c>
      <c r="P56" s="14" t="inlineStr">
        <is>
          <t>9924026800</t>
        </is>
      </c>
      <c r="Q56" s="14" t="inlineStr">
        <is>
          <t>Daksh Jasoliya</t>
        </is>
      </c>
      <c r="R56" s="14" t="inlineStr">
        <is>
          <t>-</t>
        </is>
      </c>
    </row>
    <row r="57" ht="20" customHeight="1">
      <c r="A57" s="58" t="n">
        <v>46283.51366616898</v>
      </c>
      <c r="B57" s="19" t="inlineStr">
        <is>
          <t>3. This Month (Sep 2026)</t>
        </is>
      </c>
      <c r="C57" s="17" t="inlineStr">
        <is>
          <t>PR-1139</t>
        </is>
      </c>
      <c r="D57" s="17" t="inlineStr">
        <is>
          <t>Vida by neela spaces, gift city, Gandhinagar</t>
        </is>
      </c>
      <c r="E57" s="17" t="inlineStr">
        <is>
          <t>Flat</t>
        </is>
      </c>
      <c r="F57" s="17" t="inlineStr">
        <is>
          <t>Rent</t>
        </is>
      </c>
      <c r="G57" s="17" t="inlineStr">
        <is>
          <t>Available</t>
        </is>
      </c>
      <c r="H57" s="60" t="n">
        <v>48000</v>
      </c>
      <c r="I57" s="60" t="n">
        <v>48000</v>
      </c>
      <c r="J57" s="60" t="n">
        <v>0</v>
      </c>
      <c r="K57" s="17" t="n">
        <v>3</v>
      </c>
      <c r="L57" s="17" t="n">
        <v>1120</v>
      </c>
      <c r="M57" s="17" t="inlineStr">
        <is>
          <t>-</t>
        </is>
      </c>
      <c r="N57" s="17" t="inlineStr">
        <is>
          <t>Ahmedabad</t>
        </is>
      </c>
      <c r="O57" s="17" t="inlineStr">
        <is>
          <t>Milan Vaghela</t>
        </is>
      </c>
      <c r="P57" s="17" t="inlineStr">
        <is>
          <t>8511724035</t>
        </is>
      </c>
      <c r="Q57" s="17" t="inlineStr">
        <is>
          <t>Daksh Jasoliya</t>
        </is>
      </c>
      <c r="R57" s="17" t="inlineStr">
        <is>
          <t>Possession is next year in january 2027</t>
        </is>
      </c>
    </row>
    <row r="58" ht="20" customHeight="1">
      <c r="A58" s="57" t="n">
        <v>46283.44878871528</v>
      </c>
      <c r="B58" s="16" t="inlineStr">
        <is>
          <t>3. This Month (Sep 2026)</t>
        </is>
      </c>
      <c r="C58" s="14" t="inlineStr">
        <is>
          <t>PR-1138</t>
        </is>
      </c>
      <c r="D58" s="14" t="inlineStr">
        <is>
          <t>Sun Footprints</t>
        </is>
      </c>
      <c r="E58" s="14" t="inlineStr">
        <is>
          <t>Flat</t>
        </is>
      </c>
      <c r="F58" s="14" t="inlineStr">
        <is>
          <t>Rent</t>
        </is>
      </c>
      <c r="G58" s="14" t="inlineStr">
        <is>
          <t>Available</t>
        </is>
      </c>
      <c r="H58" s="59" t="n">
        <v>25000</v>
      </c>
      <c r="I58" s="59" t="n">
        <v>25000</v>
      </c>
      <c r="J58" s="59" t="n">
        <v>0</v>
      </c>
      <c r="K58" s="14" t="n">
        <v>2</v>
      </c>
      <c r="L58" s="14" t="n">
        <v>671</v>
      </c>
      <c r="M58" s="14" t="inlineStr">
        <is>
          <t>Shela</t>
        </is>
      </c>
      <c r="N58" s="14" t="inlineStr">
        <is>
          <t>Ahmedabad</t>
        </is>
      </c>
      <c r="O58" s="14" t="inlineStr">
        <is>
          <t>Dhaval Solanki</t>
        </is>
      </c>
      <c r="P58" s="14" t="inlineStr">
        <is>
          <t>7622989941</t>
        </is>
      </c>
      <c r="Q58" s="14" t="inlineStr">
        <is>
          <t>Prexa Vithalapara</t>
        </is>
      </c>
      <c r="R58" s="14" t="inlineStr">
        <is>
          <t>"Modular kitchen, Folding Dining, Safety Door,
Lights &amp; fans, 2 Geysers,
Another Basic Accessories"</t>
        </is>
      </c>
    </row>
    <row r="59" ht="20" customHeight="1">
      <c r="A59" s="58" t="n">
        <v>46282.72702335649</v>
      </c>
      <c r="B59" s="19" t="inlineStr">
        <is>
          <t>3. This Month (Sep 2026)</t>
        </is>
      </c>
      <c r="C59" s="17" t="inlineStr">
        <is>
          <t>PR-1137</t>
        </is>
      </c>
      <c r="D59" s="17" t="inlineStr">
        <is>
          <t>Goyal Mayfair</t>
        </is>
      </c>
      <c r="E59" s="17" t="inlineStr">
        <is>
          <t>Flat</t>
        </is>
      </c>
      <c r="F59" s="17" t="inlineStr">
        <is>
          <t>Rent</t>
        </is>
      </c>
      <c r="G59" s="17" t="inlineStr">
        <is>
          <t>Available</t>
        </is>
      </c>
      <c r="H59" s="60" t="n">
        <v>65000</v>
      </c>
      <c r="I59" s="60" t="n">
        <v>130000</v>
      </c>
      <c r="J59" s="60" t="n">
        <v>2000</v>
      </c>
      <c r="K59" s="17" t="n">
        <v>5</v>
      </c>
      <c r="L59" s="17" t="inlineStr">
        <is>
          <t>-</t>
        </is>
      </c>
      <c r="M59" s="17" t="inlineStr">
        <is>
          <t>Shyamal</t>
        </is>
      </c>
      <c r="N59" s="17" t="inlineStr">
        <is>
          <t>Ahmedabad</t>
        </is>
      </c>
      <c r="O59" s="17" t="inlineStr">
        <is>
          <t>Vidhan bahi</t>
        </is>
      </c>
      <c r="P59" s="17" t="inlineStr">
        <is>
          <t>9898779777</t>
        </is>
      </c>
      <c r="Q59" s="17" t="inlineStr">
        <is>
          <t>Rajan Purani</t>
        </is>
      </c>
      <c r="R59" s="17" t="inlineStr">
        <is>
          <t>-</t>
        </is>
      </c>
    </row>
    <row r="60" ht="20" customHeight="1">
      <c r="A60" s="57" t="n">
        <v>46282.69881336806</v>
      </c>
      <c r="B60" s="16" t="inlineStr">
        <is>
          <t>3. This Month (Sep 2026)</t>
        </is>
      </c>
      <c r="C60" s="14" t="inlineStr">
        <is>
          <t>PR-1136</t>
        </is>
      </c>
      <c r="D60" s="14" t="inlineStr">
        <is>
          <t>Goyal mayfair</t>
        </is>
      </c>
      <c r="E60" s="14" t="inlineStr">
        <is>
          <t>Flat</t>
        </is>
      </c>
      <c r="F60" s="14" t="inlineStr">
        <is>
          <t>Rent</t>
        </is>
      </c>
      <c r="G60" s="14" t="inlineStr">
        <is>
          <t>Available</t>
        </is>
      </c>
      <c r="H60" s="59" t="n">
        <v>65000</v>
      </c>
      <c r="I60" s="59" t="n">
        <v>130000</v>
      </c>
      <c r="J60" s="59" t="n">
        <v>0</v>
      </c>
      <c r="K60" s="14" t="n">
        <v>5</v>
      </c>
      <c r="L60" s="14" t="n">
        <v>1890</v>
      </c>
      <c r="M60" s="14" t="inlineStr">
        <is>
          <t>Shyamal</t>
        </is>
      </c>
      <c r="N60" s="14" t="inlineStr">
        <is>
          <t>Ahmedabad</t>
        </is>
      </c>
      <c r="O60" s="14" t="inlineStr">
        <is>
          <t>Rajan purani</t>
        </is>
      </c>
      <c r="P60" s="14" t="inlineStr">
        <is>
          <t>8200659030</t>
        </is>
      </c>
      <c r="Q60" s="14" t="inlineStr">
        <is>
          <t>Daksh Jasoliya</t>
        </is>
      </c>
      <c r="R60" s="14" t="inlineStr">
        <is>
          <t>PG system not allowed 
Bachelors not allowed</t>
        </is>
      </c>
    </row>
    <row r="61" ht="20" customHeight="1">
      <c r="A61" s="58" t="n">
        <v>46279.53592913195</v>
      </c>
      <c r="B61" s="19" t="inlineStr">
        <is>
          <t>3. This Month (Sep 2026)</t>
        </is>
      </c>
      <c r="C61" s="17" t="inlineStr">
        <is>
          <t>PR-1135</t>
        </is>
      </c>
      <c r="D61" s="17" t="inlineStr">
        <is>
          <t>saral privesh</t>
        </is>
      </c>
      <c r="E61" s="17" t="inlineStr">
        <is>
          <t>Flat</t>
        </is>
      </c>
      <c r="F61" s="17" t="inlineStr">
        <is>
          <t>Rent</t>
        </is>
      </c>
      <c r="G61" s="17" t="inlineStr">
        <is>
          <t>Available</t>
        </is>
      </c>
      <c r="H61" s="60" t="n">
        <v>16500</v>
      </c>
      <c r="I61" s="60" t="n">
        <v>33000</v>
      </c>
      <c r="J61" s="60" t="n">
        <v>0</v>
      </c>
      <c r="K61" s="17" t="n">
        <v>2</v>
      </c>
      <c r="L61" s="17" t="inlineStr">
        <is>
          <t>-</t>
        </is>
      </c>
      <c r="M61" s="17" t="inlineStr">
        <is>
          <t>Chandkheda</t>
        </is>
      </c>
      <c r="N61" s="17" t="inlineStr">
        <is>
          <t>Ahmedabad</t>
        </is>
      </c>
      <c r="O61" s="17" t="inlineStr">
        <is>
          <t>Jagdish meen</t>
        </is>
      </c>
      <c r="P61" s="17" t="inlineStr">
        <is>
          <t>9724176176</t>
        </is>
      </c>
      <c r="Q61" s="17" t="inlineStr">
        <is>
          <t>Rakesh Jadav</t>
        </is>
      </c>
      <c r="R61" s="17" t="inlineStr">
        <is>
          <t>-</t>
        </is>
      </c>
    </row>
    <row r="62" ht="20" customHeight="1">
      <c r="A62" s="57" t="n">
        <v>46278.97036716435</v>
      </c>
      <c r="B62" s="16" t="inlineStr">
        <is>
          <t>3. This Month (Sep 2026)</t>
        </is>
      </c>
      <c r="C62" s="14" t="inlineStr">
        <is>
          <t>PR-1134</t>
        </is>
      </c>
      <c r="D62" s="14" t="inlineStr">
        <is>
          <t>Singapore</t>
        </is>
      </c>
      <c r="E62" s="14" t="inlineStr">
        <is>
          <t>Flat</t>
        </is>
      </c>
      <c r="F62" s="14" t="inlineStr">
        <is>
          <t>Rent</t>
        </is>
      </c>
      <c r="G62" s="14" t="inlineStr">
        <is>
          <t>Available</t>
        </is>
      </c>
      <c r="H62" s="59" t="n">
        <v>15000</v>
      </c>
      <c r="I62" s="59" t="n">
        <v>30000</v>
      </c>
      <c r="J62" s="59" t="n">
        <v>0</v>
      </c>
      <c r="K62" s="14" t="n">
        <v>3</v>
      </c>
      <c r="L62" s="14" t="n">
        <v>13256</v>
      </c>
      <c r="M62" s="14" t="inlineStr">
        <is>
          <t>Ambawadi (Ahmedabad)</t>
        </is>
      </c>
      <c r="N62" s="14" t="inlineStr">
        <is>
          <t>Ahmedabad</t>
        </is>
      </c>
      <c r="O62" s="14" t="inlineStr">
        <is>
          <t>segsgdfg</t>
        </is>
      </c>
      <c r="P62" s="14" t="inlineStr">
        <is>
          <t>1946758683</t>
        </is>
      </c>
      <c r="Q62" s="14" t="inlineStr">
        <is>
          <t>Propkart Admin</t>
        </is>
      </c>
      <c r="R62" s="14" t="inlineStr">
        <is>
          <t>cscscac</t>
        </is>
      </c>
    </row>
    <row r="63" ht="20" customHeight="1">
      <c r="A63" s="58" t="n">
        <v>46276.63557518519</v>
      </c>
      <c r="B63" s="19" t="inlineStr">
        <is>
          <t>3. This Month (Sep 2026)</t>
        </is>
      </c>
      <c r="C63" s="17" t="inlineStr">
        <is>
          <t>PR-1133</t>
        </is>
      </c>
      <c r="D63" s="17" t="inlineStr">
        <is>
          <t>Neminath Krupa Soceity</t>
        </is>
      </c>
      <c r="E63" s="17" t="inlineStr">
        <is>
          <t>Flat</t>
        </is>
      </c>
      <c r="F63" s="17" t="inlineStr">
        <is>
          <t>Rent</t>
        </is>
      </c>
      <c r="G63" s="17" t="inlineStr">
        <is>
          <t>Available</t>
        </is>
      </c>
      <c r="H63" s="60" t="n">
        <v>25000</v>
      </c>
      <c r="I63" s="60" t="n">
        <v>25000</v>
      </c>
      <c r="J63" s="60" t="n">
        <v>0</v>
      </c>
      <c r="K63" s="17" t="n">
        <v>2</v>
      </c>
      <c r="L63" s="17" t="n">
        <v>500</v>
      </c>
      <c r="M63" s="17" t="inlineStr">
        <is>
          <t>Memnagar</t>
        </is>
      </c>
      <c r="N63" s="17" t="inlineStr">
        <is>
          <t>Ahmedabad</t>
        </is>
      </c>
      <c r="O63" s="17" t="inlineStr">
        <is>
          <t>Saudamini Kapasi</t>
        </is>
      </c>
      <c r="P63" s="17" t="inlineStr">
        <is>
          <t>6355275700</t>
        </is>
      </c>
      <c r="Q63" s="17" t="inlineStr">
        <is>
          <t>Propkart Admin</t>
        </is>
      </c>
      <c r="R63" s="17" t="inlineStr">
        <is>
          <t>-</t>
        </is>
      </c>
    </row>
    <row r="64" ht="20" customHeight="1">
      <c r="A64" s="57" t="n">
        <v>46276.62367173611</v>
      </c>
      <c r="B64" s="16" t="inlineStr">
        <is>
          <t>3. This Month (Sep 2026)</t>
        </is>
      </c>
      <c r="C64" s="14" t="inlineStr">
        <is>
          <t>PR-1132</t>
        </is>
      </c>
      <c r="D64" s="14" t="inlineStr">
        <is>
          <t>Signor Skyline</t>
        </is>
      </c>
      <c r="E64" s="14" t="inlineStr">
        <is>
          <t>Flat</t>
        </is>
      </c>
      <c r="F64" s="14" t="inlineStr">
        <is>
          <t>Rent</t>
        </is>
      </c>
      <c r="G64" s="14" t="inlineStr">
        <is>
          <t>Available</t>
        </is>
      </c>
      <c r="H64" s="59" t="n">
        <v>25000</v>
      </c>
      <c r="I64" s="59" t="n">
        <v>25000</v>
      </c>
      <c r="J64" s="59" t="n">
        <v>0</v>
      </c>
      <c r="K64" s="14" t="n">
        <v>3</v>
      </c>
      <c r="L64" s="14" t="n">
        <v>922</v>
      </c>
      <c r="M64" s="14" t="inlineStr">
        <is>
          <t>Tragad</t>
        </is>
      </c>
      <c r="N64" s="14" t="inlineStr">
        <is>
          <t>Ahmedabad</t>
        </is>
      </c>
      <c r="O64" s="14" t="inlineStr">
        <is>
          <t>Prakash Dulera</t>
        </is>
      </c>
      <c r="P64" s="14" t="inlineStr">
        <is>
          <t>7984420730</t>
        </is>
      </c>
      <c r="Q64" s="14" t="inlineStr">
        <is>
          <t>Propkart Admin</t>
        </is>
      </c>
      <c r="R64" s="14" t="inlineStr">
        <is>
          <t>-</t>
        </is>
      </c>
    </row>
    <row r="65" ht="20" customHeight="1">
      <c r="A65" s="58" t="n">
        <v>46276.60130471065</v>
      </c>
      <c r="B65" s="19" t="inlineStr">
        <is>
          <t>3. This Month (Sep 2026)</t>
        </is>
      </c>
      <c r="C65" s="17" t="inlineStr">
        <is>
          <t>PR-1131</t>
        </is>
      </c>
      <c r="D65" s="17" t="inlineStr">
        <is>
          <t>Shivanta rigel</t>
        </is>
      </c>
      <c r="E65" s="17" t="inlineStr">
        <is>
          <t>Flat</t>
        </is>
      </c>
      <c r="F65" s="17" t="inlineStr">
        <is>
          <t>Rent</t>
        </is>
      </c>
      <c r="G65" s="17" t="inlineStr">
        <is>
          <t>Available</t>
        </is>
      </c>
      <c r="H65" s="60" t="n">
        <v>23000</v>
      </c>
      <c r="I65" s="60" t="n">
        <v>23000</v>
      </c>
      <c r="J65" s="60" t="n">
        <v>0</v>
      </c>
      <c r="K65" s="17" t="n">
        <v>3</v>
      </c>
      <c r="L65" s="17" t="n">
        <v>877</v>
      </c>
      <c r="M65" s="17" t="inlineStr">
        <is>
          <t>Vaishnodevi</t>
        </is>
      </c>
      <c r="N65" s="17" t="inlineStr">
        <is>
          <t>Ahmedabad</t>
        </is>
      </c>
      <c r="O65" s="17" t="inlineStr">
        <is>
          <t>Naresh Thakkar</t>
        </is>
      </c>
      <c r="P65" s="17" t="inlineStr">
        <is>
          <t>9427645123</t>
        </is>
      </c>
      <c r="Q65" s="17" t="inlineStr">
        <is>
          <t>Propkart Admin</t>
        </is>
      </c>
      <c r="R65" s="17" t="inlineStr">
        <is>
          <t>-</t>
        </is>
      </c>
    </row>
    <row r="66" ht="20" customHeight="1">
      <c r="A66" s="57" t="n">
        <v>46276.59548197917</v>
      </c>
      <c r="B66" s="16" t="inlineStr">
        <is>
          <t>3. This Month (Sep 2026)</t>
        </is>
      </c>
      <c r="C66" s="14" t="inlineStr">
        <is>
          <t>PR-1130</t>
        </is>
      </c>
      <c r="D66" s="14" t="inlineStr">
        <is>
          <t>Aristo Anandam</t>
        </is>
      </c>
      <c r="E66" s="14" t="inlineStr">
        <is>
          <t>Flat</t>
        </is>
      </c>
      <c r="F66" s="14" t="inlineStr">
        <is>
          <t>Rent</t>
        </is>
      </c>
      <c r="G66" s="14" t="inlineStr">
        <is>
          <t>Available</t>
        </is>
      </c>
      <c r="H66" s="59" t="n">
        <v>55000</v>
      </c>
      <c r="I66" s="59" t="n">
        <v>55000</v>
      </c>
      <c r="J66" s="59" t="n">
        <v>0</v>
      </c>
      <c r="K66" s="14" t="n">
        <v>2</v>
      </c>
      <c r="L66" s="14" t="n">
        <v>625</v>
      </c>
      <c r="M66" s="14" t="inlineStr">
        <is>
          <t>Tragad</t>
        </is>
      </c>
      <c r="N66" s="14" t="inlineStr">
        <is>
          <t>Ahmedabad</t>
        </is>
      </c>
      <c r="O66" s="14" t="inlineStr">
        <is>
          <t>Krishna Vitthalani</t>
        </is>
      </c>
      <c r="P66" s="14" t="inlineStr">
        <is>
          <t>9376607294</t>
        </is>
      </c>
      <c r="Q66" s="14" t="inlineStr">
        <is>
          <t>Propkart Admin</t>
        </is>
      </c>
      <c r="R66" s="14" t="inlineStr">
        <is>
          <t>-</t>
        </is>
      </c>
    </row>
    <row r="67" ht="20" customHeight="1">
      <c r="A67" s="58" t="n">
        <v>46275.7902925463</v>
      </c>
      <c r="B67" s="19" t="inlineStr">
        <is>
          <t>3. This Month (Sep 2026)</t>
        </is>
      </c>
      <c r="C67" s="17" t="inlineStr">
        <is>
          <t>PR-1129</t>
        </is>
      </c>
      <c r="D67" s="17" t="inlineStr">
        <is>
          <t>akash reccidency</t>
        </is>
      </c>
      <c r="E67" s="17" t="inlineStr">
        <is>
          <t>Flat</t>
        </is>
      </c>
      <c r="F67" s="17" t="inlineStr">
        <is>
          <t>Rent</t>
        </is>
      </c>
      <c r="G67" s="17" t="inlineStr">
        <is>
          <t>Available</t>
        </is>
      </c>
      <c r="H67" s="60" t="n">
        <v>21000</v>
      </c>
      <c r="I67" s="60" t="n">
        <v>42000</v>
      </c>
      <c r="J67" s="60" t="n">
        <v>0</v>
      </c>
      <c r="K67" s="17" t="n">
        <v>2</v>
      </c>
      <c r="L67" s="17" t="inlineStr">
        <is>
          <t>-</t>
        </is>
      </c>
      <c r="M67" s="17" t="inlineStr">
        <is>
          <t>Shela</t>
        </is>
      </c>
      <c r="N67" s="17" t="inlineStr">
        <is>
          <t>Ahmedabad</t>
        </is>
      </c>
      <c r="O67" s="17" t="inlineStr">
        <is>
          <t>SMITA MAM</t>
        </is>
      </c>
      <c r="P67" s="17" t="inlineStr">
        <is>
          <t>9978937501</t>
        </is>
      </c>
      <c r="Q67" s="17" t="inlineStr">
        <is>
          <t>Rakesh Jadav</t>
        </is>
      </c>
      <c r="R67" s="17" t="inlineStr">
        <is>
          <t>-</t>
        </is>
      </c>
    </row>
    <row r="68" ht="20" customHeight="1">
      <c r="A68" s="57" t="n">
        <v>46275.69539724537</v>
      </c>
      <c r="B68" s="16" t="inlineStr">
        <is>
          <t>3. This Month (Sep 2026)</t>
        </is>
      </c>
      <c r="C68" s="14" t="inlineStr">
        <is>
          <t>PR-1128</t>
        </is>
      </c>
      <c r="D68" s="14" t="inlineStr">
        <is>
          <t>Nirgun rise</t>
        </is>
      </c>
      <c r="E68" s="14" t="inlineStr">
        <is>
          <t>Flat</t>
        </is>
      </c>
      <c r="F68" s="14" t="inlineStr">
        <is>
          <t>Rent</t>
        </is>
      </c>
      <c r="G68" s="14" t="inlineStr">
        <is>
          <t>Available</t>
        </is>
      </c>
      <c r="H68" s="59" t="n">
        <v>28000</v>
      </c>
      <c r="I68" s="59" t="n">
        <v>28000</v>
      </c>
      <c r="J68" s="59" t="n">
        <v>0</v>
      </c>
      <c r="K68" s="14" t="n">
        <v>3</v>
      </c>
      <c r="L68" s="14" t="n">
        <v>1650</v>
      </c>
      <c r="M68" s="14" t="inlineStr">
        <is>
          <t>Shilaj</t>
        </is>
      </c>
      <c r="N68" s="14" t="inlineStr">
        <is>
          <t>Ahmedabad</t>
        </is>
      </c>
      <c r="O68" s="14" t="inlineStr">
        <is>
          <t>Mahesh Jesani</t>
        </is>
      </c>
      <c r="P68" s="14" t="inlineStr">
        <is>
          <t>9904958998</t>
        </is>
      </c>
      <c r="Q68" s="14" t="inlineStr">
        <is>
          <t>Propkart Admin</t>
        </is>
      </c>
      <c r="R68" s="14" t="inlineStr">
        <is>
          <t>-</t>
        </is>
      </c>
    </row>
    <row r="69" ht="20" customHeight="1">
      <c r="A69" s="58" t="n">
        <v>46275.61529013889</v>
      </c>
      <c r="B69" s="19" t="inlineStr">
        <is>
          <t>3. This Month (Sep 2026)</t>
        </is>
      </c>
      <c r="C69" s="17" t="inlineStr">
        <is>
          <t>PR-1127</t>
        </is>
      </c>
      <c r="D69" s="17" t="inlineStr">
        <is>
          <t>Harmoni harikesh</t>
        </is>
      </c>
      <c r="E69" s="17" t="inlineStr">
        <is>
          <t>Flat</t>
        </is>
      </c>
      <c r="F69" s="17" t="inlineStr">
        <is>
          <t>Rent</t>
        </is>
      </c>
      <c r="G69" s="17" t="inlineStr">
        <is>
          <t>Available</t>
        </is>
      </c>
      <c r="H69" s="60" t="n">
        <v>35000</v>
      </c>
      <c r="I69" s="60" t="n">
        <v>105000</v>
      </c>
      <c r="J69" s="60" t="n">
        <v>3000</v>
      </c>
      <c r="K69" s="17" t="n">
        <v>3</v>
      </c>
      <c r="L69" s="17" t="n">
        <v>3000</v>
      </c>
      <c r="M69" s="17" t="inlineStr">
        <is>
          <t>Ambawadi (Ahmedabad)</t>
        </is>
      </c>
      <c r="N69" s="17" t="inlineStr">
        <is>
          <t>Ahmedabad</t>
        </is>
      </c>
      <c r="O69" s="17" t="inlineStr">
        <is>
          <t>Akhil Prajapati</t>
        </is>
      </c>
      <c r="P69" s="17" t="inlineStr">
        <is>
          <t>8765432190</t>
        </is>
      </c>
      <c r="Q69" s="17" t="inlineStr">
        <is>
          <t>Propkart Admin</t>
        </is>
      </c>
      <c r="R69" s="17" t="inlineStr">
        <is>
          <t>....</t>
        </is>
      </c>
    </row>
    <row r="70" ht="20" customHeight="1">
      <c r="A70" s="57" t="n">
        <v>46274.78870325231</v>
      </c>
      <c r="B70" s="16" t="inlineStr">
        <is>
          <t>3. This Month (Sep 2026)</t>
        </is>
      </c>
      <c r="C70" s="14" t="inlineStr">
        <is>
          <t>PR-1126</t>
        </is>
      </c>
      <c r="D70" s="14" t="inlineStr">
        <is>
          <t>Devsshi fatania</t>
        </is>
      </c>
      <c r="E70" s="14" t="inlineStr">
        <is>
          <t>Flat</t>
        </is>
      </c>
      <c r="F70" s="14" t="inlineStr">
        <is>
          <t>Rent</t>
        </is>
      </c>
      <c r="G70" s="14" t="inlineStr">
        <is>
          <t>Available</t>
        </is>
      </c>
      <c r="H70" s="59" t="n">
        <v>27000</v>
      </c>
      <c r="I70" s="59" t="n">
        <v>54000</v>
      </c>
      <c r="J70" s="59" t="n">
        <v>0</v>
      </c>
      <c r="K70" s="14" t="n">
        <v>2</v>
      </c>
      <c r="L70" s="14" t="inlineStr">
        <is>
          <t>-</t>
        </is>
      </c>
      <c r="M70" s="14" t="inlineStr">
        <is>
          <t>Ambawadi (Ahmedabad)</t>
        </is>
      </c>
      <c r="N70" s="14" t="inlineStr">
        <is>
          <t>Ahmedabad</t>
        </is>
      </c>
      <c r="O70" s="14" t="inlineStr">
        <is>
          <t>Devshi bhai</t>
        </is>
      </c>
      <c r="P70" s="14" t="inlineStr">
        <is>
          <t>9265488925</t>
        </is>
      </c>
      <c r="Q70" s="14" t="inlineStr">
        <is>
          <t>Rakesh Jadav</t>
        </is>
      </c>
      <c r="R70" s="14" t="inlineStr">
        <is>
          <t>-</t>
        </is>
      </c>
    </row>
    <row r="71" ht="20" customHeight="1">
      <c r="A71" s="58" t="n">
        <v>46274.63484146991</v>
      </c>
      <c r="B71" s="19" t="inlineStr">
        <is>
          <t>3. This Month (Sep 2026)</t>
        </is>
      </c>
      <c r="C71" s="17" t="inlineStr">
        <is>
          <t>PR-1125</t>
        </is>
      </c>
      <c r="D71" s="17" t="inlineStr">
        <is>
          <t>Panache</t>
        </is>
      </c>
      <c r="E71" s="17" t="inlineStr">
        <is>
          <t>Flat</t>
        </is>
      </c>
      <c r="F71" s="17" t="inlineStr">
        <is>
          <t>Rent</t>
        </is>
      </c>
      <c r="G71" s="17" t="inlineStr">
        <is>
          <t>Available</t>
        </is>
      </c>
      <c r="H71" s="60" t="n">
        <v>90000</v>
      </c>
      <c r="I71" s="60" t="n">
        <v>180000</v>
      </c>
      <c r="J71" s="60" t="n">
        <v>0</v>
      </c>
      <c r="K71" s="17" t="n">
        <v>4</v>
      </c>
      <c r="L71" s="17" t="inlineStr">
        <is>
          <t>-</t>
        </is>
      </c>
      <c r="M71" s="17" t="inlineStr">
        <is>
          <t>Vaishnodevi</t>
        </is>
      </c>
      <c r="N71" s="17" t="inlineStr">
        <is>
          <t>Ahmedabad</t>
        </is>
      </c>
      <c r="O71" s="17" t="inlineStr">
        <is>
          <t>Badresh Shah</t>
        </is>
      </c>
      <c r="P71" s="17" t="inlineStr">
        <is>
          <t>9824430208</t>
        </is>
      </c>
      <c r="Q71" s="17" t="inlineStr">
        <is>
          <t>Propkart Admin</t>
        </is>
      </c>
      <c r="R71" s="17" t="inlineStr">
        <is>
          <t>-</t>
        </is>
      </c>
    </row>
    <row r="72" ht="20" customHeight="1">
      <c r="A72" s="57" t="n">
        <v>46274.5374459375</v>
      </c>
      <c r="B72" s="16" t="inlineStr">
        <is>
          <t>3. This Month (Sep 2026)</t>
        </is>
      </c>
      <c r="C72" s="14" t="inlineStr">
        <is>
          <t>PR-1124</t>
        </is>
      </c>
      <c r="D72" s="14" t="inlineStr">
        <is>
          <t>nirgune rise</t>
        </is>
      </c>
      <c r="E72" s="14" t="inlineStr">
        <is>
          <t>Flat</t>
        </is>
      </c>
      <c r="F72" s="14" t="inlineStr">
        <is>
          <t>Rent</t>
        </is>
      </c>
      <c r="G72" s="14" t="inlineStr">
        <is>
          <t>Available</t>
        </is>
      </c>
      <c r="H72" s="59" t="n">
        <v>28000</v>
      </c>
      <c r="I72" s="59" t="n">
        <v>56000</v>
      </c>
      <c r="J72" s="59" t="n">
        <v>0</v>
      </c>
      <c r="K72" s="14" t="n">
        <v>3</v>
      </c>
      <c r="L72" s="14" t="n">
        <v>769</v>
      </c>
      <c r="M72" s="14" t="inlineStr">
        <is>
          <t>Shilaj</t>
        </is>
      </c>
      <c r="N72" s="14" t="inlineStr">
        <is>
          <t>Ahmedabad</t>
        </is>
      </c>
      <c r="O72" s="14" t="inlineStr">
        <is>
          <t>mahesh jagani</t>
        </is>
      </c>
      <c r="P72" s="14" t="inlineStr">
        <is>
          <t>-</t>
        </is>
      </c>
      <c r="Q72" s="14" t="inlineStr">
        <is>
          <t>Rakesh Jadav</t>
        </is>
      </c>
      <c r="R72" s="14" t="inlineStr">
        <is>
          <t>-</t>
        </is>
      </c>
    </row>
    <row r="73" ht="20" customHeight="1">
      <c r="A73" s="58" t="n">
        <v>46273.59101836805</v>
      </c>
      <c r="B73" s="19" t="inlineStr">
        <is>
          <t>3. This Month (Sep 2026)</t>
        </is>
      </c>
      <c r="C73" s="17" t="inlineStr">
        <is>
          <t>PR-1123</t>
        </is>
      </c>
      <c r="D73" s="17" t="inlineStr">
        <is>
          <t>testing properties only test purpose</t>
        </is>
      </c>
      <c r="E73" s="17" t="inlineStr">
        <is>
          <t>Flat</t>
        </is>
      </c>
      <c r="F73" s="17" t="inlineStr">
        <is>
          <t>Rent</t>
        </is>
      </c>
      <c r="G73" s="17" t="inlineStr">
        <is>
          <t>Available</t>
        </is>
      </c>
      <c r="H73" s="60" t="n">
        <v>35000</v>
      </c>
      <c r="I73" s="60" t="n">
        <v>70000</v>
      </c>
      <c r="J73" s="60" t="n">
        <v>3000</v>
      </c>
      <c r="K73" s="17" t="n">
        <v>2</v>
      </c>
      <c r="L73" s="17" t="n">
        <v>3245</v>
      </c>
      <c r="M73" s="17" t="inlineStr">
        <is>
          <t>Science city</t>
        </is>
      </c>
      <c r="N73" s="17" t="inlineStr">
        <is>
          <t>Ahmedabad</t>
        </is>
      </c>
      <c r="O73" s="17" t="inlineStr">
        <is>
          <t>Major Iqbal</t>
        </is>
      </c>
      <c r="P73" s="17" t="inlineStr">
        <is>
          <t>1986532740</t>
        </is>
      </c>
      <c r="Q73" s="17" t="inlineStr">
        <is>
          <t>Propkart Admin</t>
        </is>
      </c>
      <c r="R73" s="17" t="inlineStr">
        <is>
          <t>ewgbdsbckdsbckdbskjbcds
DCONDWKJCNWDKL
MCKJNDSKJCNSDKDSCDSCDS SVDSV CDCC GBGFRB BBV fbdfv</t>
        </is>
      </c>
    </row>
    <row r="74" ht="20" customHeight="1">
      <c r="A74" s="57" t="n">
        <v>46272.52349710648</v>
      </c>
      <c r="B74" s="16" t="inlineStr">
        <is>
          <t>3. This Month (Sep 2026)</t>
        </is>
      </c>
      <c r="C74" s="14" t="inlineStr">
        <is>
          <t>PR-1122</t>
        </is>
      </c>
      <c r="D74" s="14" t="inlineStr">
        <is>
          <t>31 five zavery realty</t>
        </is>
      </c>
      <c r="E74" s="14" t="inlineStr">
        <is>
          <t>Office</t>
        </is>
      </c>
      <c r="F74" s="14" t="inlineStr">
        <is>
          <t>Rent</t>
        </is>
      </c>
      <c r="G74" s="14" t="inlineStr">
        <is>
          <t>Available</t>
        </is>
      </c>
      <c r="H74" s="59" t="n">
        <v>33000</v>
      </c>
      <c r="I74" s="59" t="n">
        <v>66000</v>
      </c>
      <c r="J74" s="59" t="n">
        <v>0</v>
      </c>
      <c r="K74" s="14" t="n">
        <v>1</v>
      </c>
      <c r="L74" s="14" t="inlineStr">
        <is>
          <t>-</t>
        </is>
      </c>
      <c r="M74" s="14" t="inlineStr">
        <is>
          <t>Prahladnagar</t>
        </is>
      </c>
      <c r="N74" s="14" t="inlineStr">
        <is>
          <t>Ahmedabad</t>
        </is>
      </c>
      <c r="O74" s="14" t="inlineStr">
        <is>
          <t>Atul Bhatt</t>
        </is>
      </c>
      <c r="P74" s="14" t="inlineStr">
        <is>
          <t>9372061162</t>
        </is>
      </c>
      <c r="Q74" s="14" t="inlineStr">
        <is>
          <t>Rajan Purani</t>
        </is>
      </c>
      <c r="R74" s="14" t="inlineStr">
        <is>
          <t>-</t>
        </is>
      </c>
    </row>
    <row r="75" ht="20" customHeight="1">
      <c r="A75" s="58" t="n">
        <v>46272.50758398148</v>
      </c>
      <c r="B75" s="19" t="inlineStr">
        <is>
          <t>3. This Month (Sep 2026)</t>
        </is>
      </c>
      <c r="C75" s="17" t="inlineStr">
        <is>
          <t>PR-1121</t>
        </is>
      </c>
      <c r="D75" s="17" t="inlineStr">
        <is>
          <t>Parshwa Towers</t>
        </is>
      </c>
      <c r="E75" s="17" t="inlineStr">
        <is>
          <t>Office</t>
        </is>
      </c>
      <c r="F75" s="17" t="inlineStr">
        <is>
          <t>Rent</t>
        </is>
      </c>
      <c r="G75" s="17" t="inlineStr">
        <is>
          <t>Available</t>
        </is>
      </c>
      <c r="H75" s="60" t="n">
        <v>45000</v>
      </c>
      <c r="I75" s="60" t="n">
        <v>45000</v>
      </c>
      <c r="J75" s="60" t="n">
        <v>0</v>
      </c>
      <c r="K75" s="17" t="n">
        <v>1</v>
      </c>
      <c r="L75" s="17" t="n">
        <v>1800</v>
      </c>
      <c r="M75" s="17" t="inlineStr">
        <is>
          <t>Bodakdev</t>
        </is>
      </c>
      <c r="N75" s="17" t="inlineStr">
        <is>
          <t>Ahmedabad</t>
        </is>
      </c>
      <c r="O75" s="17" t="inlineStr">
        <is>
          <t>Darshan</t>
        </is>
      </c>
      <c r="P75" s="17" t="inlineStr">
        <is>
          <t>9979786654</t>
        </is>
      </c>
      <c r="Q75" s="17" t="inlineStr">
        <is>
          <t>Propkart Admin</t>
        </is>
      </c>
      <c r="R75" s="17" t="inlineStr">
        <is>
          <t>"1 Boss cabin
2 cubicle 
10 to 15 work station
Pantry"</t>
        </is>
      </c>
    </row>
    <row r="76" ht="20" customHeight="1">
      <c r="A76" s="57" t="n">
        <v>46269.67432423611</v>
      </c>
      <c r="B76" s="16" t="inlineStr">
        <is>
          <t>3. This Month (Sep 2026)</t>
        </is>
      </c>
      <c r="C76" s="14" t="inlineStr">
        <is>
          <t>PR-1120</t>
        </is>
      </c>
      <c r="D76" s="14" t="inlineStr">
        <is>
          <t>festival o2</t>
        </is>
      </c>
      <c r="E76" s="14" t="inlineStr">
        <is>
          <t>Flat</t>
        </is>
      </c>
      <c r="F76" s="14" t="inlineStr">
        <is>
          <t>Rent</t>
        </is>
      </c>
      <c r="G76" s="14" t="inlineStr">
        <is>
          <t>Rented Out</t>
        </is>
      </c>
      <c r="H76" s="59" t="n">
        <v>26000</v>
      </c>
      <c r="I76" s="59" t="n">
        <v>52000</v>
      </c>
      <c r="J76" s="59" t="n">
        <v>3000</v>
      </c>
      <c r="K76" s="14" t="n">
        <v>3</v>
      </c>
      <c r="L76" s="14" t="inlineStr">
        <is>
          <t>-</t>
        </is>
      </c>
      <c r="M76" s="14" t="inlineStr">
        <is>
          <t>Gota</t>
        </is>
      </c>
      <c r="N76" s="14" t="inlineStr">
        <is>
          <t>Ahmedabad</t>
        </is>
      </c>
      <c r="O76" s="14" t="inlineStr">
        <is>
          <t>RAJAN</t>
        </is>
      </c>
      <c r="P76" s="14" t="inlineStr">
        <is>
          <t>6357993704</t>
        </is>
      </c>
      <c r="Q76" s="14" t="inlineStr">
        <is>
          <t>Rajan Purani</t>
        </is>
      </c>
      <c r="R76" s="14" t="inlineStr">
        <is>
          <t>-</t>
        </is>
      </c>
    </row>
    <row r="77" ht="20" customHeight="1">
      <c r="A77" s="58" t="n">
        <v>46268.54407770833</v>
      </c>
      <c r="B77" s="19" t="inlineStr">
        <is>
          <t>3. This Month (Sep 2026)</t>
        </is>
      </c>
      <c r="C77" s="17" t="inlineStr">
        <is>
          <t>PR-1119</t>
        </is>
      </c>
      <c r="D77" s="17" t="inlineStr">
        <is>
          <t>Vandematram Prime</t>
        </is>
      </c>
      <c r="E77" s="17" t="inlineStr">
        <is>
          <t>Penthouse</t>
        </is>
      </c>
      <c r="F77" s="17" t="inlineStr">
        <is>
          <t>Rent</t>
        </is>
      </c>
      <c r="G77" s="17" t="inlineStr">
        <is>
          <t>Available</t>
        </is>
      </c>
      <c r="H77" s="60" t="n">
        <v>30000</v>
      </c>
      <c r="I77" s="60" t="n">
        <v>60000</v>
      </c>
      <c r="J77" s="60" t="n">
        <v>0</v>
      </c>
      <c r="K77" s="17" t="n">
        <v>2</v>
      </c>
      <c r="L77" s="17" t="inlineStr">
        <is>
          <t>-</t>
        </is>
      </c>
      <c r="M77" s="17" t="inlineStr">
        <is>
          <t>Gota</t>
        </is>
      </c>
      <c r="N77" s="17" t="inlineStr">
        <is>
          <t>Ahmedabad</t>
        </is>
      </c>
      <c r="O77" s="17" t="inlineStr">
        <is>
          <t>Piyush bhai patel</t>
        </is>
      </c>
      <c r="P77" s="17" t="inlineStr">
        <is>
          <t>9998249086</t>
        </is>
      </c>
      <c r="Q77" s="17" t="inlineStr">
        <is>
          <t>Somel Rathod</t>
        </is>
      </c>
      <c r="R77" s="17" t="inlineStr">
        <is>
          <t>-</t>
        </is>
      </c>
    </row>
    <row r="78" ht="20" customHeight="1">
      <c r="A78" s="57" t="n">
        <v>46268.53406232639</v>
      </c>
      <c r="B78" s="16" t="inlineStr">
        <is>
          <t>3. This Month (Sep 2026)</t>
        </is>
      </c>
      <c r="C78" s="14" t="inlineStr">
        <is>
          <t>PR-1118</t>
        </is>
      </c>
      <c r="D78" s="14" t="inlineStr">
        <is>
          <t>Sparsh Residency</t>
        </is>
      </c>
      <c r="E78" s="14" t="inlineStr">
        <is>
          <t>Flat</t>
        </is>
      </c>
      <c r="F78" s="14" t="inlineStr">
        <is>
          <t>Rent</t>
        </is>
      </c>
      <c r="G78" s="14" t="inlineStr">
        <is>
          <t>Rented Out</t>
        </is>
      </c>
      <c r="H78" s="59" t="n">
        <v>25000</v>
      </c>
      <c r="I78" s="59" t="n">
        <v>50000</v>
      </c>
      <c r="J78" s="59" t="n">
        <v>0</v>
      </c>
      <c r="K78" s="14" t="n">
        <v>3</v>
      </c>
      <c r="L78" s="14" t="inlineStr">
        <is>
          <t>-</t>
        </is>
      </c>
      <c r="M78" s="14" t="inlineStr">
        <is>
          <t>Science city</t>
        </is>
      </c>
      <c r="N78" s="14" t="inlineStr">
        <is>
          <t>Ahmedabad</t>
        </is>
      </c>
      <c r="O78" s="14" t="inlineStr">
        <is>
          <t>Neha Patel</t>
        </is>
      </c>
      <c r="P78" s="14" t="inlineStr">
        <is>
          <t>8200935288</t>
        </is>
      </c>
      <c r="Q78" s="14" t="inlineStr">
        <is>
          <t>Somel Rathod</t>
        </is>
      </c>
      <c r="R78" s="14" t="inlineStr">
        <is>
          <t>-</t>
        </is>
      </c>
    </row>
    <row r="79" ht="20" customHeight="1">
      <c r="A79" s="58" t="n">
        <v>46268.52400703703</v>
      </c>
      <c r="B79" s="19" t="inlineStr">
        <is>
          <t>3. This Month (Sep 2026)</t>
        </is>
      </c>
      <c r="C79" s="17" t="inlineStr">
        <is>
          <t>PR-1117</t>
        </is>
      </c>
      <c r="D79" s="17" t="inlineStr">
        <is>
          <t>Harsh Icon Shilaj</t>
        </is>
      </c>
      <c r="E79" s="17" t="inlineStr">
        <is>
          <t>Flat</t>
        </is>
      </c>
      <c r="F79" s="17" t="inlineStr">
        <is>
          <t>Rent</t>
        </is>
      </c>
      <c r="G79" s="17" t="inlineStr">
        <is>
          <t>Available</t>
        </is>
      </c>
      <c r="H79" s="60" t="n">
        <v>28000</v>
      </c>
      <c r="I79" s="60" t="n">
        <v>56000</v>
      </c>
      <c r="J79" s="60" t="n">
        <v>0</v>
      </c>
      <c r="K79" s="17" t="n">
        <v>3</v>
      </c>
      <c r="L79" s="17" t="inlineStr">
        <is>
          <t>-</t>
        </is>
      </c>
      <c r="M79" s="17" t="inlineStr">
        <is>
          <t>Shilaj</t>
        </is>
      </c>
      <c r="N79" s="17" t="inlineStr">
        <is>
          <t>Ahmedabad</t>
        </is>
      </c>
      <c r="O79" s="17" t="inlineStr">
        <is>
          <t>Rajesh Adroja</t>
        </is>
      </c>
      <c r="P79" s="17" t="inlineStr">
        <is>
          <t>9998441037</t>
        </is>
      </c>
      <c r="Q79" s="17" t="inlineStr">
        <is>
          <t>Somel Rathod</t>
        </is>
      </c>
      <c r="R79" s="17" t="inlineStr">
        <is>
          <t>-</t>
        </is>
      </c>
    </row>
    <row r="80" ht="20" customHeight="1">
      <c r="A80" s="57" t="n">
        <v>46267.73073603009</v>
      </c>
      <c r="B80" s="16" t="inlineStr">
        <is>
          <t>3. This Month (Sep 2026)</t>
        </is>
      </c>
      <c r="C80" s="14" t="inlineStr">
        <is>
          <t>PR-1116</t>
        </is>
      </c>
      <c r="D80" s="14" t="inlineStr">
        <is>
          <t>501 The Green Parmeshwar</t>
        </is>
      </c>
      <c r="E80" s="14" t="inlineStr">
        <is>
          <t>Flat</t>
        </is>
      </c>
      <c r="F80" s="14" t="inlineStr">
        <is>
          <t>Rent</t>
        </is>
      </c>
      <c r="G80" s="14" t="inlineStr">
        <is>
          <t>To Be Available</t>
        </is>
      </c>
      <c r="H80" s="59" t="n">
        <v>20000</v>
      </c>
      <c r="I80" s="59" t="n">
        <v>40000</v>
      </c>
      <c r="J80" s="59" t="n">
        <v>2000</v>
      </c>
      <c r="K80" s="14" t="n">
        <v>2</v>
      </c>
      <c r="L80" s="14" t="inlineStr">
        <is>
          <t>-</t>
        </is>
      </c>
      <c r="M80" s="14" t="inlineStr">
        <is>
          <t>jagatpur</t>
        </is>
      </c>
      <c r="N80" s="14" t="inlineStr">
        <is>
          <t>Ahmedabad</t>
        </is>
      </c>
      <c r="O80" s="14" t="inlineStr">
        <is>
          <t>Abhishek panchal</t>
        </is>
      </c>
      <c r="P80" s="14" t="inlineStr">
        <is>
          <t>9998875556</t>
        </is>
      </c>
      <c r="Q80" s="14" t="inlineStr">
        <is>
          <t>Somel Rathod</t>
        </is>
      </c>
      <c r="R80" s="14" t="inlineStr">
        <is>
          <t>-</t>
        </is>
      </c>
    </row>
    <row r="81" ht="20" customHeight="1">
      <c r="A81" s="58" t="n">
        <v>46265.70502152778</v>
      </c>
      <c r="B81" s="19" t="inlineStr">
        <is>
          <t>4. This Year (2026)</t>
        </is>
      </c>
      <c r="C81" s="17" t="inlineStr">
        <is>
          <t>PR-1115</t>
        </is>
      </c>
      <c r="D81" s="17" t="inlineStr">
        <is>
          <t>Shilaj Enclave</t>
        </is>
      </c>
      <c r="E81" s="17" t="inlineStr">
        <is>
          <t>Flat</t>
        </is>
      </c>
      <c r="F81" s="17" t="inlineStr">
        <is>
          <t>Rent</t>
        </is>
      </c>
      <c r="G81" s="17" t="inlineStr">
        <is>
          <t>Available</t>
        </is>
      </c>
      <c r="H81" s="60" t="n">
        <v>25000</v>
      </c>
      <c r="I81" s="60" t="n">
        <v>50000</v>
      </c>
      <c r="J81" s="60" t="n">
        <v>0</v>
      </c>
      <c r="K81" s="17" t="n">
        <v>2</v>
      </c>
      <c r="L81" s="17" t="inlineStr">
        <is>
          <t>-</t>
        </is>
      </c>
      <c r="M81" s="17" t="inlineStr">
        <is>
          <t>Shilaj</t>
        </is>
      </c>
      <c r="N81" s="17" t="inlineStr">
        <is>
          <t>Ahmedabad</t>
        </is>
      </c>
      <c r="O81" s="17" t="inlineStr">
        <is>
          <t>Harshaida Vaghela</t>
        </is>
      </c>
      <c r="P81" s="17" t="inlineStr">
        <is>
          <t>7046104905</t>
        </is>
      </c>
      <c r="Q81" s="17" t="inlineStr">
        <is>
          <t>Rajan Purani</t>
        </is>
      </c>
      <c r="R81" s="17" t="inlineStr">
        <is>
          <t>-</t>
        </is>
      </c>
    </row>
    <row r="82" ht="20" customHeight="1">
      <c r="A82" s="57" t="n">
        <v>46263.44949482639</v>
      </c>
      <c r="B82" s="16" t="inlineStr">
        <is>
          <t>4. This Year (2026)</t>
        </is>
      </c>
      <c r="C82" s="14" t="inlineStr">
        <is>
          <t>PR-1113</t>
        </is>
      </c>
      <c r="D82" s="14" t="inlineStr">
        <is>
          <t>Sun Real Homes, New Ranip</t>
        </is>
      </c>
      <c r="E82" s="14" t="inlineStr">
        <is>
          <t>Flat</t>
        </is>
      </c>
      <c r="F82" s="14" t="inlineStr">
        <is>
          <t>Rent</t>
        </is>
      </c>
      <c r="G82" s="14" t="inlineStr">
        <is>
          <t>Rented Out</t>
        </is>
      </c>
      <c r="H82" s="59" t="n">
        <v>19000</v>
      </c>
      <c r="I82" s="59" t="n">
        <v>38000</v>
      </c>
      <c r="J82" s="59" t="n">
        <v>2000</v>
      </c>
      <c r="K82" s="14" t="n">
        <v>2</v>
      </c>
      <c r="L82" s="14" t="inlineStr">
        <is>
          <t>-</t>
        </is>
      </c>
      <c r="M82" s="14" t="inlineStr">
        <is>
          <t>New Ranip</t>
        </is>
      </c>
      <c r="N82" s="14" t="inlineStr">
        <is>
          <t>Ahmedabad</t>
        </is>
      </c>
      <c r="O82" s="14" t="inlineStr">
        <is>
          <t>Narendra bhai</t>
        </is>
      </c>
      <c r="P82" s="14" t="inlineStr">
        <is>
          <t>9898345029</t>
        </is>
      </c>
      <c r="Q82" s="14" t="inlineStr">
        <is>
          <t>Somel Rathod</t>
        </is>
      </c>
      <c r="R82" s="14" t="inlineStr">
        <is>
          <t>-</t>
        </is>
      </c>
    </row>
    <row r="83" ht="20" customHeight="1">
      <c r="A83" s="58" t="n">
        <v>46261.49481736111</v>
      </c>
      <c r="B83" s="19" t="inlineStr">
        <is>
          <t>4. This Year (2026)</t>
        </is>
      </c>
      <c r="C83" s="17" t="inlineStr">
        <is>
          <t>PR-1112</t>
        </is>
      </c>
      <c r="D83" s="17" t="inlineStr">
        <is>
          <t>Shaligram lakeview</t>
        </is>
      </c>
      <c r="E83" s="17" t="inlineStr">
        <is>
          <t>Flat</t>
        </is>
      </c>
      <c r="F83" s="17" t="inlineStr">
        <is>
          <t>Rent</t>
        </is>
      </c>
      <c r="G83" s="17" t="inlineStr">
        <is>
          <t>Available</t>
        </is>
      </c>
      <c r="H83" s="60" t="n">
        <v>26000</v>
      </c>
      <c r="I83" s="60" t="n">
        <v>52000</v>
      </c>
      <c r="J83" s="60" t="n">
        <v>0</v>
      </c>
      <c r="K83" s="17" t="n">
        <v>2</v>
      </c>
      <c r="L83" s="17" t="inlineStr">
        <is>
          <t>-</t>
        </is>
      </c>
      <c r="M83" s="17" t="inlineStr">
        <is>
          <t>Vaishnodevi</t>
        </is>
      </c>
      <c r="N83" s="17" t="inlineStr">
        <is>
          <t>Ahmedabad</t>
        </is>
      </c>
      <c r="O83" s="17" t="inlineStr">
        <is>
          <t>bhirma</t>
        </is>
      </c>
      <c r="P83" s="17" t="inlineStr">
        <is>
          <t>9819729232</t>
        </is>
      </c>
      <c r="Q83" s="17" t="inlineStr">
        <is>
          <t>Somel Rathod</t>
        </is>
      </c>
      <c r="R83" s="17" t="inlineStr">
        <is>
          <t>-</t>
        </is>
      </c>
    </row>
    <row r="84" ht="20" customHeight="1">
      <c r="A84" s="57" t="n">
        <v>46261.47416521991</v>
      </c>
      <c r="B84" s="16" t="inlineStr">
        <is>
          <t>4. This Year (2026)</t>
        </is>
      </c>
      <c r="C84" s="14" t="inlineStr">
        <is>
          <t>PR-1111</t>
        </is>
      </c>
      <c r="D84" s="14" t="inlineStr">
        <is>
          <t>Magnate lifestyle</t>
        </is>
      </c>
      <c r="E84" s="14" t="inlineStr">
        <is>
          <t>Flat</t>
        </is>
      </c>
      <c r="F84" s="14" t="inlineStr">
        <is>
          <t>Rent</t>
        </is>
      </c>
      <c r="G84" s="14" t="inlineStr">
        <is>
          <t>Available</t>
        </is>
      </c>
      <c r="H84" s="59" t="n">
        <v>18500</v>
      </c>
      <c r="I84" s="59" t="n">
        <v>37000</v>
      </c>
      <c r="J84" s="59" t="n">
        <v>2500</v>
      </c>
      <c r="K84" s="14" t="n">
        <v>2</v>
      </c>
      <c r="L84" s="14" t="inlineStr">
        <is>
          <t>-</t>
        </is>
      </c>
      <c r="M84" s="14" t="inlineStr">
        <is>
          <t>Vaishnodevi</t>
        </is>
      </c>
      <c r="N84" s="14" t="inlineStr">
        <is>
          <t>Ahmedabad</t>
        </is>
      </c>
      <c r="O84" s="14" t="inlineStr">
        <is>
          <t>Babubhai Patel</t>
        </is>
      </c>
      <c r="P84" s="14" t="inlineStr">
        <is>
          <t>9909795304</t>
        </is>
      </c>
      <c r="Q84" s="14" t="inlineStr">
        <is>
          <t>Somel Rathod</t>
        </is>
      </c>
      <c r="R84" s="14" t="inlineStr">
        <is>
          <t>-</t>
        </is>
      </c>
    </row>
    <row r="85" ht="20" customHeight="1">
      <c r="A85" s="58" t="n">
        <v>46261.44980581018</v>
      </c>
      <c r="B85" s="19" t="inlineStr">
        <is>
          <t>4. This Year (2026)</t>
        </is>
      </c>
      <c r="C85" s="17" t="inlineStr">
        <is>
          <t>PR-1110</t>
        </is>
      </c>
      <c r="D85" s="17" t="inlineStr">
        <is>
          <t>Keshar Samruddham</t>
        </is>
      </c>
      <c r="E85" s="17" t="inlineStr">
        <is>
          <t>Flat</t>
        </is>
      </c>
      <c r="F85" s="17" t="inlineStr">
        <is>
          <t>Rent</t>
        </is>
      </c>
      <c r="G85" s="17" t="inlineStr">
        <is>
          <t>Available</t>
        </is>
      </c>
      <c r="H85" s="60" t="n">
        <v>18500</v>
      </c>
      <c r="I85" s="60" t="n">
        <v>37000</v>
      </c>
      <c r="J85" s="60" t="n">
        <v>0</v>
      </c>
      <c r="K85" s="17" t="n">
        <v>2</v>
      </c>
      <c r="L85" s="17" t="inlineStr">
        <is>
          <t>-</t>
        </is>
      </c>
      <c r="M85" s="17" t="inlineStr">
        <is>
          <t>Vaishnodevi</t>
        </is>
      </c>
      <c r="N85" s="17" t="inlineStr">
        <is>
          <t>Ahmedabad</t>
        </is>
      </c>
      <c r="O85" s="17" t="inlineStr">
        <is>
          <t>sneha</t>
        </is>
      </c>
      <c r="P85" s="17" t="inlineStr">
        <is>
          <t>9998865670</t>
        </is>
      </c>
      <c r="Q85" s="17" t="inlineStr">
        <is>
          <t>Somel Rathod</t>
        </is>
      </c>
      <c r="R85" s="17" t="inlineStr">
        <is>
          <t>-</t>
        </is>
      </c>
    </row>
    <row r="86" ht="20" customHeight="1">
      <c r="A86" s="57" t="n">
        <v>46260.69486912037</v>
      </c>
      <c r="B86" s="16" t="inlineStr">
        <is>
          <t>4. This Year (2026)</t>
        </is>
      </c>
      <c r="C86" s="14" t="inlineStr">
        <is>
          <t>PR-1109</t>
        </is>
      </c>
      <c r="D86" s="14" t="inlineStr">
        <is>
          <t>Dev Parijat</t>
        </is>
      </c>
      <c r="E86" s="14" t="inlineStr">
        <is>
          <t>Flat</t>
        </is>
      </c>
      <c r="F86" s="14" t="inlineStr">
        <is>
          <t>Rent</t>
        </is>
      </c>
      <c r="G86" s="14" t="inlineStr">
        <is>
          <t>Available</t>
        </is>
      </c>
      <c r="H86" s="59" t="n">
        <v>25000</v>
      </c>
      <c r="I86" s="59" t="n">
        <v>50000</v>
      </c>
      <c r="J86" s="59" t="n">
        <v>1000</v>
      </c>
      <c r="K86" s="14" t="n">
        <v>3</v>
      </c>
      <c r="L86" s="14" t="inlineStr">
        <is>
          <t>-</t>
        </is>
      </c>
      <c r="M86" s="14" t="inlineStr">
        <is>
          <t>Vaishnodevi</t>
        </is>
      </c>
      <c r="N86" s="14" t="inlineStr">
        <is>
          <t>Ahmedabad</t>
        </is>
      </c>
      <c r="O86" s="14" t="inlineStr">
        <is>
          <t>Nitin Patel</t>
        </is>
      </c>
      <c r="P86" s="14" t="inlineStr">
        <is>
          <t>9727080045</t>
        </is>
      </c>
      <c r="Q86" s="14" t="inlineStr">
        <is>
          <t>Rajan Purani</t>
        </is>
      </c>
      <c r="R86" s="14" t="inlineStr">
        <is>
          <t>-</t>
        </is>
      </c>
    </row>
    <row r="87" ht="20" customHeight="1">
      <c r="A87" s="58" t="n">
        <v>46260.65592452546</v>
      </c>
      <c r="B87" s="19" t="inlineStr">
        <is>
          <t>4. This Year (2026)</t>
        </is>
      </c>
      <c r="C87" s="17" t="inlineStr">
        <is>
          <t>PR-1108</t>
        </is>
      </c>
      <c r="D87" s="17" t="inlineStr">
        <is>
          <t>Silver Nest</t>
        </is>
      </c>
      <c r="E87" s="17" t="inlineStr">
        <is>
          <t>Flat</t>
        </is>
      </c>
      <c r="F87" s="17" t="inlineStr">
        <is>
          <t>Rent</t>
        </is>
      </c>
      <c r="G87" s="17" t="inlineStr">
        <is>
          <t>Available</t>
        </is>
      </c>
      <c r="H87" s="60" t="n">
        <v>21000</v>
      </c>
      <c r="I87" s="60" t="n">
        <v>42000</v>
      </c>
      <c r="J87" s="60" t="n">
        <v>1000</v>
      </c>
      <c r="K87" s="17" t="n">
        <v>2</v>
      </c>
      <c r="L87" s="17" t="inlineStr">
        <is>
          <t>-</t>
        </is>
      </c>
      <c r="M87" s="17" t="inlineStr">
        <is>
          <t>Gota</t>
        </is>
      </c>
      <c r="N87" s="17" t="inlineStr">
        <is>
          <t>Ahmedabad</t>
        </is>
      </c>
      <c r="O87" s="17" t="inlineStr">
        <is>
          <t>Ramesh Bhai</t>
        </is>
      </c>
      <c r="P87" s="17" t="inlineStr">
        <is>
          <t>9978538788</t>
        </is>
      </c>
      <c r="Q87" s="17" t="inlineStr">
        <is>
          <t>Rajan Purani</t>
        </is>
      </c>
      <c r="R87" s="17" t="inlineStr">
        <is>
          <t>-</t>
        </is>
      </c>
    </row>
    <row r="88" ht="20" customHeight="1">
      <c r="A88" s="57" t="n">
        <v>46260.43655829861</v>
      </c>
      <c r="B88" s="16" t="inlineStr">
        <is>
          <t>4. This Year (2026)</t>
        </is>
      </c>
      <c r="C88" s="14" t="inlineStr">
        <is>
          <t>PR-1107</t>
        </is>
      </c>
      <c r="D88" s="14" t="inlineStr">
        <is>
          <t>Ganesh Heights</t>
        </is>
      </c>
      <c r="E88" s="14" t="inlineStr">
        <is>
          <t>Flat</t>
        </is>
      </c>
      <c r="F88" s="14" t="inlineStr">
        <is>
          <t>Rent</t>
        </is>
      </c>
      <c r="G88" s="14" t="inlineStr">
        <is>
          <t>Available</t>
        </is>
      </c>
      <c r="H88" s="59" t="n">
        <v>21000</v>
      </c>
      <c r="I88" s="59" t="n">
        <v>42000</v>
      </c>
      <c r="J88" s="59" t="n">
        <v>2000</v>
      </c>
      <c r="K88" s="14" t="n">
        <v>3</v>
      </c>
      <c r="L88" s="14" t="inlineStr">
        <is>
          <t>-</t>
        </is>
      </c>
      <c r="M88" s="14" t="inlineStr">
        <is>
          <t>Vaishnodevi</t>
        </is>
      </c>
      <c r="N88" s="14" t="inlineStr">
        <is>
          <t>Ahmedabad</t>
        </is>
      </c>
      <c r="O88" s="14" t="inlineStr">
        <is>
          <t>Karan</t>
        </is>
      </c>
      <c r="P88" s="14" t="inlineStr">
        <is>
          <t>9558525933</t>
        </is>
      </c>
      <c r="Q88" s="14" t="inlineStr">
        <is>
          <t>Somel Rathod</t>
        </is>
      </c>
      <c r="R88" s="14" t="inlineStr">
        <is>
          <t>-</t>
        </is>
      </c>
    </row>
    <row r="89" ht="20" customHeight="1">
      <c r="A89" s="58" t="n">
        <v>46256.467718125</v>
      </c>
      <c r="B89" s="19" t="inlineStr">
        <is>
          <t>4. This Year (2026)</t>
        </is>
      </c>
      <c r="C89" s="17" t="inlineStr">
        <is>
          <t>PR-1106</t>
        </is>
      </c>
      <c r="D89" s="17" t="inlineStr">
        <is>
          <t>Kishor Park</t>
        </is>
      </c>
      <c r="E89" s="17" t="inlineStr">
        <is>
          <t>Flat</t>
        </is>
      </c>
      <c r="F89" s="17" t="inlineStr">
        <is>
          <t>Rent</t>
        </is>
      </c>
      <c r="G89" s="17" t="inlineStr">
        <is>
          <t>Available</t>
        </is>
      </c>
      <c r="H89" s="60" t="n">
        <v>25000</v>
      </c>
      <c r="I89" s="60" t="n">
        <v>50000</v>
      </c>
      <c r="J89" s="60" t="n">
        <v>0</v>
      </c>
      <c r="K89" s="17" t="n">
        <v>2</v>
      </c>
      <c r="L89" s="17" t="inlineStr">
        <is>
          <t>-</t>
        </is>
      </c>
      <c r="M89" s="17" t="inlineStr">
        <is>
          <t>Vaishnodevi</t>
        </is>
      </c>
      <c r="N89" s="17" t="inlineStr">
        <is>
          <t>Ahmedabad</t>
        </is>
      </c>
      <c r="O89" s="17" t="inlineStr">
        <is>
          <t>Arpit Shah</t>
        </is>
      </c>
      <c r="P89" s="17" t="inlineStr">
        <is>
          <t>8866462307</t>
        </is>
      </c>
      <c r="Q89" s="17" t="inlineStr">
        <is>
          <t>Somel Rathod</t>
        </is>
      </c>
      <c r="R89" s="17" t="inlineStr">
        <is>
          <t>-</t>
        </is>
      </c>
    </row>
    <row r="90" ht="20" customHeight="1">
      <c r="A90" s="57" t="n">
        <v>46256.46739171296</v>
      </c>
      <c r="B90" s="16" t="inlineStr">
        <is>
          <t>4. This Year (2026)</t>
        </is>
      </c>
      <c r="C90" s="14" t="inlineStr">
        <is>
          <t>PR-1105</t>
        </is>
      </c>
      <c r="D90" s="14" t="inlineStr">
        <is>
          <t>Black Buck Century</t>
        </is>
      </c>
      <c r="E90" s="14" t="inlineStr">
        <is>
          <t>Plot</t>
        </is>
      </c>
      <c r="F90" s="14" t="inlineStr">
        <is>
          <t>Re-Sale</t>
        </is>
      </c>
      <c r="G90" s="14" t="inlineStr">
        <is>
          <t>Available</t>
        </is>
      </c>
      <c r="H90" s="59" t="n">
        <v>1500000</v>
      </c>
      <c r="I90" s="59" t="n">
        <v>0</v>
      </c>
      <c r="J90" s="59" t="n">
        <v>0</v>
      </c>
      <c r="K90" s="14" t="n">
        <v>1</v>
      </c>
      <c r="L90" s="14" t="inlineStr">
        <is>
          <t>-</t>
        </is>
      </c>
      <c r="M90" s="14" t="inlineStr">
        <is>
          <t>Dholera city</t>
        </is>
      </c>
      <c r="N90" s="14" t="inlineStr">
        <is>
          <t>Ahmedabad</t>
        </is>
      </c>
      <c r="O90" s="14" t="inlineStr">
        <is>
          <t>Sanjeev Sir</t>
        </is>
      </c>
      <c r="P90" s="14" t="inlineStr">
        <is>
          <t>6357993707</t>
        </is>
      </c>
      <c r="Q90" s="14" t="inlineStr">
        <is>
          <t>Rajan Purani</t>
        </is>
      </c>
      <c r="R90" s="14" t="inlineStr">
        <is>
          <t>-</t>
        </is>
      </c>
    </row>
    <row r="91" ht="20" customHeight="1">
      <c r="A91" s="58" t="n">
        <v>46255.67179900463</v>
      </c>
      <c r="B91" s="19" t="inlineStr">
        <is>
          <t>4. This Year (2026)</t>
        </is>
      </c>
      <c r="C91" s="17" t="inlineStr">
        <is>
          <t>PR-1104</t>
        </is>
      </c>
      <c r="D91" s="17" t="inlineStr">
        <is>
          <t>Arise vibrant</t>
        </is>
      </c>
      <c r="E91" s="17" t="inlineStr">
        <is>
          <t>Flat</t>
        </is>
      </c>
      <c r="F91" s="17" t="inlineStr">
        <is>
          <t>Rent</t>
        </is>
      </c>
      <c r="G91" s="17" t="inlineStr">
        <is>
          <t>Available</t>
        </is>
      </c>
      <c r="H91" s="60" t="n">
        <v>30000</v>
      </c>
      <c r="I91" s="60" t="n">
        <v>60000</v>
      </c>
      <c r="J91" s="60" t="n">
        <v>0</v>
      </c>
      <c r="K91" s="17" t="n">
        <v>3</v>
      </c>
      <c r="L91" s="17" t="n">
        <v>769</v>
      </c>
      <c r="M91" s="17" t="inlineStr">
        <is>
          <t>Vaishnodevi</t>
        </is>
      </c>
      <c r="N91" s="17" t="inlineStr">
        <is>
          <t>Ahmedabad</t>
        </is>
      </c>
      <c r="O91" s="17" t="inlineStr">
        <is>
          <t>khemraj bhai rajwadi tea</t>
        </is>
      </c>
      <c r="P91" s="17" t="inlineStr">
        <is>
          <t>9511545048</t>
        </is>
      </c>
      <c r="Q91" s="17" t="inlineStr">
        <is>
          <t>Rakesh Jadav</t>
        </is>
      </c>
      <c r="R91" s="17" t="inlineStr">
        <is>
          <t>-</t>
        </is>
      </c>
    </row>
    <row r="92" ht="20" customHeight="1">
      <c r="A92" s="57" t="n">
        <v>46255.51908339121</v>
      </c>
      <c r="B92" s="16" t="inlineStr">
        <is>
          <t>4. This Year (2026)</t>
        </is>
      </c>
      <c r="C92" s="14" t="inlineStr">
        <is>
          <t>PR-1103</t>
        </is>
      </c>
      <c r="D92" s="14" t="inlineStr">
        <is>
          <t>Satellite complex, Mansi Circle</t>
        </is>
      </c>
      <c r="E92" s="14" t="inlineStr">
        <is>
          <t>Flat</t>
        </is>
      </c>
      <c r="F92" s="14" t="inlineStr">
        <is>
          <t>Rent</t>
        </is>
      </c>
      <c r="G92" s="14" t="inlineStr">
        <is>
          <t>Rented Out</t>
        </is>
      </c>
      <c r="H92" s="59" t="n">
        <v>25000</v>
      </c>
      <c r="I92" s="59" t="n">
        <v>25000</v>
      </c>
      <c r="J92" s="59" t="n">
        <v>0</v>
      </c>
      <c r="K92" s="14" t="n">
        <v>2</v>
      </c>
      <c r="L92" s="14" t="inlineStr">
        <is>
          <t>-</t>
        </is>
      </c>
      <c r="M92" s="14" t="inlineStr">
        <is>
          <t>Vastrapur</t>
        </is>
      </c>
      <c r="N92" s="14" t="inlineStr">
        <is>
          <t>Ahmedabad</t>
        </is>
      </c>
      <c r="O92" s="14" t="inlineStr">
        <is>
          <t>Rajendra Jain</t>
        </is>
      </c>
      <c r="P92" s="14" t="inlineStr">
        <is>
          <t>9426702573</t>
        </is>
      </c>
      <c r="Q92" s="14" t="inlineStr">
        <is>
          <t>Propkart Admin</t>
        </is>
      </c>
      <c r="R92" s="14" t="inlineStr">
        <is>
          <t>-</t>
        </is>
      </c>
    </row>
    <row r="93" ht="20" customHeight="1">
      <c r="A93" s="58" t="n">
        <v>46254.55474311343</v>
      </c>
      <c r="B93" s="19" t="inlineStr">
        <is>
          <t>4. This Year (2026)</t>
        </is>
      </c>
      <c r="C93" s="17" t="inlineStr">
        <is>
          <t>PR-1100</t>
        </is>
      </c>
      <c r="D93" s="17" t="inlineStr">
        <is>
          <t>SUHAAL SERENITY- Zundal</t>
        </is>
      </c>
      <c r="E93" s="17" t="inlineStr">
        <is>
          <t>Flat</t>
        </is>
      </c>
      <c r="F93" s="17" t="inlineStr">
        <is>
          <t>Rent</t>
        </is>
      </c>
      <c r="G93" s="17" t="inlineStr">
        <is>
          <t>Available</t>
        </is>
      </c>
      <c r="H93" s="60" t="n">
        <v>22000</v>
      </c>
      <c r="I93" s="60" t="n">
        <v>44000</v>
      </c>
      <c r="J93" s="60" t="n">
        <v>0</v>
      </c>
      <c r="K93" s="17" t="n">
        <v>3</v>
      </c>
      <c r="L93" s="17" t="inlineStr">
        <is>
          <t>-</t>
        </is>
      </c>
      <c r="M93" s="17" t="inlineStr">
        <is>
          <t>-</t>
        </is>
      </c>
      <c r="N93" s="17" t="inlineStr">
        <is>
          <t>Ahmedabad</t>
        </is>
      </c>
      <c r="O93" s="17" t="inlineStr">
        <is>
          <t>Paritosh bhai</t>
        </is>
      </c>
      <c r="P93" s="17" t="inlineStr">
        <is>
          <t>9725931331</t>
        </is>
      </c>
      <c r="Q93" s="17" t="inlineStr">
        <is>
          <t>Somel Rathod</t>
        </is>
      </c>
      <c r="R93" s="17" t="inlineStr">
        <is>
          <t>-</t>
        </is>
      </c>
    </row>
    <row r="94" ht="20" customHeight="1">
      <c r="A94" s="57" t="n">
        <v>46254.51496394676</v>
      </c>
      <c r="B94" s="16" t="inlineStr">
        <is>
          <t>4. This Year (2026)</t>
        </is>
      </c>
      <c r="C94" s="14" t="inlineStr">
        <is>
          <t>PR-1099</t>
        </is>
      </c>
      <c r="D94" s="14" t="inlineStr">
        <is>
          <t>B/16 Dev city</t>
        </is>
      </c>
      <c r="E94" s="14" t="inlineStr">
        <is>
          <t>Bungalow</t>
        </is>
      </c>
      <c r="F94" s="14" t="inlineStr">
        <is>
          <t>Rent</t>
        </is>
      </c>
      <c r="G94" s="14" t="inlineStr">
        <is>
          <t>Available</t>
        </is>
      </c>
      <c r="H94" s="59" t="n">
        <v>25000</v>
      </c>
      <c r="I94" s="59" t="n">
        <v>50000</v>
      </c>
      <c r="J94" s="59" t="n">
        <v>0</v>
      </c>
      <c r="K94" s="14" t="n">
        <v>3</v>
      </c>
      <c r="L94" s="14" t="inlineStr">
        <is>
          <t>-</t>
        </is>
      </c>
      <c r="M94" s="14" t="inlineStr">
        <is>
          <t>-</t>
        </is>
      </c>
      <c r="N94" s="14" t="inlineStr">
        <is>
          <t>Ahmedabad</t>
        </is>
      </c>
      <c r="O94" s="14" t="inlineStr">
        <is>
          <t>Sejal Ben</t>
        </is>
      </c>
      <c r="P94" s="14" t="inlineStr">
        <is>
          <t>6357105011</t>
        </is>
      </c>
      <c r="Q94" s="14" t="inlineStr">
        <is>
          <t>Somel Rathod</t>
        </is>
      </c>
      <c r="R94" s="14" t="inlineStr">
        <is>
          <t>-</t>
        </is>
      </c>
    </row>
    <row r="95" ht="20" customHeight="1">
      <c r="A95" s="58" t="n">
        <v>46254.43435990741</v>
      </c>
      <c r="B95" s="19" t="inlineStr">
        <is>
          <t>4. This Year (2026)</t>
        </is>
      </c>
      <c r="C95" s="17" t="inlineStr">
        <is>
          <t>PR-1098</t>
        </is>
      </c>
      <c r="D95" s="17" t="inlineStr">
        <is>
          <t>pacifica north enclave</t>
        </is>
      </c>
      <c r="E95" s="17" t="inlineStr">
        <is>
          <t>Flat</t>
        </is>
      </c>
      <c r="F95" s="17" t="inlineStr">
        <is>
          <t>Rent</t>
        </is>
      </c>
      <c r="G95" s="17" t="inlineStr">
        <is>
          <t>Available</t>
        </is>
      </c>
      <c r="H95" s="60" t="n">
        <v>27000</v>
      </c>
      <c r="I95" s="60" t="n">
        <v>54000</v>
      </c>
      <c r="J95" s="60" t="n">
        <v>0</v>
      </c>
      <c r="K95" s="17" t="n">
        <v>3</v>
      </c>
      <c r="L95" s="17" t="n">
        <v>765</v>
      </c>
      <c r="M95" s="17" t="inlineStr">
        <is>
          <t>Vaishnodevi</t>
        </is>
      </c>
      <c r="N95" s="17" t="inlineStr">
        <is>
          <t>Ahmedabad</t>
        </is>
      </c>
      <c r="O95" s="17" t="inlineStr">
        <is>
          <t>maulik dave</t>
        </is>
      </c>
      <c r="P95" s="17" t="inlineStr">
        <is>
          <t>9054689316</t>
        </is>
      </c>
      <c r="Q95" s="17" t="inlineStr">
        <is>
          <t>Rakesh Jadav</t>
        </is>
      </c>
      <c r="R95" s="17" t="inlineStr">
        <is>
          <t>-</t>
        </is>
      </c>
    </row>
    <row r="96" ht="20" customHeight="1">
      <c r="A96" s="57" t="n">
        <v>46253.68543341435</v>
      </c>
      <c r="B96" s="16" t="inlineStr">
        <is>
          <t>4. This Year (2026)</t>
        </is>
      </c>
      <c r="C96" s="14" t="inlineStr">
        <is>
          <t>PR-1094</t>
        </is>
      </c>
      <c r="D96" s="14" t="inlineStr">
        <is>
          <t>Elite Mercury</t>
        </is>
      </c>
      <c r="E96" s="14" t="inlineStr">
        <is>
          <t>Flat</t>
        </is>
      </c>
      <c r="F96" s="14" t="inlineStr">
        <is>
          <t>Rent</t>
        </is>
      </c>
      <c r="G96" s="14" t="inlineStr">
        <is>
          <t>Available</t>
        </is>
      </c>
      <c r="H96" s="59" t="n">
        <v>22500</v>
      </c>
      <c r="I96" s="59" t="n">
        <v>45000</v>
      </c>
      <c r="J96" s="59" t="n">
        <v>2500</v>
      </c>
      <c r="K96" s="14" t="n">
        <v>2</v>
      </c>
      <c r="L96" s="14" t="inlineStr">
        <is>
          <t>-</t>
        </is>
      </c>
      <c r="M96" s="14" t="inlineStr">
        <is>
          <t>Gota</t>
        </is>
      </c>
      <c r="N96" s="14" t="inlineStr">
        <is>
          <t>Ahmedabad</t>
        </is>
      </c>
      <c r="O96" s="14" t="inlineStr">
        <is>
          <t>krishna ben</t>
        </is>
      </c>
      <c r="P96" s="14" t="inlineStr">
        <is>
          <t>8733910895</t>
        </is>
      </c>
      <c r="Q96" s="14" t="inlineStr">
        <is>
          <t>Somel Rathod</t>
        </is>
      </c>
      <c r="R96" s="14" t="inlineStr">
        <is>
          <t>-</t>
        </is>
      </c>
    </row>
    <row r="97" ht="20" customHeight="1">
      <c r="A97" s="58" t="n">
        <v>46253.50159846065</v>
      </c>
      <c r="B97" s="19" t="inlineStr">
        <is>
          <t>4. This Year (2026)</t>
        </is>
      </c>
      <c r="C97" s="17" t="inlineStr">
        <is>
          <t>PR-1093</t>
        </is>
      </c>
      <c r="D97" s="17" t="inlineStr">
        <is>
          <t>Palm glory 4</t>
        </is>
      </c>
      <c r="E97" s="17" t="inlineStr">
        <is>
          <t>Flat</t>
        </is>
      </c>
      <c r="F97" s="17" t="inlineStr">
        <is>
          <t>Rent</t>
        </is>
      </c>
      <c r="G97" s="17" t="inlineStr">
        <is>
          <t>Rented Out</t>
        </is>
      </c>
      <c r="H97" s="60" t="n">
        <v>42000</v>
      </c>
      <c r="I97" s="60" t="n">
        <v>84000</v>
      </c>
      <c r="J97" s="60" t="n">
        <v>0</v>
      </c>
      <c r="K97" s="17" t="n">
        <v>3</v>
      </c>
      <c r="L97" s="17" t="n">
        <v>970</v>
      </c>
      <c r="M97" s="17" t="inlineStr">
        <is>
          <t>Science city</t>
        </is>
      </c>
      <c r="N97" s="17" t="inlineStr">
        <is>
          <t>Ahmedabad</t>
        </is>
      </c>
      <c r="O97" s="17" t="inlineStr">
        <is>
          <t>Aryan</t>
        </is>
      </c>
      <c r="P97" s="17" t="inlineStr">
        <is>
          <t>8866329054</t>
        </is>
      </c>
      <c r="Q97" s="17" t="inlineStr">
        <is>
          <t>Rakesh Jadav</t>
        </is>
      </c>
      <c r="R97" s="17" t="inlineStr">
        <is>
          <t>-</t>
        </is>
      </c>
    </row>
    <row r="98" ht="20" customHeight="1">
      <c r="A98" s="57" t="n">
        <v>46251.51836724537</v>
      </c>
      <c r="B98" s="16" t="inlineStr">
        <is>
          <t>4. This Year (2026)</t>
        </is>
      </c>
      <c r="C98" s="14" t="inlineStr">
        <is>
          <t>PR-1092</t>
        </is>
      </c>
      <c r="D98" s="14" t="inlineStr">
        <is>
          <t>pearl heights</t>
        </is>
      </c>
      <c r="E98" s="14" t="inlineStr">
        <is>
          <t>Flat</t>
        </is>
      </c>
      <c r="F98" s="14" t="inlineStr">
        <is>
          <t>Rent</t>
        </is>
      </c>
      <c r="G98" s="14" t="inlineStr">
        <is>
          <t>Available</t>
        </is>
      </c>
      <c r="H98" s="59" t="n">
        <v>17500</v>
      </c>
      <c r="I98" s="59" t="n">
        <v>35000</v>
      </c>
      <c r="J98" s="59" t="n">
        <v>1800</v>
      </c>
      <c r="K98" s="14" t="n">
        <v>2</v>
      </c>
      <c r="L98" s="14" t="inlineStr">
        <is>
          <t>-</t>
        </is>
      </c>
      <c r="M98" s="14" t="inlineStr">
        <is>
          <t>Ghatlodia</t>
        </is>
      </c>
      <c r="N98" s="14" t="inlineStr">
        <is>
          <t>Ahmedabad</t>
        </is>
      </c>
      <c r="O98" s="14" t="inlineStr">
        <is>
          <t>hitendra bhai</t>
        </is>
      </c>
      <c r="P98" s="14" t="inlineStr">
        <is>
          <t>9924006250</t>
        </is>
      </c>
      <c r="Q98" s="14" t="inlineStr">
        <is>
          <t>Somel Rathod</t>
        </is>
      </c>
      <c r="R98" s="14" t="inlineStr">
        <is>
          <t>-</t>
        </is>
      </c>
    </row>
    <row r="99" ht="20" customHeight="1">
      <c r="A99" s="58" t="n">
        <v>46251.5110858912</v>
      </c>
      <c r="B99" s="19" t="inlineStr">
        <is>
          <t>4. This Year (2026)</t>
        </is>
      </c>
      <c r="C99" s="17" t="inlineStr">
        <is>
          <t>PR-1091</t>
        </is>
      </c>
      <c r="D99" s="17" t="inlineStr">
        <is>
          <t>kuber residency</t>
        </is>
      </c>
      <c r="E99" s="17" t="inlineStr">
        <is>
          <t>Flat</t>
        </is>
      </c>
      <c r="F99" s="17" t="inlineStr">
        <is>
          <t>Rent</t>
        </is>
      </c>
      <c r="G99" s="17" t="inlineStr">
        <is>
          <t>Available</t>
        </is>
      </c>
      <c r="H99" s="60" t="n">
        <v>17000</v>
      </c>
      <c r="I99" s="60" t="n">
        <v>34000</v>
      </c>
      <c r="J99" s="60" t="n">
        <v>2000</v>
      </c>
      <c r="K99" s="17" t="n">
        <v>2</v>
      </c>
      <c r="L99" s="17" t="inlineStr">
        <is>
          <t>-</t>
        </is>
      </c>
      <c r="M99" s="17" t="inlineStr">
        <is>
          <t>Bhadaj</t>
        </is>
      </c>
      <c r="N99" s="17" t="inlineStr">
        <is>
          <t>Ahmedabad</t>
        </is>
      </c>
      <c r="O99" s="17" t="inlineStr">
        <is>
          <t>Amit</t>
        </is>
      </c>
      <c r="P99" s="17" t="inlineStr">
        <is>
          <t>9428411335</t>
        </is>
      </c>
      <c r="Q99" s="17" t="inlineStr">
        <is>
          <t>Somel Rathod</t>
        </is>
      </c>
      <c r="R99" s="17" t="inlineStr">
        <is>
          <t>-</t>
        </is>
      </c>
    </row>
    <row r="100" ht="20" customHeight="1">
      <c r="A100" s="57" t="n">
        <v>46251.45758984954</v>
      </c>
      <c r="B100" s="16" t="inlineStr">
        <is>
          <t>4. This Year (2026)</t>
        </is>
      </c>
      <c r="C100" s="14" t="inlineStr">
        <is>
          <t>PR-1090</t>
        </is>
      </c>
      <c r="D100" s="14" t="inlineStr">
        <is>
          <t>Savvy swaraj</t>
        </is>
      </c>
      <c r="E100" s="14" t="inlineStr">
        <is>
          <t>Flat</t>
        </is>
      </c>
      <c r="F100" s="14" t="inlineStr">
        <is>
          <t>Rent</t>
        </is>
      </c>
      <c r="G100" s="14" t="inlineStr">
        <is>
          <t>Available</t>
        </is>
      </c>
      <c r="H100" s="59" t="n">
        <v>55000</v>
      </c>
      <c r="I100" s="59" t="n">
        <v>110000</v>
      </c>
      <c r="J100" s="59" t="n">
        <v>2500</v>
      </c>
      <c r="K100" s="14" t="n">
        <v>3</v>
      </c>
      <c r="L100" s="14" t="inlineStr">
        <is>
          <t>-</t>
        </is>
      </c>
      <c r="M100" s="14" t="inlineStr">
        <is>
          <t>Gota</t>
        </is>
      </c>
      <c r="N100" s="14" t="inlineStr">
        <is>
          <t>Ahmedabad</t>
        </is>
      </c>
      <c r="O100" s="14" t="inlineStr">
        <is>
          <t>Raxit Shah</t>
        </is>
      </c>
      <c r="P100" s="14" t="inlineStr">
        <is>
          <t>9974051143</t>
        </is>
      </c>
      <c r="Q100" s="14" t="inlineStr">
        <is>
          <t>Rajan Purani</t>
        </is>
      </c>
      <c r="R100" s="14" t="inlineStr">
        <is>
          <t>-</t>
        </is>
      </c>
    </row>
    <row r="101" ht="20" customHeight="1">
      <c r="A101" s="58" t="n">
        <v>46251.44368453704</v>
      </c>
      <c r="B101" s="19" t="inlineStr">
        <is>
          <t>4. This Year (2026)</t>
        </is>
      </c>
      <c r="C101" s="17" t="inlineStr">
        <is>
          <t>PR-1089</t>
        </is>
      </c>
      <c r="D101" s="17" t="inlineStr">
        <is>
          <t>Shyam Villa Bungalow</t>
        </is>
      </c>
      <c r="E101" s="17" t="inlineStr">
        <is>
          <t>Bungalow</t>
        </is>
      </c>
      <c r="F101" s="17" t="inlineStr">
        <is>
          <t>Rent</t>
        </is>
      </c>
      <c r="G101" s="17" t="inlineStr">
        <is>
          <t>Rented Out</t>
        </is>
      </c>
      <c r="H101" s="60" t="n">
        <v>40000</v>
      </c>
      <c r="I101" s="60" t="n">
        <v>80000</v>
      </c>
      <c r="J101" s="60" t="n">
        <v>2000</v>
      </c>
      <c r="K101" s="17" t="n">
        <v>3</v>
      </c>
      <c r="L101" s="17" t="inlineStr">
        <is>
          <t>-</t>
        </is>
      </c>
      <c r="M101" s="17" t="inlineStr">
        <is>
          <t>-</t>
        </is>
      </c>
      <c r="N101" s="17" t="inlineStr">
        <is>
          <t>Ahmedabad</t>
        </is>
      </c>
      <c r="O101" s="17" t="inlineStr">
        <is>
          <t>lalu desai</t>
        </is>
      </c>
      <c r="P101" s="17" t="inlineStr">
        <is>
          <t>7621981297</t>
        </is>
      </c>
      <c r="Q101" s="17" t="inlineStr">
        <is>
          <t>Rajan Purani</t>
        </is>
      </c>
      <c r="R101" s="17" t="inlineStr">
        <is>
          <t>-</t>
        </is>
      </c>
    </row>
    <row r="102" ht="20" customHeight="1">
      <c r="A102" s="57" t="n">
        <v>46251.4347115162</v>
      </c>
      <c r="B102" s="16" t="inlineStr">
        <is>
          <t>4. This Year (2026)</t>
        </is>
      </c>
      <c r="C102" s="14" t="inlineStr">
        <is>
          <t>PR-1088</t>
        </is>
      </c>
      <c r="D102" s="14" t="inlineStr">
        <is>
          <t>Falak Citadel</t>
        </is>
      </c>
      <c r="E102" s="14" t="inlineStr">
        <is>
          <t>Flat</t>
        </is>
      </c>
      <c r="F102" s="14" t="inlineStr">
        <is>
          <t>Rent</t>
        </is>
      </c>
      <c r="G102" s="14" t="inlineStr">
        <is>
          <t>Available</t>
        </is>
      </c>
      <c r="H102" s="59" t="n">
        <v>35000</v>
      </c>
      <c r="I102" s="59" t="n">
        <v>70000</v>
      </c>
      <c r="J102" s="59" t="n">
        <v>2000</v>
      </c>
      <c r="K102" s="14" t="n">
        <v>3</v>
      </c>
      <c r="L102" s="14" t="inlineStr">
        <is>
          <t>-</t>
        </is>
      </c>
      <c r="M102" s="14" t="inlineStr">
        <is>
          <t>-</t>
        </is>
      </c>
      <c r="N102" s="14" t="inlineStr">
        <is>
          <t>Ahmedabad</t>
        </is>
      </c>
      <c r="O102" s="14" t="inlineStr">
        <is>
          <t>Maulik pandya</t>
        </is>
      </c>
      <c r="P102" s="14" t="inlineStr">
        <is>
          <t>7623017858</t>
        </is>
      </c>
      <c r="Q102" s="14" t="inlineStr">
        <is>
          <t>Rajan Purani</t>
        </is>
      </c>
      <c r="R102" s="14" t="inlineStr">
        <is>
          <t>-</t>
        </is>
      </c>
    </row>
    <row r="103" ht="20" customHeight="1">
      <c r="A103" s="58" t="n">
        <v>46249.03544112269</v>
      </c>
      <c r="B103" s="19" t="inlineStr">
        <is>
          <t>4. This Year (2026)</t>
        </is>
      </c>
      <c r="C103" s="17" t="inlineStr">
        <is>
          <t>PR-1086</t>
        </is>
      </c>
      <c r="D103" s="17" t="inlineStr">
        <is>
          <t>Testing Property</t>
        </is>
      </c>
      <c r="E103" s="17" t="inlineStr">
        <is>
          <t>Flat</t>
        </is>
      </c>
      <c r="F103" s="17" t="inlineStr">
        <is>
          <t>Rent</t>
        </is>
      </c>
      <c r="G103" s="17" t="inlineStr">
        <is>
          <t>Available</t>
        </is>
      </c>
      <c r="H103" s="60" t="n">
        <v>55000</v>
      </c>
      <c r="I103" s="60" t="n">
        <v>110000</v>
      </c>
      <c r="J103" s="60" t="n">
        <v>5000</v>
      </c>
      <c r="K103" s="17" t="n">
        <v>5</v>
      </c>
      <c r="L103" s="17" t="n">
        <v>2653</v>
      </c>
      <c r="M103" s="17" t="inlineStr">
        <is>
          <t>Science park</t>
        </is>
      </c>
      <c r="N103" s="17" t="inlineStr">
        <is>
          <t>Ahmedabad</t>
        </is>
      </c>
      <c r="O103" s="17" t="inlineStr">
        <is>
          <t>Akhil Prajapati</t>
        </is>
      </c>
      <c r="P103" s="17" t="inlineStr">
        <is>
          <t>1653298740</t>
        </is>
      </c>
      <c r="Q103" s="17" t="inlineStr">
        <is>
          <t>Propkart Admin</t>
        </is>
      </c>
      <c r="R103" s="17" t="inlineStr">
        <is>
          <t>-</t>
        </is>
      </c>
    </row>
    <row r="104" ht="20" customHeight="1">
      <c r="A104" s="57" t="n">
        <v>46248.50718155093</v>
      </c>
      <c r="B104" s="16" t="inlineStr">
        <is>
          <t>4. This Year (2026)</t>
        </is>
      </c>
      <c r="C104" s="14" t="inlineStr">
        <is>
          <t>PR-1083</t>
        </is>
      </c>
      <c r="D104" s="14" t="inlineStr">
        <is>
          <t>Nirman Homes</t>
        </is>
      </c>
      <c r="E104" s="14" t="inlineStr">
        <is>
          <t>Flat</t>
        </is>
      </c>
      <c r="F104" s="14" t="inlineStr">
        <is>
          <t>Rent</t>
        </is>
      </c>
      <c r="G104" s="14" t="inlineStr">
        <is>
          <t>Available</t>
        </is>
      </c>
      <c r="H104" s="59" t="n">
        <v>20000</v>
      </c>
      <c r="I104" s="59" t="n">
        <v>40000</v>
      </c>
      <c r="J104" s="59" t="n">
        <v>2000</v>
      </c>
      <c r="K104" s="14" t="n">
        <v>2</v>
      </c>
      <c r="L104" s="14" t="inlineStr">
        <is>
          <t>-</t>
        </is>
      </c>
      <c r="M104" s="14" t="inlineStr">
        <is>
          <t>Gota</t>
        </is>
      </c>
      <c r="N104" s="14" t="inlineStr">
        <is>
          <t>Ahmedabad</t>
        </is>
      </c>
      <c r="O104" s="14" t="inlineStr">
        <is>
          <t>Kalpesh bhai</t>
        </is>
      </c>
      <c r="P104" s="14" t="inlineStr">
        <is>
          <t>9879607282</t>
        </is>
      </c>
      <c r="Q104" s="14" t="inlineStr">
        <is>
          <t>Rajan Purani</t>
        </is>
      </c>
      <c r="R104" s="14" t="inlineStr">
        <is>
          <t>-</t>
        </is>
      </c>
    </row>
    <row r="105" ht="20" customHeight="1">
      <c r="A105" s="58" t="n">
        <v>46247.79104763889</v>
      </c>
      <c r="B105" s="19" t="inlineStr">
        <is>
          <t>4. This Year (2026)</t>
        </is>
      </c>
      <c r="C105" s="17" t="inlineStr">
        <is>
          <t>PR-1082</t>
        </is>
      </c>
      <c r="D105" s="17" t="inlineStr">
        <is>
          <t>silver rediance 2</t>
        </is>
      </c>
      <c r="E105" s="17" t="inlineStr">
        <is>
          <t>Showroom</t>
        </is>
      </c>
      <c r="F105" s="17" t="inlineStr">
        <is>
          <t>Re-Sale</t>
        </is>
      </c>
      <c r="G105" s="17" t="inlineStr">
        <is>
          <t>Available</t>
        </is>
      </c>
      <c r="H105" s="60" t="n">
        <v>24000000</v>
      </c>
      <c r="I105" s="60" t="n">
        <v>0</v>
      </c>
      <c r="J105" s="60" t="n">
        <v>0</v>
      </c>
      <c r="K105" s="17" t="n">
        <v>1</v>
      </c>
      <c r="L105" s="17" t="inlineStr">
        <is>
          <t>-</t>
        </is>
      </c>
      <c r="M105" s="17" t="inlineStr">
        <is>
          <t>-</t>
        </is>
      </c>
      <c r="N105" s="17" t="inlineStr">
        <is>
          <t>Ahmedabad</t>
        </is>
      </c>
      <c r="O105" s="17" t="inlineStr">
        <is>
          <t>ajay bhai</t>
        </is>
      </c>
      <c r="P105" s="17" t="inlineStr">
        <is>
          <t>8780678133</t>
        </is>
      </c>
      <c r="Q105" s="17" t="inlineStr">
        <is>
          <t>Rakesh Jadav</t>
        </is>
      </c>
      <c r="R105" s="17" t="inlineStr">
        <is>
          <t>-</t>
        </is>
      </c>
    </row>
    <row r="106" ht="20" customHeight="1">
      <c r="A106" s="57" t="n">
        <v>46247.78846869213</v>
      </c>
      <c r="B106" s="16" t="inlineStr">
        <is>
          <t>4. This Year (2026)</t>
        </is>
      </c>
      <c r="C106" s="14" t="inlineStr">
        <is>
          <t>PR-1081</t>
        </is>
      </c>
      <c r="D106" s="14" t="inlineStr">
        <is>
          <t>sanskrit galaria</t>
        </is>
      </c>
      <c r="E106" s="14" t="inlineStr">
        <is>
          <t>Showroom</t>
        </is>
      </c>
      <c r="F106" s="14" t="inlineStr">
        <is>
          <t>Re-Sale</t>
        </is>
      </c>
      <c r="G106" s="14" t="inlineStr">
        <is>
          <t>Available</t>
        </is>
      </c>
      <c r="H106" s="59" t="n">
        <v>30000000</v>
      </c>
      <c r="I106" s="59" t="n">
        <v>0</v>
      </c>
      <c r="J106" s="59" t="n">
        <v>0</v>
      </c>
      <c r="K106" s="14" t="n">
        <v>1</v>
      </c>
      <c r="L106" s="14" t="inlineStr">
        <is>
          <t>-</t>
        </is>
      </c>
      <c r="M106" s="14" t="inlineStr">
        <is>
          <t>Memnagar</t>
        </is>
      </c>
      <c r="N106" s="14" t="inlineStr">
        <is>
          <t>Ahmedabad</t>
        </is>
      </c>
      <c r="O106" s="14" t="inlineStr">
        <is>
          <t>Paresh parmar</t>
        </is>
      </c>
      <c r="P106" s="14" t="inlineStr">
        <is>
          <t>9714784630</t>
        </is>
      </c>
      <c r="Q106" s="14" t="inlineStr">
        <is>
          <t>Rakesh Jadav</t>
        </is>
      </c>
      <c r="R106" s="14" t="inlineStr">
        <is>
          <t>-</t>
        </is>
      </c>
    </row>
    <row r="107" ht="20" customHeight="1">
      <c r="A107" s="58" t="n">
        <v>46247.67365238426</v>
      </c>
      <c r="B107" s="19" t="inlineStr">
        <is>
          <t>4. This Year (2026)</t>
        </is>
      </c>
      <c r="C107" s="17" t="inlineStr">
        <is>
          <t>PR-1080</t>
        </is>
      </c>
      <c r="D107" s="17" t="inlineStr">
        <is>
          <t>sun siara bhadaj</t>
        </is>
      </c>
      <c r="E107" s="17" t="inlineStr">
        <is>
          <t>Flat</t>
        </is>
      </c>
      <c r="F107" s="17" t="inlineStr">
        <is>
          <t>Re-Sale</t>
        </is>
      </c>
      <c r="G107" s="17" t="inlineStr">
        <is>
          <t>Available</t>
        </is>
      </c>
      <c r="H107" s="60" t="n">
        <v>9200000</v>
      </c>
      <c r="I107" s="60" t="n">
        <v>0</v>
      </c>
      <c r="J107" s="60" t="n">
        <v>0</v>
      </c>
      <c r="K107" s="17" t="n">
        <v>3</v>
      </c>
      <c r="L107" s="17" t="n">
        <v>890</v>
      </c>
      <c r="M107" s="17" t="inlineStr">
        <is>
          <t>-</t>
        </is>
      </c>
      <c r="N107" s="17" t="inlineStr">
        <is>
          <t>Ahmedabad</t>
        </is>
      </c>
      <c r="O107" s="17" t="inlineStr">
        <is>
          <t>Narendra</t>
        </is>
      </c>
      <c r="P107" s="17" t="inlineStr">
        <is>
          <t>9909289068</t>
        </is>
      </c>
      <c r="Q107" s="17" t="inlineStr">
        <is>
          <t>Rakesh Jadav</t>
        </is>
      </c>
      <c r="R107" s="17" t="inlineStr">
        <is>
          <t>-</t>
        </is>
      </c>
    </row>
    <row r="108" ht="20" customHeight="1">
      <c r="A108" s="57" t="n">
        <v>46247.54953703703</v>
      </c>
      <c r="B108" s="16" t="inlineStr">
        <is>
          <t>4. This Year (2026)</t>
        </is>
      </c>
      <c r="C108" s="14" t="inlineStr">
        <is>
          <t>PR-1077</t>
        </is>
      </c>
      <c r="D108" s="14" t="inlineStr">
        <is>
          <t>Jivraj Park Society</t>
        </is>
      </c>
      <c r="E108" s="14" t="inlineStr">
        <is>
          <t>Flat</t>
        </is>
      </c>
      <c r="F108" s="14" t="inlineStr">
        <is>
          <t>Rent</t>
        </is>
      </c>
      <c r="G108" s="14" t="inlineStr">
        <is>
          <t>Rented Out</t>
        </is>
      </c>
      <c r="H108" s="59" t="n">
        <v>30000</v>
      </c>
      <c r="I108" s="59" t="n">
        <v>60000</v>
      </c>
      <c r="J108" s="59" t="n">
        <v>1500</v>
      </c>
      <c r="K108" s="14" t="n">
        <v>2</v>
      </c>
      <c r="L108" s="14" t="inlineStr">
        <is>
          <t>-</t>
        </is>
      </c>
      <c r="M108" s="14" t="inlineStr">
        <is>
          <t>Naranpura</t>
        </is>
      </c>
      <c r="N108" s="14" t="inlineStr">
        <is>
          <t>Ahmedabad</t>
        </is>
      </c>
      <c r="O108" s="14" t="inlineStr">
        <is>
          <t>Gunjan Soni</t>
        </is>
      </c>
      <c r="P108" s="14" t="inlineStr">
        <is>
          <t>8160455535</t>
        </is>
      </c>
      <c r="Q108" s="14" t="inlineStr">
        <is>
          <t>Rajan Purani</t>
        </is>
      </c>
      <c r="R108" s="14" t="inlineStr">
        <is>
          <t>-</t>
        </is>
      </c>
    </row>
    <row r="109" ht="20" customHeight="1">
      <c r="A109" s="58" t="n">
        <v>46247.54892693287</v>
      </c>
      <c r="B109" s="19" t="inlineStr">
        <is>
          <t>4. This Year (2026)</t>
        </is>
      </c>
      <c r="C109" s="17" t="inlineStr">
        <is>
          <t>PR-1076</t>
        </is>
      </c>
      <c r="D109" s="17" t="inlineStr">
        <is>
          <t>veer savarkar 1</t>
        </is>
      </c>
      <c r="E109" s="17" t="inlineStr">
        <is>
          <t>Flat</t>
        </is>
      </c>
      <c r="F109" s="17" t="inlineStr">
        <is>
          <t>Re-Sale</t>
        </is>
      </c>
      <c r="G109" s="17" t="inlineStr">
        <is>
          <t>Available</t>
        </is>
      </c>
      <c r="H109" s="60" t="n">
        <v>4100000</v>
      </c>
      <c r="I109" s="60" t="n">
        <v>0</v>
      </c>
      <c r="J109" s="60" t="n">
        <v>0</v>
      </c>
      <c r="K109" s="17" t="n">
        <v>3</v>
      </c>
      <c r="L109" s="17" t="n">
        <v>700</v>
      </c>
      <c r="M109" s="17" t="inlineStr">
        <is>
          <t>Gota</t>
        </is>
      </c>
      <c r="N109" s="17" t="inlineStr">
        <is>
          <t>Ahmedabad</t>
        </is>
      </c>
      <c r="O109" s="17" t="inlineStr">
        <is>
          <t>Umesh bhai</t>
        </is>
      </c>
      <c r="P109" s="17" t="inlineStr">
        <is>
          <t>8320296774</t>
        </is>
      </c>
      <c r="Q109" s="17" t="inlineStr">
        <is>
          <t>Rakesh Jadav</t>
        </is>
      </c>
      <c r="R109" s="17" t="inlineStr">
        <is>
          <t>-</t>
        </is>
      </c>
    </row>
    <row r="110" ht="20" customHeight="1">
      <c r="A110" s="57" t="n">
        <v>46247.54758315972</v>
      </c>
      <c r="B110" s="16" t="inlineStr">
        <is>
          <t>4. This Year (2026)</t>
        </is>
      </c>
      <c r="C110" s="14" t="inlineStr">
        <is>
          <t>PR-1075</t>
        </is>
      </c>
      <c r="D110" s="14" t="inlineStr">
        <is>
          <t>veer savarkar 1</t>
        </is>
      </c>
      <c r="E110" s="14" t="inlineStr">
        <is>
          <t>Flat</t>
        </is>
      </c>
      <c r="F110" s="14" t="inlineStr">
        <is>
          <t>Rent</t>
        </is>
      </c>
      <c r="G110" s="14" t="inlineStr">
        <is>
          <t>Available</t>
        </is>
      </c>
      <c r="H110" s="59" t="n">
        <v>15000</v>
      </c>
      <c r="I110" s="59" t="n">
        <v>30000</v>
      </c>
      <c r="J110" s="59" t="n">
        <v>0</v>
      </c>
      <c r="K110" s="14" t="n">
        <v>3</v>
      </c>
      <c r="L110" s="14" t="inlineStr">
        <is>
          <t>-</t>
        </is>
      </c>
      <c r="M110" s="14" t="inlineStr">
        <is>
          <t>Gota</t>
        </is>
      </c>
      <c r="N110" s="14" t="inlineStr">
        <is>
          <t>Ahmedabad</t>
        </is>
      </c>
      <c r="O110" s="14" t="inlineStr">
        <is>
          <t>Umesh bhai</t>
        </is>
      </c>
      <c r="P110" s="14" t="inlineStr">
        <is>
          <t>8320296774</t>
        </is>
      </c>
      <c r="Q110" s="14" t="inlineStr">
        <is>
          <t>Rakesh Jadav</t>
        </is>
      </c>
      <c r="R110" s="14" t="inlineStr">
        <is>
          <t>-</t>
        </is>
      </c>
    </row>
    <row r="111" ht="20" customHeight="1">
      <c r="A111" s="58" t="n">
        <v>46247.52321841435</v>
      </c>
      <c r="B111" s="19" t="inlineStr">
        <is>
          <t>4. This Year (2026)</t>
        </is>
      </c>
      <c r="C111" s="17" t="inlineStr">
        <is>
          <t>PR-1074</t>
        </is>
      </c>
      <c r="D111" s="17" t="inlineStr">
        <is>
          <t>rewa gift city</t>
        </is>
      </c>
      <c r="E111" s="17" t="inlineStr">
        <is>
          <t>Flat</t>
        </is>
      </c>
      <c r="F111" s="17" t="inlineStr">
        <is>
          <t>Rent</t>
        </is>
      </c>
      <c r="G111" s="17" t="inlineStr">
        <is>
          <t>Available</t>
        </is>
      </c>
      <c r="H111" s="60" t="n">
        <v>50000</v>
      </c>
      <c r="I111" s="60" t="n">
        <v>100000</v>
      </c>
      <c r="J111" s="60" t="n">
        <v>3000</v>
      </c>
      <c r="K111" s="17" t="n">
        <v>2</v>
      </c>
      <c r="L111" s="17" t="inlineStr">
        <is>
          <t>-</t>
        </is>
      </c>
      <c r="M111" s="17" t="inlineStr">
        <is>
          <t>Gandhinagar</t>
        </is>
      </c>
      <c r="N111" s="17" t="inlineStr">
        <is>
          <t>Ahmedabad</t>
        </is>
      </c>
      <c r="O111" s="17" t="inlineStr">
        <is>
          <t>Milan vaghela</t>
        </is>
      </c>
      <c r="P111" s="17" t="inlineStr">
        <is>
          <t>8511724035</t>
        </is>
      </c>
      <c r="Q111" s="17" t="inlineStr">
        <is>
          <t>Rajan Purani</t>
        </is>
      </c>
      <c r="R111" s="17" t="inlineStr">
        <is>
          <t>-</t>
        </is>
      </c>
    </row>
    <row r="112" ht="20" customHeight="1">
      <c r="A112" s="57" t="n">
        <v>46246.68095898148</v>
      </c>
      <c r="B112" s="16" t="inlineStr">
        <is>
          <t>4. This Year (2026)</t>
        </is>
      </c>
      <c r="C112" s="14" t="inlineStr">
        <is>
          <t>PR-1073</t>
        </is>
      </c>
      <c r="D112" s="14" t="inlineStr">
        <is>
          <t>Arise Vibrant</t>
        </is>
      </c>
      <c r="E112" s="14" t="inlineStr">
        <is>
          <t>Flat</t>
        </is>
      </c>
      <c r="F112" s="14" t="inlineStr">
        <is>
          <t>Rent</t>
        </is>
      </c>
      <c r="G112" s="14" t="inlineStr">
        <is>
          <t>Available</t>
        </is>
      </c>
      <c r="H112" s="59" t="n">
        <v>35000</v>
      </c>
      <c r="I112" s="59" t="n">
        <v>70000</v>
      </c>
      <c r="J112" s="59" t="n">
        <v>0</v>
      </c>
      <c r="K112" s="14" t="n">
        <v>3</v>
      </c>
      <c r="L112" s="14" t="inlineStr">
        <is>
          <t>-</t>
        </is>
      </c>
      <c r="M112" s="14" t="inlineStr">
        <is>
          <t>Vaishnodevi</t>
        </is>
      </c>
      <c r="N112" s="14" t="inlineStr">
        <is>
          <t>Ahmedabad</t>
        </is>
      </c>
      <c r="O112" s="14" t="inlineStr">
        <is>
          <t>Bharatkumar Somabhai Modi</t>
        </is>
      </c>
      <c r="P112" s="14" t="inlineStr">
        <is>
          <t>9825503818</t>
        </is>
      </c>
      <c r="Q112" s="14" t="inlineStr">
        <is>
          <t>Somel Rathod</t>
        </is>
      </c>
      <c r="R112" s="14" t="inlineStr">
        <is>
          <t>-</t>
        </is>
      </c>
    </row>
    <row r="113" ht="20" customHeight="1">
      <c r="A113" s="58" t="n">
        <v>46242.54644393519</v>
      </c>
      <c r="B113" s="19" t="inlineStr">
        <is>
          <t>4. This Year (2026)</t>
        </is>
      </c>
      <c r="C113" s="17" t="inlineStr">
        <is>
          <t>PR-1072</t>
        </is>
      </c>
      <c r="D113" s="17" t="inlineStr">
        <is>
          <t>Malabar County 3</t>
        </is>
      </c>
      <c r="E113" s="17" t="inlineStr">
        <is>
          <t>Flat</t>
        </is>
      </c>
      <c r="F113" s="17" t="inlineStr">
        <is>
          <t>Rent</t>
        </is>
      </c>
      <c r="G113" s="17" t="inlineStr">
        <is>
          <t>Available</t>
        </is>
      </c>
      <c r="H113" s="60" t="n">
        <v>35000</v>
      </c>
      <c r="I113" s="60" t="n">
        <v>70000</v>
      </c>
      <c r="J113" s="60" t="n">
        <v>0</v>
      </c>
      <c r="K113" s="17" t="n">
        <v>2</v>
      </c>
      <c r="L113" s="17" t="inlineStr">
        <is>
          <t>-</t>
        </is>
      </c>
      <c r="M113" s="17" t="inlineStr">
        <is>
          <t>Vaishnodevi</t>
        </is>
      </c>
      <c r="N113" s="17" t="inlineStr">
        <is>
          <t>Ahmedabad</t>
        </is>
      </c>
      <c r="O113" s="17" t="inlineStr">
        <is>
          <t>Bhumika</t>
        </is>
      </c>
      <c r="P113" s="17" t="inlineStr">
        <is>
          <t>9824011249</t>
        </is>
      </c>
      <c r="Q113" s="17" t="inlineStr">
        <is>
          <t>Rajan Purani</t>
        </is>
      </c>
      <c r="R113" s="17" t="inlineStr">
        <is>
          <t>-</t>
        </is>
      </c>
    </row>
    <row r="114" ht="20" customHeight="1">
      <c r="A114" s="57" t="n">
        <v>46241.7189334838</v>
      </c>
      <c r="B114" s="16" t="inlineStr">
        <is>
          <t>4. This Year (2026)</t>
        </is>
      </c>
      <c r="C114" s="14" t="inlineStr">
        <is>
          <t>PR-1071</t>
        </is>
      </c>
      <c r="D114" s="14" t="inlineStr">
        <is>
          <t>shivanta rigel</t>
        </is>
      </c>
      <c r="E114" s="14" t="inlineStr">
        <is>
          <t>Flat</t>
        </is>
      </c>
      <c r="F114" s="14" t="inlineStr">
        <is>
          <t>Rent</t>
        </is>
      </c>
      <c r="G114" s="14" t="inlineStr">
        <is>
          <t>Available</t>
        </is>
      </c>
      <c r="H114" s="59" t="n">
        <v>20000</v>
      </c>
      <c r="I114" s="59" t="n">
        <v>40000</v>
      </c>
      <c r="J114" s="59" t="n">
        <v>0</v>
      </c>
      <c r="K114" s="14" t="n">
        <v>3</v>
      </c>
      <c r="L114" s="14" t="n">
        <v>970</v>
      </c>
      <c r="M114" s="14" t="inlineStr">
        <is>
          <t>Vaishnodevi</t>
        </is>
      </c>
      <c r="N114" s="14" t="inlineStr">
        <is>
          <t>Ahmedabad</t>
        </is>
      </c>
      <c r="O114" s="14" t="inlineStr">
        <is>
          <t>Sudhir arya</t>
        </is>
      </c>
      <c r="P114" s="14" t="inlineStr">
        <is>
          <t>7698451376</t>
        </is>
      </c>
      <c r="Q114" s="14" t="inlineStr">
        <is>
          <t>Rakesh Jadav</t>
        </is>
      </c>
      <c r="R114" s="14" t="inlineStr">
        <is>
          <t>-</t>
        </is>
      </c>
    </row>
    <row r="115" ht="20" customHeight="1">
      <c r="A115" s="58" t="n">
        <v>46241.50362605324</v>
      </c>
      <c r="B115" s="19" t="inlineStr">
        <is>
          <t>4. This Year (2026)</t>
        </is>
      </c>
      <c r="C115" s="17" t="inlineStr">
        <is>
          <t>PR-1070</t>
        </is>
      </c>
      <c r="D115" s="17" t="inlineStr">
        <is>
          <t>Olive green</t>
        </is>
      </c>
      <c r="E115" s="17" t="inlineStr">
        <is>
          <t>Flat</t>
        </is>
      </c>
      <c r="F115" s="17" t="inlineStr">
        <is>
          <t>Re-Sale</t>
        </is>
      </c>
      <c r="G115" s="17" t="inlineStr">
        <is>
          <t>Available</t>
        </is>
      </c>
      <c r="H115" s="60" t="n">
        <v>15000000</v>
      </c>
      <c r="I115" s="60" t="n">
        <v>0</v>
      </c>
      <c r="J115" s="60" t="n">
        <v>0</v>
      </c>
      <c r="K115" s="17" t="n">
        <v>3</v>
      </c>
      <c r="L115" s="17" t="n">
        <v>1056</v>
      </c>
      <c r="M115" s="17" t="inlineStr">
        <is>
          <t>Gota</t>
        </is>
      </c>
      <c r="N115" s="17" t="inlineStr">
        <is>
          <t>Ahmedabad</t>
        </is>
      </c>
      <c r="O115" s="17" t="inlineStr">
        <is>
          <t>himanshi chauhan</t>
        </is>
      </c>
      <c r="P115" s="17" t="inlineStr">
        <is>
          <t>9712932621</t>
        </is>
      </c>
      <c r="Q115" s="17" t="inlineStr">
        <is>
          <t>Rakesh Jadav</t>
        </is>
      </c>
      <c r="R115" s="17" t="inlineStr">
        <is>
          <t>-</t>
        </is>
      </c>
    </row>
    <row r="116" ht="20" customHeight="1">
      <c r="A116" s="57" t="n">
        <v>46235.69849410879</v>
      </c>
      <c r="B116" s="16" t="inlineStr">
        <is>
          <t>4. This Year (2026)</t>
        </is>
      </c>
      <c r="C116" s="14" t="inlineStr">
        <is>
          <t>PR-1068</t>
        </is>
      </c>
      <c r="D116" s="14" t="inlineStr">
        <is>
          <t>Gala Haven</t>
        </is>
      </c>
      <c r="E116" s="14" t="inlineStr">
        <is>
          <t>Flat</t>
        </is>
      </c>
      <c r="F116" s="14" t="inlineStr">
        <is>
          <t>Rent</t>
        </is>
      </c>
      <c r="G116" s="14" t="inlineStr">
        <is>
          <t>Available</t>
        </is>
      </c>
      <c r="H116" s="59" t="n">
        <v>28000</v>
      </c>
      <c r="I116" s="59" t="n">
        <v>56000</v>
      </c>
      <c r="J116" s="59" t="n">
        <v>1500</v>
      </c>
      <c r="K116" s="14" t="n">
        <v>2</v>
      </c>
      <c r="L116" s="14" t="inlineStr">
        <is>
          <t>-</t>
        </is>
      </c>
      <c r="M116" s="14" t="inlineStr">
        <is>
          <t>Vaishnodevi</t>
        </is>
      </c>
      <c r="N116" s="14" t="inlineStr">
        <is>
          <t>Ahmedabad</t>
        </is>
      </c>
      <c r="O116" s="14" t="inlineStr">
        <is>
          <t>Manish sharma</t>
        </is>
      </c>
      <c r="P116" s="14" t="inlineStr">
        <is>
          <t>7698977944</t>
        </is>
      </c>
      <c r="Q116" s="14" t="inlineStr">
        <is>
          <t>Somel Rathod</t>
        </is>
      </c>
      <c r="R116" s="14" t="inlineStr">
        <is>
          <t>-</t>
        </is>
      </c>
    </row>
    <row r="117" ht="20" customHeight="1">
      <c r="A117" s="58" t="n">
        <v>46235.6762822338</v>
      </c>
      <c r="B117" s="19" t="inlineStr">
        <is>
          <t>4. This Year (2026)</t>
        </is>
      </c>
      <c r="C117" s="17" t="inlineStr">
        <is>
          <t>PR-1067</t>
        </is>
      </c>
      <c r="D117" s="17" t="inlineStr">
        <is>
          <t>Navkar Heights</t>
        </is>
      </c>
      <c r="E117" s="17" t="inlineStr">
        <is>
          <t>Flat</t>
        </is>
      </c>
      <c r="F117" s="17" t="inlineStr">
        <is>
          <t>Re-Sale</t>
        </is>
      </c>
      <c r="G117" s="17" t="inlineStr">
        <is>
          <t>Sold Out</t>
        </is>
      </c>
      <c r="H117" s="60" t="n">
        <v>7500000</v>
      </c>
      <c r="I117" s="60" t="n">
        <v>0</v>
      </c>
      <c r="J117" s="60" t="n">
        <v>0</v>
      </c>
      <c r="K117" s="17" t="n">
        <v>3</v>
      </c>
      <c r="L117" s="17" t="inlineStr">
        <is>
          <t>-</t>
        </is>
      </c>
      <c r="M117" s="17" t="inlineStr">
        <is>
          <t>Ognaj</t>
        </is>
      </c>
      <c r="N117" s="17" t="inlineStr">
        <is>
          <t>Ahmedabad</t>
        </is>
      </c>
      <c r="O117" s="17" t="inlineStr">
        <is>
          <t>Shital prasad</t>
        </is>
      </c>
      <c r="P117" s="17" t="inlineStr">
        <is>
          <t>9558460169</t>
        </is>
      </c>
      <c r="Q117" s="17" t="inlineStr">
        <is>
          <t>Somel Rathod</t>
        </is>
      </c>
      <c r="R117" s="17" t="inlineStr">
        <is>
          <t>-</t>
        </is>
      </c>
    </row>
    <row r="118" ht="20" customHeight="1">
      <c r="A118" s="57" t="n">
        <v>46235.53334850694</v>
      </c>
      <c r="B118" s="16" t="inlineStr">
        <is>
          <t>4. This Year (2026)</t>
        </is>
      </c>
      <c r="C118" s="14" t="inlineStr">
        <is>
          <t>PR-1066</t>
        </is>
      </c>
      <c r="D118" s="14" t="inlineStr">
        <is>
          <t>marigold</t>
        </is>
      </c>
      <c r="E118" s="14" t="inlineStr">
        <is>
          <t>Flat</t>
        </is>
      </c>
      <c r="F118" s="14" t="inlineStr">
        <is>
          <t>Rent</t>
        </is>
      </c>
      <c r="G118" s="14" t="inlineStr">
        <is>
          <t>Available</t>
        </is>
      </c>
      <c r="H118" s="59" t="n">
        <v>35000</v>
      </c>
      <c r="I118" s="59" t="n">
        <v>70000</v>
      </c>
      <c r="J118" s="59" t="n">
        <v>2000</v>
      </c>
      <c r="K118" s="14" t="n">
        <v>3</v>
      </c>
      <c r="L118" s="14" t="n">
        <v>850</v>
      </c>
      <c r="M118" s="14" t="inlineStr">
        <is>
          <t>marigold</t>
        </is>
      </c>
      <c r="N118" s="14" t="inlineStr">
        <is>
          <t>Ahmedabad</t>
        </is>
      </c>
      <c r="O118" s="14" t="inlineStr">
        <is>
          <t>Dhaval bhai</t>
        </is>
      </c>
      <c r="P118" s="14" t="inlineStr">
        <is>
          <t>9825713623</t>
        </is>
      </c>
      <c r="Q118" s="14" t="inlineStr">
        <is>
          <t>Rakesh Jadav</t>
        </is>
      </c>
      <c r="R118" s="14" t="inlineStr">
        <is>
          <t>-</t>
        </is>
      </c>
    </row>
    <row r="119" ht="20" customHeight="1">
      <c r="A119" s="58" t="n">
        <v>46235.52577434028</v>
      </c>
      <c r="B119" s="19" t="inlineStr">
        <is>
          <t>4. This Year (2026)</t>
        </is>
      </c>
      <c r="C119" s="17" t="inlineStr">
        <is>
          <t>PR-1065</t>
        </is>
      </c>
      <c r="D119" s="17" t="inlineStr">
        <is>
          <t>Empire skyline</t>
        </is>
      </c>
      <c r="E119" s="17" t="inlineStr">
        <is>
          <t>Flat</t>
        </is>
      </c>
      <c r="F119" s="17" t="inlineStr">
        <is>
          <t>Re-Sale</t>
        </is>
      </c>
      <c r="G119" s="17" t="inlineStr">
        <is>
          <t>Available</t>
        </is>
      </c>
      <c r="H119" s="60" t="n">
        <v>35000000</v>
      </c>
      <c r="I119" s="60" t="n">
        <v>0</v>
      </c>
      <c r="J119" s="60" t="n">
        <v>0</v>
      </c>
      <c r="K119" s="17" t="n">
        <v>4</v>
      </c>
      <c r="L119" s="17" t="n">
        <v>1800</v>
      </c>
      <c r="M119" s="17" t="inlineStr">
        <is>
          <t>-</t>
        </is>
      </c>
      <c r="N119" s="17" t="inlineStr">
        <is>
          <t>Ahmedabad</t>
        </is>
      </c>
      <c r="O119" s="17" t="inlineStr">
        <is>
          <t>mittal mam</t>
        </is>
      </c>
      <c r="P119" s="17" t="inlineStr">
        <is>
          <t>8238878936</t>
        </is>
      </c>
      <c r="Q119" s="17" t="inlineStr">
        <is>
          <t>Rakesh Jadav</t>
        </is>
      </c>
      <c r="R119" s="17" t="inlineStr">
        <is>
          <t>-</t>
        </is>
      </c>
    </row>
    <row r="120" ht="20" customHeight="1">
      <c r="A120" s="57" t="n">
        <v>46234.74639162037</v>
      </c>
      <c r="B120" s="16" t="inlineStr">
        <is>
          <t>4. This Year (2026)</t>
        </is>
      </c>
      <c r="C120" s="14" t="inlineStr">
        <is>
          <t>PR-1063</t>
        </is>
      </c>
      <c r="D120" s="14" t="inlineStr">
        <is>
          <t>celestial living scince city</t>
        </is>
      </c>
      <c r="E120" s="14" t="inlineStr">
        <is>
          <t>Flat</t>
        </is>
      </c>
      <c r="F120" s="14" t="inlineStr">
        <is>
          <t>Re-Sale</t>
        </is>
      </c>
      <c r="G120" s="14" t="inlineStr">
        <is>
          <t>Sold Out</t>
        </is>
      </c>
      <c r="H120" s="59" t="n">
        <v>8000000</v>
      </c>
      <c r="I120" s="59" t="n">
        <v>0</v>
      </c>
      <c r="J120" s="59" t="n">
        <v>0</v>
      </c>
      <c r="K120" s="14" t="n">
        <v>2</v>
      </c>
      <c r="L120" s="14" t="inlineStr">
        <is>
          <t>-</t>
        </is>
      </c>
      <c r="M120" s="14" t="inlineStr">
        <is>
          <t>-</t>
        </is>
      </c>
      <c r="N120" s="14" t="inlineStr">
        <is>
          <t>Ahmedabad</t>
        </is>
      </c>
      <c r="O120" s="14" t="inlineStr">
        <is>
          <t>Rushi bhai</t>
        </is>
      </c>
      <c r="P120" s="14" t="inlineStr">
        <is>
          <t>7567252666</t>
        </is>
      </c>
      <c r="Q120" s="14" t="inlineStr">
        <is>
          <t>Rakesh Jadav</t>
        </is>
      </c>
      <c r="R120" s="14" t="inlineStr">
        <is>
          <t>-</t>
        </is>
      </c>
    </row>
    <row r="121" ht="20" customHeight="1">
      <c r="A121" s="58" t="n">
        <v>46234.49386981482</v>
      </c>
      <c r="B121" s="19" t="inlineStr">
        <is>
          <t>4. This Year (2026)</t>
        </is>
      </c>
      <c r="C121" s="17" t="inlineStr">
        <is>
          <t>PR-1062</t>
        </is>
      </c>
      <c r="D121" s="17" t="inlineStr">
        <is>
          <t>Elinor 108</t>
        </is>
      </c>
      <c r="E121" s="17" t="inlineStr">
        <is>
          <t>Flat</t>
        </is>
      </c>
      <c r="F121" s="17" t="inlineStr">
        <is>
          <t>Re-Sale</t>
        </is>
      </c>
      <c r="G121" s="17" t="inlineStr">
        <is>
          <t>Available</t>
        </is>
      </c>
      <c r="H121" s="60" t="n">
        <v>38500000</v>
      </c>
      <c r="I121" s="60" t="n">
        <v>0</v>
      </c>
      <c r="J121" s="60" t="n">
        <v>0</v>
      </c>
      <c r="K121" s="17" t="n">
        <v>4</v>
      </c>
      <c r="L121" s="17" t="inlineStr">
        <is>
          <t>-</t>
        </is>
      </c>
      <c r="M121" s="17" t="inlineStr">
        <is>
          <t>Thaltej</t>
        </is>
      </c>
      <c r="N121" s="17" t="inlineStr">
        <is>
          <t>Ahmedabad</t>
        </is>
      </c>
      <c r="O121" s="17" t="inlineStr">
        <is>
          <t>Nikunj Bhai</t>
        </is>
      </c>
      <c r="P121" s="17" t="inlineStr">
        <is>
          <t>9904110434</t>
        </is>
      </c>
      <c r="Q121" s="17" t="inlineStr">
        <is>
          <t>Rajan Purani</t>
        </is>
      </c>
      <c r="R121" s="17" t="inlineStr">
        <is>
          <t>-</t>
        </is>
      </c>
    </row>
    <row r="122" ht="20" customHeight="1">
      <c r="A122" s="57" t="n">
        <v>46233.79106959491</v>
      </c>
      <c r="B122" s="16" t="inlineStr">
        <is>
          <t>4. This Year (2026)</t>
        </is>
      </c>
      <c r="C122" s="14" t="inlineStr">
        <is>
          <t>PR-1061</t>
        </is>
      </c>
      <c r="D122" s="14" t="inlineStr">
        <is>
          <t>silver rediance 2</t>
        </is>
      </c>
      <c r="E122" s="14" t="inlineStr">
        <is>
          <t>Showroom</t>
        </is>
      </c>
      <c r="F122" s="14" t="inlineStr">
        <is>
          <t>Rent</t>
        </is>
      </c>
      <c r="G122" s="14" t="inlineStr">
        <is>
          <t>Available</t>
        </is>
      </c>
      <c r="H122" s="59" t="n">
        <v>75000</v>
      </c>
      <c r="I122" s="59" t="n">
        <v>150000</v>
      </c>
      <c r="J122" s="59" t="n">
        <v>0</v>
      </c>
      <c r="K122" s="14" t="n">
        <v>1</v>
      </c>
      <c r="L122" s="14" t="inlineStr">
        <is>
          <t>-</t>
        </is>
      </c>
      <c r="M122" s="14" t="inlineStr">
        <is>
          <t>Science city</t>
        </is>
      </c>
      <c r="N122" s="14" t="inlineStr">
        <is>
          <t>Ahmedabad</t>
        </is>
      </c>
      <c r="O122" s="14" t="inlineStr">
        <is>
          <t>ajay bhai</t>
        </is>
      </c>
      <c r="P122" s="14" t="inlineStr">
        <is>
          <t>8780678133</t>
        </is>
      </c>
      <c r="Q122" s="14" t="inlineStr">
        <is>
          <t>Rakesh Jadav</t>
        </is>
      </c>
      <c r="R122" s="14" t="inlineStr">
        <is>
          <t>-</t>
        </is>
      </c>
    </row>
    <row r="123" ht="20" customHeight="1">
      <c r="A123" s="58" t="n">
        <v>46233.66802480324</v>
      </c>
      <c r="B123" s="19" t="inlineStr">
        <is>
          <t>4. This Year (2026)</t>
        </is>
      </c>
      <c r="C123" s="17" t="inlineStr">
        <is>
          <t>PR-1060</t>
        </is>
      </c>
      <c r="D123" s="17" t="inlineStr">
        <is>
          <t>shivanta</t>
        </is>
      </c>
      <c r="E123" s="17" t="inlineStr">
        <is>
          <t>Flat</t>
        </is>
      </c>
      <c r="F123" s="17" t="inlineStr">
        <is>
          <t>Rent</t>
        </is>
      </c>
      <c r="G123" s="17" t="inlineStr">
        <is>
          <t>Available</t>
        </is>
      </c>
      <c r="H123" s="60" t="n">
        <v>25000</v>
      </c>
      <c r="I123" s="60" t="n">
        <v>0</v>
      </c>
      <c r="J123" s="60" t="n">
        <v>0</v>
      </c>
      <c r="K123" s="17" t="n">
        <v>3</v>
      </c>
      <c r="L123" s="17" t="n">
        <v>850</v>
      </c>
      <c r="M123" s="17" t="inlineStr">
        <is>
          <t>-</t>
        </is>
      </c>
      <c r="N123" s="17" t="inlineStr">
        <is>
          <t>Ahmedabad</t>
        </is>
      </c>
      <c r="O123" s="17" t="inlineStr">
        <is>
          <t>Meet bhai patel</t>
        </is>
      </c>
      <c r="P123" s="17" t="inlineStr">
        <is>
          <t>9638409065</t>
        </is>
      </c>
      <c r="Q123" s="17" t="inlineStr">
        <is>
          <t>Rakesh Jadav</t>
        </is>
      </c>
      <c r="R123" s="17" t="inlineStr">
        <is>
          <t>-</t>
        </is>
      </c>
    </row>
    <row r="124" ht="20" customHeight="1">
      <c r="A124" s="57" t="n">
        <v>46233.47211672454</v>
      </c>
      <c r="B124" s="16" t="inlineStr">
        <is>
          <t>4. This Year (2026)</t>
        </is>
      </c>
      <c r="C124" s="14" t="inlineStr">
        <is>
          <t>PR-1058</t>
        </is>
      </c>
      <c r="D124" s="14" t="inlineStr">
        <is>
          <t>wind chimas</t>
        </is>
      </c>
      <c r="E124" s="14" t="inlineStr">
        <is>
          <t>Flat</t>
        </is>
      </c>
      <c r="F124" s="14" t="inlineStr">
        <is>
          <t>Rent</t>
        </is>
      </c>
      <c r="G124" s="14" t="inlineStr">
        <is>
          <t>Available</t>
        </is>
      </c>
      <c r="H124" s="59" t="n">
        <v>120000</v>
      </c>
      <c r="I124" s="59" t="n">
        <v>0</v>
      </c>
      <c r="J124" s="59" t="n">
        <v>0</v>
      </c>
      <c r="K124" s="14" t="n">
        <v>4</v>
      </c>
      <c r="L124" s="14" t="n">
        <v>1890</v>
      </c>
      <c r="M124" s="14" t="inlineStr">
        <is>
          <t>-</t>
        </is>
      </c>
      <c r="N124" s="14" t="inlineStr">
        <is>
          <t>Ahmedabad</t>
        </is>
      </c>
      <c r="O124" s="14" t="inlineStr">
        <is>
          <t>trikamdas bhai</t>
        </is>
      </c>
      <c r="P124" s="14" t="inlineStr">
        <is>
          <t>9879209694</t>
        </is>
      </c>
      <c r="Q124" s="14" t="inlineStr">
        <is>
          <t>Rakesh Jadav</t>
        </is>
      </c>
      <c r="R124" s="14" t="inlineStr">
        <is>
          <t>-</t>
        </is>
      </c>
    </row>
    <row r="125" ht="20" customHeight="1">
      <c r="A125" s="58" t="n">
        <v>46231.50450739583</v>
      </c>
      <c r="B125" s="19" t="inlineStr">
        <is>
          <t>4. This Year (2026)</t>
        </is>
      </c>
      <c r="C125" s="17" t="inlineStr">
        <is>
          <t>PR-1051</t>
        </is>
      </c>
      <c r="D125" s="17" t="inlineStr">
        <is>
          <t>Shakti 140 thaltej</t>
        </is>
      </c>
      <c r="E125" s="17" t="inlineStr">
        <is>
          <t>Flat</t>
        </is>
      </c>
      <c r="F125" s="17" t="inlineStr">
        <is>
          <t>Rent</t>
        </is>
      </c>
      <c r="G125" s="17" t="inlineStr">
        <is>
          <t>Available</t>
        </is>
      </c>
      <c r="H125" s="60" t="n">
        <v>40000</v>
      </c>
      <c r="I125" s="60" t="n">
        <v>0</v>
      </c>
      <c r="J125" s="60" t="n">
        <v>2000</v>
      </c>
      <c r="K125" s="17" t="n">
        <v>3</v>
      </c>
      <c r="L125" s="17" t="n">
        <v>850</v>
      </c>
      <c r="M125" s="17" t="inlineStr">
        <is>
          <t>Thaltej</t>
        </is>
      </c>
      <c r="N125" s="17" t="inlineStr">
        <is>
          <t>Ahmedabad</t>
        </is>
      </c>
      <c r="O125" s="17" t="inlineStr">
        <is>
          <t>Jatin bhai</t>
        </is>
      </c>
      <c r="P125" s="17" t="inlineStr">
        <is>
          <t>6355831277</t>
        </is>
      </c>
      <c r="Q125" s="17" t="inlineStr">
        <is>
          <t>Rakesh Jadav</t>
        </is>
      </c>
      <c r="R125" s="17" t="inlineStr">
        <is>
          <t>fully furnished flate and good location well conectivity near by metro and sg highway</t>
        </is>
      </c>
    </row>
    <row r="126" ht="20" customHeight="1">
      <c r="A126" s="57" t="n">
        <v>46231.47552766203</v>
      </c>
      <c r="B126" s="16" t="inlineStr">
        <is>
          <t>4. This Year (2026)</t>
        </is>
      </c>
      <c r="C126" s="14" t="inlineStr">
        <is>
          <t>PR-1050</t>
        </is>
      </c>
      <c r="D126" s="14" t="inlineStr">
        <is>
          <t>shilp serene</t>
        </is>
      </c>
      <c r="E126" s="14" t="inlineStr">
        <is>
          <t>Flat</t>
        </is>
      </c>
      <c r="F126" s="14" t="inlineStr">
        <is>
          <t>Re-Sale</t>
        </is>
      </c>
      <c r="G126" s="14" t="inlineStr">
        <is>
          <t>Available</t>
        </is>
      </c>
      <c r="H126" s="59" t="n">
        <v>9000000</v>
      </c>
      <c r="I126" s="59" t="n">
        <v>0</v>
      </c>
      <c r="J126" s="59" t="n">
        <v>0</v>
      </c>
      <c r="K126" s="14" t="n">
        <v>3</v>
      </c>
      <c r="L126" s="14" t="n">
        <v>923</v>
      </c>
      <c r="M126" s="14" t="inlineStr">
        <is>
          <t>Shilaj</t>
        </is>
      </c>
      <c r="N126" s="14" t="inlineStr">
        <is>
          <t>Ahmedabad</t>
        </is>
      </c>
      <c r="O126" s="14" t="inlineStr">
        <is>
          <t>nikhil bhai</t>
        </is>
      </c>
      <c r="P126" s="14" t="inlineStr">
        <is>
          <t>9898353635</t>
        </is>
      </c>
      <c r="Q126" s="14" t="inlineStr">
        <is>
          <t>Rakesh Jadav</t>
        </is>
      </c>
      <c r="R126" s="14" t="inlineStr">
        <is>
          <t>-</t>
        </is>
      </c>
    </row>
    <row r="127" ht="20" customHeight="1">
      <c r="A127" s="58" t="n">
        <v>46230.57069739584</v>
      </c>
      <c r="B127" s="19" t="inlineStr">
        <is>
          <t>4. This Year (2026)</t>
        </is>
      </c>
      <c r="C127" s="17" t="inlineStr">
        <is>
          <t>PR-1049</t>
        </is>
      </c>
      <c r="D127" s="17" t="inlineStr">
        <is>
          <t>sheladia divine</t>
        </is>
      </c>
      <c r="E127" s="17" t="inlineStr">
        <is>
          <t>Flat</t>
        </is>
      </c>
      <c r="F127" s="17" t="inlineStr">
        <is>
          <t>Re-Sale</t>
        </is>
      </c>
      <c r="G127" s="17" t="inlineStr">
        <is>
          <t>Available</t>
        </is>
      </c>
      <c r="H127" s="60" t="n">
        <v>6600000</v>
      </c>
      <c r="I127" s="60" t="n">
        <v>0</v>
      </c>
      <c r="J127" s="60" t="n">
        <v>0</v>
      </c>
      <c r="K127" s="17" t="n">
        <v>2</v>
      </c>
      <c r="L127" s="17" t="n">
        <v>711</v>
      </c>
      <c r="M127" s="17" t="inlineStr">
        <is>
          <t>Shilaj</t>
        </is>
      </c>
      <c r="N127" s="17" t="inlineStr">
        <is>
          <t>Ahmedabad</t>
        </is>
      </c>
      <c r="O127" s="17" t="inlineStr">
        <is>
          <t>amit bhai</t>
        </is>
      </c>
      <c r="P127" s="17" t="inlineStr">
        <is>
          <t>9998477368</t>
        </is>
      </c>
      <c r="Q127" s="17" t="inlineStr">
        <is>
          <t>Rakesh Jadav</t>
        </is>
      </c>
      <c r="R127" s="17" t="inlineStr">
        <is>
          <t>-</t>
        </is>
      </c>
    </row>
    <row r="128" ht="20" customHeight="1">
      <c r="A128" s="57" t="n">
        <v>46230.56305011574</v>
      </c>
      <c r="B128" s="16" t="inlineStr">
        <is>
          <t>4. This Year (2026)</t>
        </is>
      </c>
      <c r="C128" s="14" t="inlineStr">
        <is>
          <t>PR-1048</t>
        </is>
      </c>
      <c r="D128" s="14" t="inlineStr">
        <is>
          <t>stutas 55</t>
        </is>
      </c>
      <c r="E128" s="14" t="inlineStr">
        <is>
          <t>Flat</t>
        </is>
      </c>
      <c r="F128" s="14" t="inlineStr">
        <is>
          <t>Re-Sale</t>
        </is>
      </c>
      <c r="G128" s="14" t="inlineStr">
        <is>
          <t>Available</t>
        </is>
      </c>
      <c r="H128" s="59" t="n">
        <v>17000000</v>
      </c>
      <c r="I128" s="59" t="n">
        <v>0</v>
      </c>
      <c r="J128" s="59" t="n">
        <v>0</v>
      </c>
      <c r="K128" s="14" t="n">
        <v>3</v>
      </c>
      <c r="L128" s="14" t="n">
        <v>1387</v>
      </c>
      <c r="M128" s="14" t="inlineStr">
        <is>
          <t>Science park</t>
        </is>
      </c>
      <c r="N128" s="14" t="inlineStr">
        <is>
          <t>Ahmedabad</t>
        </is>
      </c>
      <c r="O128" s="14" t="inlineStr">
        <is>
          <t>milan bhai</t>
        </is>
      </c>
      <c r="P128" s="14" t="inlineStr">
        <is>
          <t>7862836728</t>
        </is>
      </c>
      <c r="Q128" s="14" t="inlineStr">
        <is>
          <t>Rakesh Jadav</t>
        </is>
      </c>
      <c r="R128" s="14" t="inlineStr">
        <is>
          <t>-</t>
        </is>
      </c>
    </row>
    <row r="129" ht="20" customHeight="1">
      <c r="A129" s="58" t="n">
        <v>46230.55503349537</v>
      </c>
      <c r="B129" s="19" t="inlineStr">
        <is>
          <t>4. This Year (2026)</t>
        </is>
      </c>
      <c r="C129" s="17" t="inlineStr">
        <is>
          <t>PR-1047</t>
        </is>
      </c>
      <c r="D129" s="17" t="inlineStr">
        <is>
          <t>shilp serene</t>
        </is>
      </c>
      <c r="E129" s="17" t="inlineStr">
        <is>
          <t>Flat</t>
        </is>
      </c>
      <c r="F129" s="17" t="inlineStr">
        <is>
          <t>Re-Sale</t>
        </is>
      </c>
      <c r="G129" s="17" t="inlineStr">
        <is>
          <t>Available</t>
        </is>
      </c>
      <c r="H129" s="60" t="n">
        <v>9000000</v>
      </c>
      <c r="I129" s="60" t="n">
        <v>0</v>
      </c>
      <c r="J129" s="60" t="n">
        <v>0</v>
      </c>
      <c r="K129" s="17" t="n">
        <v>3</v>
      </c>
      <c r="L129" s="17" t="n">
        <v>930</v>
      </c>
      <c r="M129" s="17" t="inlineStr">
        <is>
          <t>Shilaj</t>
        </is>
      </c>
      <c r="N129" s="17" t="inlineStr">
        <is>
          <t>Ahmedabad</t>
        </is>
      </c>
      <c r="O129" s="17" t="inlineStr">
        <is>
          <t>Niraj bhai</t>
        </is>
      </c>
      <c r="P129" s="17" t="inlineStr">
        <is>
          <t>9375971718</t>
        </is>
      </c>
      <c r="Q129" s="17" t="inlineStr">
        <is>
          <t>Rakesh Jadav</t>
        </is>
      </c>
      <c r="R129" s="17" t="inlineStr">
        <is>
          <t>best invester unit 2 balcony with sp ring road view</t>
        </is>
      </c>
    </row>
    <row r="130" ht="20" customHeight="1">
      <c r="A130" s="57" t="n">
        <v>46226.53396271991</v>
      </c>
      <c r="B130" s="16" t="inlineStr">
        <is>
          <t>4. This Year (2026)</t>
        </is>
      </c>
      <c r="C130" s="14" t="inlineStr">
        <is>
          <t>PR-1039</t>
        </is>
      </c>
      <c r="D130" s="14" t="inlineStr">
        <is>
          <t>stutass 55</t>
        </is>
      </c>
      <c r="E130" s="14" t="inlineStr">
        <is>
          <t>Flat</t>
        </is>
      </c>
      <c r="F130" s="14" t="inlineStr">
        <is>
          <t>Rent</t>
        </is>
      </c>
      <c r="G130" s="14" t="inlineStr">
        <is>
          <t>Available</t>
        </is>
      </c>
      <c r="H130" s="59" t="n">
        <v>38000</v>
      </c>
      <c r="I130" s="59" t="n">
        <v>0</v>
      </c>
      <c r="J130" s="59" t="n">
        <v>2000</v>
      </c>
      <c r="K130" s="14" t="n">
        <v>3</v>
      </c>
      <c r="L130" s="14" t="n">
        <v>1387</v>
      </c>
      <c r="M130" s="14" t="inlineStr">
        <is>
          <t>Science park</t>
        </is>
      </c>
      <c r="N130" s="14" t="inlineStr">
        <is>
          <t>Ahmedabad</t>
        </is>
      </c>
      <c r="O130" s="14" t="inlineStr">
        <is>
          <t>Minesh bhai</t>
        </is>
      </c>
      <c r="P130" s="14" t="inlineStr">
        <is>
          <t>9327513549</t>
        </is>
      </c>
      <c r="Q130" s="14" t="inlineStr">
        <is>
          <t>Rakesh Jadav</t>
        </is>
      </c>
      <c r="R130" s="14" t="inlineStr">
        <is>
          <t>-</t>
        </is>
      </c>
    </row>
    <row r="131" ht="20" customHeight="1">
      <c r="A131" s="58" t="n">
        <v>46223.75885989583</v>
      </c>
      <c r="B131" s="19" t="inlineStr">
        <is>
          <t>4. This Year (2026)</t>
        </is>
      </c>
      <c r="C131" s="17" t="inlineStr">
        <is>
          <t>PR-1031</t>
        </is>
      </c>
      <c r="D131" s="17" t="inlineStr">
        <is>
          <t>Mondeal heights</t>
        </is>
      </c>
      <c r="E131" s="17" t="inlineStr">
        <is>
          <t>Office</t>
        </is>
      </c>
      <c r="F131" s="17" t="inlineStr">
        <is>
          <t>Rent</t>
        </is>
      </c>
      <c r="G131" s="17" t="inlineStr">
        <is>
          <t>Available</t>
        </is>
      </c>
      <c r="H131" s="60" t="n">
        <v>130000</v>
      </c>
      <c r="I131" s="60" t="n">
        <v>0</v>
      </c>
      <c r="J131" s="60" t="n">
        <v>0</v>
      </c>
      <c r="K131" s="17" t="n">
        <v>1</v>
      </c>
      <c r="L131" s="17" t="inlineStr">
        <is>
          <t>-</t>
        </is>
      </c>
      <c r="M131" s="17" t="inlineStr">
        <is>
          <t>Satellite</t>
        </is>
      </c>
      <c r="N131" s="17" t="inlineStr">
        <is>
          <t>Ahmedabad</t>
        </is>
      </c>
      <c r="O131" s="17" t="inlineStr">
        <is>
          <t>Krish bhai</t>
        </is>
      </c>
      <c r="P131" s="17" t="inlineStr">
        <is>
          <t>8780391842</t>
        </is>
      </c>
      <c r="Q131" s="17" t="inlineStr">
        <is>
          <t>Somel Rathod</t>
        </is>
      </c>
      <c r="R131" s="17" t="inlineStr">
        <is>
          <t>-</t>
        </is>
      </c>
    </row>
    <row r="132" ht="20" customHeight="1">
      <c r="A132" s="57" t="n">
        <v>46223.742143125</v>
      </c>
      <c r="B132" s="16" t="inlineStr">
        <is>
          <t>4. This Year (2026)</t>
        </is>
      </c>
      <c r="C132" s="14" t="inlineStr">
        <is>
          <t>PR-1029</t>
        </is>
      </c>
      <c r="D132" s="14" t="inlineStr">
        <is>
          <t>Heritage Bungalow</t>
        </is>
      </c>
      <c r="E132" s="14" t="inlineStr">
        <is>
          <t>Bungalow</t>
        </is>
      </c>
      <c r="F132" s="14" t="inlineStr">
        <is>
          <t>Rent</t>
        </is>
      </c>
      <c r="G132" s="14" t="inlineStr">
        <is>
          <t>Available</t>
        </is>
      </c>
      <c r="H132" s="59" t="n">
        <v>58000</v>
      </c>
      <c r="I132" s="59" t="n">
        <v>0</v>
      </c>
      <c r="J132" s="59" t="n">
        <v>3000</v>
      </c>
      <c r="K132" s="14" t="n">
        <v>3</v>
      </c>
      <c r="L132" s="14" t="inlineStr">
        <is>
          <t>-</t>
        </is>
      </c>
      <c r="M132" s="14" t="inlineStr">
        <is>
          <t>-</t>
        </is>
      </c>
      <c r="N132" s="14" t="inlineStr">
        <is>
          <t>Ahmedabad</t>
        </is>
      </c>
      <c r="O132" s="14" t="inlineStr">
        <is>
          <t>Dilip bhai</t>
        </is>
      </c>
      <c r="P132" s="14" t="inlineStr">
        <is>
          <t>9924440115</t>
        </is>
      </c>
      <c r="Q132" s="14" t="inlineStr">
        <is>
          <t>Rajan Purani</t>
        </is>
      </c>
      <c r="R132" s="14" t="inlineStr">
        <is>
          <t>-</t>
        </is>
      </c>
    </row>
    <row r="133" ht="20" customHeight="1">
      <c r="A133" s="58" t="n">
        <v>46223.74113881945</v>
      </c>
      <c r="B133" s="19" t="inlineStr">
        <is>
          <t>4. This Year (2026)</t>
        </is>
      </c>
      <c r="C133" s="17" t="inlineStr">
        <is>
          <t>PR-1028</t>
        </is>
      </c>
      <c r="D133" s="17" t="inlineStr">
        <is>
          <t>Home Navkar Heights</t>
        </is>
      </c>
      <c r="E133" s="17" t="inlineStr">
        <is>
          <t>Apartment</t>
        </is>
      </c>
      <c r="F133" s="17" t="inlineStr">
        <is>
          <t>Re-Sale</t>
        </is>
      </c>
      <c r="G133" s="17" t="inlineStr">
        <is>
          <t>Available</t>
        </is>
      </c>
      <c r="H133" s="60" t="n">
        <v>8000000</v>
      </c>
      <c r="I133" s="60" t="n">
        <v>0</v>
      </c>
      <c r="J133" s="60" t="n">
        <v>0</v>
      </c>
      <c r="K133" s="17" t="n">
        <v>3</v>
      </c>
      <c r="L133" s="17" t="inlineStr">
        <is>
          <t>-</t>
        </is>
      </c>
      <c r="M133" s="17" t="inlineStr">
        <is>
          <t>Ognaj</t>
        </is>
      </c>
      <c r="N133" s="17" t="inlineStr">
        <is>
          <t>Ahmedabad</t>
        </is>
      </c>
      <c r="O133" s="17" t="inlineStr">
        <is>
          <t>somel</t>
        </is>
      </c>
      <c r="P133" s="17" t="inlineStr">
        <is>
          <t>9016134875</t>
        </is>
      </c>
      <c r="Q133" s="17" t="inlineStr">
        <is>
          <t>Somel Rathod</t>
        </is>
      </c>
      <c r="R133" s="17" t="inlineStr">
        <is>
          <t>-</t>
        </is>
      </c>
    </row>
    <row r="134" ht="20" customHeight="1">
      <c r="A134" s="57" t="n">
        <v>46223.73948675926</v>
      </c>
      <c r="B134" s="16" t="inlineStr">
        <is>
          <t>4. This Year (2026)</t>
        </is>
      </c>
      <c r="C134" s="14" t="inlineStr">
        <is>
          <t>PR-1027</t>
        </is>
      </c>
      <c r="D134" s="14" t="inlineStr">
        <is>
          <t>shilp serene</t>
        </is>
      </c>
      <c r="E134" s="14" t="inlineStr">
        <is>
          <t>Flat</t>
        </is>
      </c>
      <c r="F134" s="14" t="inlineStr">
        <is>
          <t>Re-Sale</t>
        </is>
      </c>
      <c r="G134" s="14" t="inlineStr">
        <is>
          <t>Available</t>
        </is>
      </c>
      <c r="H134" s="59" t="n">
        <v>8700000</v>
      </c>
      <c r="I134" s="59" t="n">
        <v>0</v>
      </c>
      <c r="J134" s="59" t="n">
        <v>0</v>
      </c>
      <c r="K134" s="14" t="n">
        <v>3</v>
      </c>
      <c r="L134" s="14" t="n">
        <v>930</v>
      </c>
      <c r="M134" s="14" t="inlineStr">
        <is>
          <t>Shilaj</t>
        </is>
      </c>
      <c r="N134" s="14" t="inlineStr">
        <is>
          <t>Ahmedabad</t>
        </is>
      </c>
      <c r="O134" s="14" t="inlineStr">
        <is>
          <t>mukesh bhai</t>
        </is>
      </c>
      <c r="P134" s="14" t="inlineStr">
        <is>
          <t>7984110942</t>
        </is>
      </c>
      <c r="Q134" s="14" t="inlineStr">
        <is>
          <t>Rakesh Jadav</t>
        </is>
      </c>
      <c r="R134" s="14" t="inlineStr">
        <is>
          <t>-</t>
        </is>
      </c>
    </row>
    <row r="135" ht="20" customHeight="1">
      <c r="A135" s="58" t="n">
        <v>46223.72313834491</v>
      </c>
      <c r="B135" s="19" t="inlineStr">
        <is>
          <t>4. This Year (2026)</t>
        </is>
      </c>
      <c r="C135" s="17" t="inlineStr">
        <is>
          <t>PR-1026</t>
        </is>
      </c>
      <c r="D135" s="17" t="inlineStr">
        <is>
          <t>pearl heights</t>
        </is>
      </c>
      <c r="E135" s="17" t="inlineStr">
        <is>
          <t>Apartment</t>
        </is>
      </c>
      <c r="F135" s="17" t="inlineStr">
        <is>
          <t>Rent</t>
        </is>
      </c>
      <c r="G135" s="17" t="inlineStr">
        <is>
          <t>Available</t>
        </is>
      </c>
      <c r="H135" s="60" t="n">
        <v>17000</v>
      </c>
      <c r="I135" s="60" t="n">
        <v>0</v>
      </c>
      <c r="J135" s="60" t="n">
        <v>0</v>
      </c>
      <c r="K135" s="17" t="n">
        <v>2</v>
      </c>
      <c r="L135" s="17" t="n">
        <v>630</v>
      </c>
      <c r="M135" s="17" t="inlineStr">
        <is>
          <t>-</t>
        </is>
      </c>
      <c r="N135" s="17" t="inlineStr">
        <is>
          <t>Ahmedabad</t>
        </is>
      </c>
      <c r="O135" s="17" t="inlineStr">
        <is>
          <t>kiran bhai</t>
        </is>
      </c>
      <c r="P135" s="17" t="inlineStr">
        <is>
          <t>9016134884</t>
        </is>
      </c>
      <c r="Q135" s="17" t="inlineStr">
        <is>
          <t>Somel Rathod</t>
        </is>
      </c>
      <c r="R135" s="17" t="inlineStr">
        <is>
          <t>-</t>
        </is>
      </c>
    </row>
    <row r="136" ht="20" customHeight="1">
      <c r="A136" s="57" t="n">
        <v>46223.72063986111</v>
      </c>
      <c r="B136" s="16" t="inlineStr">
        <is>
          <t>4. This Year (2026)</t>
        </is>
      </c>
      <c r="C136" s="14" t="inlineStr">
        <is>
          <t>PR-1025</t>
        </is>
      </c>
      <c r="D136" s="14" t="inlineStr">
        <is>
          <t>Elinor 108</t>
        </is>
      </c>
      <c r="E136" s="14" t="inlineStr">
        <is>
          <t>Flat</t>
        </is>
      </c>
      <c r="F136" s="14" t="inlineStr">
        <is>
          <t>Re-Sale</t>
        </is>
      </c>
      <c r="G136" s="14" t="inlineStr">
        <is>
          <t>Available</t>
        </is>
      </c>
      <c r="H136" s="59" t="n">
        <v>38500000</v>
      </c>
      <c r="I136" s="59" t="n">
        <v>0</v>
      </c>
      <c r="J136" s="59" t="n">
        <v>3500</v>
      </c>
      <c r="K136" s="14" t="n">
        <v>4</v>
      </c>
      <c r="L136" s="14" t="n">
        <v>2332</v>
      </c>
      <c r="M136" s="14" t="inlineStr">
        <is>
          <t>Sindhu bhavan</t>
        </is>
      </c>
      <c r="N136" s="14" t="inlineStr">
        <is>
          <t>Ahmedabad</t>
        </is>
      </c>
      <c r="O136" s="14" t="inlineStr">
        <is>
          <t>AARON</t>
        </is>
      </c>
      <c r="P136" s="14" t="inlineStr">
        <is>
          <t>8200659030</t>
        </is>
      </c>
      <c r="Q136" s="14" t="inlineStr">
        <is>
          <t>Rajan Purani</t>
        </is>
      </c>
      <c r="R136" s="14" t="inlineStr">
        <is>
          <t>iNVESTOR APARTMENT</t>
        </is>
      </c>
    </row>
    <row r="137" ht="20" customHeight="1">
      <c r="A137" s="58" t="n">
        <v>46223.71333556713</v>
      </c>
      <c r="B137" s="19" t="inlineStr">
        <is>
          <t>4. This Year (2026)</t>
        </is>
      </c>
      <c r="C137" s="17" t="inlineStr">
        <is>
          <t>PR-1024</t>
        </is>
      </c>
      <c r="D137" s="17" t="inlineStr">
        <is>
          <t>Satyagarah chhavani</t>
        </is>
      </c>
      <c r="E137" s="17" t="inlineStr">
        <is>
          <t>Bungalow</t>
        </is>
      </c>
      <c r="F137" s="17" t="inlineStr">
        <is>
          <t>Re-Sale</t>
        </is>
      </c>
      <c r="G137" s="17" t="inlineStr">
        <is>
          <t>Available</t>
        </is>
      </c>
      <c r="H137" s="60" t="n">
        <v>35000000</v>
      </c>
      <c r="I137" s="60" t="n">
        <v>0</v>
      </c>
      <c r="J137" s="60" t="n">
        <v>3500</v>
      </c>
      <c r="K137" s="17" t="n">
        <v>3</v>
      </c>
      <c r="L137" s="17" t="inlineStr">
        <is>
          <t>-</t>
        </is>
      </c>
      <c r="M137" s="17" t="inlineStr">
        <is>
          <t>-</t>
        </is>
      </c>
      <c r="N137" s="17" t="inlineStr">
        <is>
          <t>Ahmedabad</t>
        </is>
      </c>
      <c r="O137" s="17" t="inlineStr">
        <is>
          <t>Milin Patel</t>
        </is>
      </c>
      <c r="P137" s="17" t="inlineStr">
        <is>
          <t>9998717099</t>
        </is>
      </c>
      <c r="Q137" s="17" t="inlineStr">
        <is>
          <t>Rajan Purani</t>
        </is>
      </c>
      <c r="R137" s="17" t="inlineStr">
        <is>
          <t>Atyre client ne baahr thi batavu pasand aave pachi visit karavi</t>
        </is>
      </c>
    </row>
    <row r="138" ht="20" customHeight="1">
      <c r="A138" s="57" t="n">
        <v>46223.70759354167</v>
      </c>
      <c r="B138" s="16" t="inlineStr">
        <is>
          <t>4. This Year (2026)</t>
        </is>
      </c>
      <c r="C138" s="14" t="inlineStr">
        <is>
          <t>PR-1023</t>
        </is>
      </c>
      <c r="D138" s="14" t="inlineStr">
        <is>
          <t>Enigma</t>
        </is>
      </c>
      <c r="E138" s="14" t="inlineStr">
        <is>
          <t>Flat</t>
        </is>
      </c>
      <c r="F138" s="14" t="inlineStr">
        <is>
          <t>Rent</t>
        </is>
      </c>
      <c r="G138" s="14" t="inlineStr">
        <is>
          <t>Available</t>
        </is>
      </c>
      <c r="H138" s="59" t="n">
        <v>80000</v>
      </c>
      <c r="I138" s="59" t="n">
        <v>0</v>
      </c>
      <c r="J138" s="59" t="n">
        <v>0</v>
      </c>
      <c r="K138" s="14" t="n">
        <v>4</v>
      </c>
      <c r="L138" s="14" t="n">
        <v>1540</v>
      </c>
      <c r="M138" s="14" t="inlineStr">
        <is>
          <t>Thaltej</t>
        </is>
      </c>
      <c r="N138" s="14" t="inlineStr">
        <is>
          <t>Ahmedabad</t>
        </is>
      </c>
      <c r="O138" s="14" t="inlineStr">
        <is>
          <t>Enigma tower</t>
        </is>
      </c>
      <c r="P138" s="14" t="inlineStr">
        <is>
          <t>8980037347</t>
        </is>
      </c>
      <c r="Q138" s="14" t="inlineStr">
        <is>
          <t>Rakesh Jadav</t>
        </is>
      </c>
      <c r="R138" s="14" t="inlineStr">
        <is>
          <t>-</t>
        </is>
      </c>
    </row>
    <row r="139" ht="20" customHeight="1">
      <c r="A139" s="58" t="n">
        <v>46223.63768067129</v>
      </c>
      <c r="B139" s="19" t="inlineStr">
        <is>
          <t>4. This Year (2026)</t>
        </is>
      </c>
      <c r="C139" s="17" t="inlineStr">
        <is>
          <t>PR-1021</t>
        </is>
      </c>
      <c r="D139" s="17" t="inlineStr">
        <is>
          <t>sudharshan pride</t>
        </is>
      </c>
      <c r="E139" s="17" t="inlineStr">
        <is>
          <t>Flat</t>
        </is>
      </c>
      <c r="F139" s="17" t="inlineStr">
        <is>
          <t>Re-Sale</t>
        </is>
      </c>
      <c r="G139" s="17" t="inlineStr">
        <is>
          <t>Available</t>
        </is>
      </c>
      <c r="H139" s="60" t="n">
        <v>15500000</v>
      </c>
      <c r="I139" s="60" t="n">
        <v>0</v>
      </c>
      <c r="J139" s="60" t="n">
        <v>0</v>
      </c>
      <c r="K139" s="17" t="n">
        <v>3</v>
      </c>
      <c r="L139" s="17" t="n">
        <v>1400</v>
      </c>
      <c r="M139" s="17" t="inlineStr">
        <is>
          <t>-</t>
        </is>
      </c>
      <c r="N139" s="17" t="inlineStr">
        <is>
          <t>Ahmedabad</t>
        </is>
      </c>
      <c r="O139" s="17" t="inlineStr">
        <is>
          <t>sagar patel</t>
        </is>
      </c>
      <c r="P139" s="17" t="inlineStr">
        <is>
          <t>9879408944</t>
        </is>
      </c>
      <c r="Q139" s="17" t="inlineStr">
        <is>
          <t>Rakesh Jadav</t>
        </is>
      </c>
      <c r="R139" s="17" t="inlineStr">
        <is>
          <t>-</t>
        </is>
      </c>
    </row>
    <row r="140" ht="20" customHeight="1">
      <c r="A140" s="57" t="n">
        <v>46223.63367127315</v>
      </c>
      <c r="B140" s="16" t="inlineStr">
        <is>
          <t>4. This Year (2026)</t>
        </is>
      </c>
      <c r="C140" s="14" t="inlineStr">
        <is>
          <t>PR-1019</t>
        </is>
      </c>
      <c r="D140" s="14" t="inlineStr">
        <is>
          <t>sahjanand stutas</t>
        </is>
      </c>
      <c r="E140" s="14" t="inlineStr">
        <is>
          <t>Bungalow</t>
        </is>
      </c>
      <c r="F140" s="14" t="inlineStr">
        <is>
          <t>Rent</t>
        </is>
      </c>
      <c r="G140" s="14" t="inlineStr">
        <is>
          <t>Rented Out</t>
        </is>
      </c>
      <c r="H140" s="59" t="n">
        <v>70000</v>
      </c>
      <c r="I140" s="59" t="n">
        <v>140000</v>
      </c>
      <c r="J140" s="59" t="n">
        <v>2000</v>
      </c>
      <c r="K140" s="14" t="n">
        <v>4</v>
      </c>
      <c r="L140" s="14" t="n">
        <v>2000</v>
      </c>
      <c r="M140" s="14" t="inlineStr">
        <is>
          <t>Science city</t>
        </is>
      </c>
      <c r="N140" s="14" t="inlineStr">
        <is>
          <t>Ahmedabad</t>
        </is>
      </c>
      <c r="O140" s="14" t="inlineStr">
        <is>
          <t>Rajan Purani</t>
        </is>
      </c>
      <c r="P140" s="14" t="inlineStr">
        <is>
          <t>8200659030</t>
        </is>
      </c>
      <c r="Q140" s="14" t="inlineStr">
        <is>
          <t>Rakesh Jadav</t>
        </is>
      </c>
      <c r="R140" s="14" t="inlineStr">
        <is>
          <t>brokrage conform krvi call ma na padi che brokrage apvani</t>
        </is>
      </c>
    </row>
    <row r="141" ht="20" customHeight="1">
      <c r="A141" s="58" t="n">
        <v>46223.55267266204</v>
      </c>
      <c r="B141" s="19" t="inlineStr">
        <is>
          <t>4. This Year (2026)</t>
        </is>
      </c>
      <c r="C141" s="17" t="inlineStr">
        <is>
          <t>PR-1015</t>
        </is>
      </c>
      <c r="D141" s="17" t="inlineStr">
        <is>
          <t>Sun Grevitas</t>
        </is>
      </c>
      <c r="E141" s="17" t="inlineStr">
        <is>
          <t>Shop</t>
        </is>
      </c>
      <c r="F141" s="17" t="inlineStr">
        <is>
          <t>Rent</t>
        </is>
      </c>
      <c r="G141" s="17" t="inlineStr">
        <is>
          <t>Available</t>
        </is>
      </c>
      <c r="H141" s="60" t="n">
        <v>17000</v>
      </c>
      <c r="I141" s="60" t="n">
        <v>0</v>
      </c>
      <c r="J141" s="60" t="n">
        <v>2000</v>
      </c>
      <c r="K141" s="17" t="n">
        <v>1</v>
      </c>
      <c r="L141" s="17" t="n">
        <v>132</v>
      </c>
      <c r="M141" s="17" t="inlineStr">
        <is>
          <t>Shyamal</t>
        </is>
      </c>
      <c r="N141" s="17" t="inlineStr">
        <is>
          <t>Ahmedabad</t>
        </is>
      </c>
      <c r="O141" s="17" t="inlineStr">
        <is>
          <t>pravin bhai</t>
        </is>
      </c>
      <c r="P141" s="17" t="inlineStr">
        <is>
          <t>9624097919</t>
        </is>
      </c>
      <c r="Q141" s="17" t="inlineStr">
        <is>
          <t>Rajan Purani</t>
        </is>
      </c>
      <c r="R141" s="17" t="inlineStr">
        <is>
          <t>first flooor shop sun gravitas shyamal</t>
        </is>
      </c>
    </row>
    <row r="142" ht="20" customHeight="1">
      <c r="A142" s="57" t="n">
        <v>46223.53995758102</v>
      </c>
      <c r="B142" s="16" t="inlineStr">
        <is>
          <t>4. This Year (2026)</t>
        </is>
      </c>
      <c r="C142" s="14" t="inlineStr">
        <is>
          <t>PR-1012</t>
        </is>
      </c>
      <c r="D142" s="14" t="inlineStr">
        <is>
          <t>Shiip serene</t>
        </is>
      </c>
      <c r="E142" s="14" t="inlineStr">
        <is>
          <t>Flat</t>
        </is>
      </c>
      <c r="F142" s="14" t="inlineStr">
        <is>
          <t>Re-Sale</t>
        </is>
      </c>
      <c r="G142" s="14" t="inlineStr">
        <is>
          <t>Available</t>
        </is>
      </c>
      <c r="H142" s="59" t="n">
        <v>9200000</v>
      </c>
      <c r="I142" s="59" t="n">
        <v>0</v>
      </c>
      <c r="J142" s="59" t="n">
        <v>0</v>
      </c>
      <c r="K142" s="14" t="n">
        <v>3</v>
      </c>
      <c r="L142" s="14" t="inlineStr">
        <is>
          <t>-</t>
        </is>
      </c>
      <c r="M142" s="14" t="inlineStr">
        <is>
          <t>Shilaj</t>
        </is>
      </c>
      <c r="N142" s="14" t="inlineStr">
        <is>
          <t>Ahmedabad</t>
        </is>
      </c>
      <c r="O142" s="14" t="inlineStr">
        <is>
          <t>niraj bhai</t>
        </is>
      </c>
      <c r="P142" s="14" t="inlineStr">
        <is>
          <t>9375971718</t>
        </is>
      </c>
      <c r="Q142" s="14" t="inlineStr">
        <is>
          <t>Somel Rathod</t>
        </is>
      </c>
      <c r="R142" s="14" t="inlineStr">
        <is>
          <t>-</t>
        </is>
      </c>
    </row>
    <row r="143" ht="20" customHeight="1">
      <c r="A143" s="58" t="n">
        <v>46223.51831288195</v>
      </c>
      <c r="B143" s="19" t="inlineStr">
        <is>
          <t>4. This Year (2026)</t>
        </is>
      </c>
      <c r="C143" s="17" t="inlineStr">
        <is>
          <t>PR-1011</t>
        </is>
      </c>
      <c r="D143" s="17" t="inlineStr">
        <is>
          <t>Oryan armonia</t>
        </is>
      </c>
      <c r="E143" s="17" t="inlineStr">
        <is>
          <t>Flat</t>
        </is>
      </c>
      <c r="F143" s="17" t="inlineStr">
        <is>
          <t>Rent</t>
        </is>
      </c>
      <c r="G143" s="17" t="inlineStr">
        <is>
          <t>Available</t>
        </is>
      </c>
      <c r="H143" s="60" t="n">
        <v>40000</v>
      </c>
      <c r="I143" s="60" t="n">
        <v>0</v>
      </c>
      <c r="J143" s="60" t="n">
        <v>3000</v>
      </c>
      <c r="K143" s="17" t="n">
        <v>3</v>
      </c>
      <c r="L143" s="17" t="n">
        <v>1550</v>
      </c>
      <c r="M143" s="17" t="inlineStr">
        <is>
          <t>-</t>
        </is>
      </c>
      <c r="N143" s="17" t="inlineStr">
        <is>
          <t>Ahmedabad</t>
        </is>
      </c>
      <c r="O143" s="17" t="inlineStr">
        <is>
          <t>utkal bhai</t>
        </is>
      </c>
      <c r="P143" s="17" t="inlineStr">
        <is>
          <t>8469816224</t>
        </is>
      </c>
      <c r="Q143" s="17" t="inlineStr">
        <is>
          <t>Rakesh Jadav</t>
        </is>
      </c>
      <c r="R143" s="17" t="inlineStr">
        <is>
          <t>-</t>
        </is>
      </c>
    </row>
    <row r="144" ht="20" customHeight="1">
      <c r="A144" s="57" t="n">
        <v>46220.74237959491</v>
      </c>
      <c r="B144" s="16" t="inlineStr">
        <is>
          <t>4. This Year (2026)</t>
        </is>
      </c>
      <c r="C144" s="14" t="inlineStr">
        <is>
          <t>PR-1006</t>
        </is>
      </c>
      <c r="D144" s="14" t="inlineStr">
        <is>
          <t>Sky 100 thaltej</t>
        </is>
      </c>
      <c r="E144" s="14" t="inlineStr">
        <is>
          <t>Flat</t>
        </is>
      </c>
      <c r="F144" s="14" t="inlineStr">
        <is>
          <t>Rent</t>
        </is>
      </c>
      <c r="G144" s="14" t="inlineStr">
        <is>
          <t>Available</t>
        </is>
      </c>
      <c r="H144" s="59" t="n">
        <v>55000</v>
      </c>
      <c r="I144" s="59" t="n">
        <v>0</v>
      </c>
      <c r="J144" s="59" t="n">
        <v>5000</v>
      </c>
      <c r="K144" s="14" t="n">
        <v>3</v>
      </c>
      <c r="L144" s="14" t="n">
        <v>1200</v>
      </c>
      <c r="M144" s="14" t="inlineStr">
        <is>
          <t>-</t>
        </is>
      </c>
      <c r="N144" s="14" t="inlineStr">
        <is>
          <t>Ahmedabad</t>
        </is>
      </c>
      <c r="O144" s="14" t="inlineStr">
        <is>
          <t>Jignasha ba</t>
        </is>
      </c>
      <c r="P144" s="14" t="inlineStr">
        <is>
          <t>9408297593</t>
        </is>
      </c>
      <c r="Q144" s="14" t="inlineStr">
        <is>
          <t>Rajan Purani</t>
        </is>
      </c>
      <c r="R144" s="14" t="inlineStr">
        <is>
          <t>only veg family allow</t>
        </is>
      </c>
    </row>
    <row r="145" ht="20" customHeight="1">
      <c r="A145" s="58" t="n">
        <v>46220.71313598379</v>
      </c>
      <c r="B145" s="19" t="inlineStr">
        <is>
          <t>4. This Year (2026)</t>
        </is>
      </c>
      <c r="C145" s="17" t="inlineStr">
        <is>
          <t>PR-1003</t>
        </is>
      </c>
      <c r="D145" s="17" t="inlineStr">
        <is>
          <t>La Habitat</t>
        </is>
      </c>
      <c r="E145" s="17" t="inlineStr">
        <is>
          <t>Flat</t>
        </is>
      </c>
      <c r="F145" s="17" t="inlineStr">
        <is>
          <t>Rent</t>
        </is>
      </c>
      <c r="G145" s="17" t="inlineStr">
        <is>
          <t>Available</t>
        </is>
      </c>
      <c r="H145" s="60" t="n">
        <v>46000</v>
      </c>
      <c r="I145" s="60" t="n">
        <v>0</v>
      </c>
      <c r="J145" s="60" t="n">
        <v>3000</v>
      </c>
      <c r="K145" s="17" t="n">
        <v>3</v>
      </c>
      <c r="L145" s="17" t="n">
        <v>1305</v>
      </c>
      <c r="M145" s="17" t="inlineStr">
        <is>
          <t>Thaltej</t>
        </is>
      </c>
      <c r="N145" s="17" t="inlineStr">
        <is>
          <t>Ahmedabad</t>
        </is>
      </c>
      <c r="O145" s="17" t="inlineStr">
        <is>
          <t>GD Maghnani</t>
        </is>
      </c>
      <c r="P145" s="17" t="inlineStr">
        <is>
          <t>9414394220</t>
        </is>
      </c>
      <c r="Q145" s="17" t="inlineStr">
        <is>
          <t>Rajan Purani</t>
        </is>
      </c>
      <c r="R145" s="17" t="inlineStr">
        <is>
          <t>monday call kari ne photos mate javu</t>
        </is>
      </c>
    </row>
  </sheetData>
  <autoFilter ref="A1:R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2026-09-28T12:43:31Z</dcterms:created>
  <dcterms:modified xmlns:dcterms="http://purl.org/dc/terms/" xmlns:xsi="http://www.w3.org/2001/XMLSchema-instance" xsi:type="dcterms:W3CDTF">2026-09-28T13:02:54Z</dcterms:modified>
</cp:coreProperties>
</file>