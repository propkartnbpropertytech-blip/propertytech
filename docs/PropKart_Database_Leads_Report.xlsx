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NB\propkart\"/>
    </mc:Choice>
  </mc:AlternateContent>
  <xr:revisionPtr revIDLastSave="0" documentId="13_ncr:20001_{270E1F1D-E133-4DD8-A35B-3509BB4EE6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peline Flow (Simple KPI)" sheetId="1" r:id="rId1"/>
    <sheet name="Executive KPI Dashboard" sheetId="2" r:id="rId2"/>
    <sheet name="Listing" sheetId="3" r:id="rId3"/>
    <sheet name="Requirement" sheetId="4" r:id="rId4"/>
    <sheet name="Inventory (Total Properties)" sheetId="5" r:id="rId5"/>
  </sheets>
  <definedNames>
    <definedName name="_xlnm._FilterDatabase" localSheetId="4" hidden="1">'Inventory (Total Properties)'!$A$1:$R$145</definedName>
    <definedName name="_xlnm._FilterDatabase" localSheetId="2" hidden="1">Listing!$A$1:$I$481</definedName>
    <definedName name="_xlnm._FilterDatabase" localSheetId="3" hidden="1">Requirement!$A$1:$I$736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C7" i="2"/>
  <c r="B7" i="2"/>
  <c r="A7" i="2"/>
  <c r="G4" i="1"/>
  <c r="F4" i="1"/>
  <c r="C41" i="1" s="1"/>
  <c r="C27" i="1" l="1"/>
  <c r="C28" i="1"/>
  <c r="C29" i="1"/>
  <c r="C30" i="1"/>
  <c r="C32" i="1"/>
  <c r="C20" i="1"/>
  <c r="C21" i="1"/>
  <c r="C23" i="1"/>
  <c r="C24" i="1"/>
  <c r="E3" i="1"/>
  <c r="C25" i="1"/>
  <c r="C33" i="1"/>
  <c r="C34" i="1"/>
  <c r="C35" i="1"/>
  <c r="C26" i="1"/>
  <c r="C9" i="1"/>
  <c r="C10" i="1"/>
  <c r="C11" i="1"/>
  <c r="C14" i="1"/>
  <c r="C16" i="1"/>
  <c r="C17" i="1"/>
  <c r="C18" i="1"/>
  <c r="C19" i="1"/>
  <c r="C36" i="1"/>
  <c r="C38" i="1"/>
  <c r="C39" i="1"/>
  <c r="C40" i="1"/>
  <c r="D36" i="1" l="1"/>
  <c r="D35" i="1"/>
  <c r="D26" i="1"/>
  <c r="D34" i="1"/>
  <c r="D33" i="1"/>
  <c r="D25" i="1"/>
  <c r="D32" i="1"/>
  <c r="D24" i="1"/>
  <c r="D27" i="1"/>
  <c r="D41" i="1"/>
  <c r="D40" i="1"/>
  <c r="D39" i="1"/>
  <c r="D18" i="1"/>
  <c r="D17" i="1"/>
  <c r="D16" i="1"/>
  <c r="D14" i="1"/>
  <c r="C13" i="1"/>
  <c r="D13" i="1" s="1"/>
  <c r="D11" i="1"/>
  <c r="D10" i="1"/>
  <c r="D23" i="1"/>
  <c r="D21" i="1"/>
  <c r="D20" i="1"/>
  <c r="D19" i="1"/>
  <c r="D29" i="1"/>
  <c r="D28" i="1"/>
</calcChain>
</file>

<file path=xl/sharedStrings.xml><?xml version="1.0" encoding="utf-8"?>
<sst xmlns="http://schemas.openxmlformats.org/spreadsheetml/2006/main" count="11934" uniqueCount="2511">
  <si>
    <t>PROPKART CRM — LEAD PIPELINE FLOW &amp; KPI COUNTER</t>
  </si>
  <si>
    <t>Simplified Funnel: Leads In -&gt; Telecaller Allocation -&gt; Status -&gt; Sales Handoff -&gt; Closure • Real-Time Dynamic Date Filtering</t>
  </si>
  <si>
    <t>Select Timeframe Filter:</t>
  </si>
  <si>
    <t>Active Filter Window:</t>
  </si>
  <si>
    <t>Available Filter Options:</t>
  </si>
  <si>
    <t>Dropdown choices in C3: [ All Time ] • [ Today ] • [ This Week ] • [ This Month ] • [ Custom Range ]</t>
  </si>
  <si>
    <t>If 'Custom Range' selected:</t>
  </si>
  <si>
    <t>to</t>
  </si>
  <si>
    <t>PIPELINE FLOW STAGE</t>
  </si>
  <si>
    <t>CURRENT KPI COUNT</t>
  </si>
  <si>
    <t>% SHARE / CONVERSION</t>
  </si>
  <si>
    <t>STAGE DESCRIPTION</t>
  </si>
  <si>
    <t>100.0%</t>
  </si>
  <si>
    <t>Combined intake across all channels (Meta, Housing, Webhook, Direct)</t>
  </si>
  <si>
    <t>Clients looking to rent or buy property</t>
  </si>
  <si>
    <t>Owners submitting property listings</t>
  </si>
  <si>
    <t>STAGE 2: TELECALLER ALLOCATION &amp; QUEUE</t>
  </si>
  <si>
    <t>Inquiries assigned to active telecallers for calling</t>
  </si>
  <si>
    <t>Awaiting telecaller assignment or direct intake</t>
  </si>
  <si>
    <t>STAGE 3: TELECALLER CALL OUTCOMES (WHAT IS ITS STATUS)</t>
  </si>
  <si>
    <t xml:space="preserve">  • New / In Telecaller Calling Queue</t>
  </si>
  <si>
    <t>Assigned to telecaller, awaiting first call connect</t>
  </si>
  <si>
    <t>Call placed; client phone rang or unanswered</t>
  </si>
  <si>
    <t xml:space="preserve">  • Callback Scheduled</t>
  </si>
  <si>
    <t>Client requested follow-up at specific time</t>
  </si>
  <si>
    <t>Client confirmed criteria; collecting preferences</t>
  </si>
  <si>
    <t>No requirement, budget/location mismatch, or wrong number</t>
  </si>
  <si>
    <t xml:space="preserve">  • Verified &amp; Listed on PropKart</t>
  </si>
  <si>
    <t>Owner inquiry verified and published live on portal</t>
  </si>
  <si>
    <t>STAGE 4: SALES TEAM ALLOCATION (THE 6 PEOPLE &amp; PROPKART ADMIN)</t>
  </si>
  <si>
    <t>Total Qualified Leads Handed to Sales</t>
  </si>
  <si>
    <t>Qualified leads assigned to Sales Executives</t>
  </si>
  <si>
    <t>Sales Team Lead • High-value requirement allocation</t>
  </si>
  <si>
    <t>Senior Sales • Key client portfolio management</t>
  </si>
  <si>
    <t>Senior Sales • Active client matching &amp; property visits</t>
  </si>
  <si>
    <t>Sales Executive • Client outreach &amp; site visits</t>
  </si>
  <si>
    <t>Core Telecaller • Inquiries processed</t>
  </si>
  <si>
    <t xml:space="preserve">  • Propkart Admin (Admin - Operations &amp; Inventory)</t>
  </si>
  <si>
    <t>-</t>
  </si>
  <si>
    <t>System Admin • Direct CRM inventory creation &amp; management</t>
  </si>
  <si>
    <t>STAGE 5: SALES PIPELINE OUTCOMES (CONVERSION &amp; CLOSURE)</t>
  </si>
  <si>
    <t xml:space="preserve">  • Assigned / In Active Follow-up &amp; Discussion</t>
  </si>
  <si>
    <t>Clients in active discussions with sales team</t>
  </si>
  <si>
    <t xml:space="preserve">  • Site Visits Scheduled</t>
  </si>
  <si>
    <t>Physical property visits scheduled with client</t>
  </si>
  <si>
    <t xml:space="preserve">  • Site Visits Completed / Done</t>
  </si>
  <si>
    <t>Physical walkthrough executed with sales executive</t>
  </si>
  <si>
    <t>Deals Won / Closed (Converted to Revenue)</t>
  </si>
  <si>
    <t>Successfully closed rental / resale commercial deals</t>
  </si>
  <si>
    <t xml:space="preserve">  • Disqualified / Rejected by Sales</t>
  </si>
  <si>
    <t>Inquiries closed by sales without deal conversion</t>
  </si>
  <si>
    <t>STAGE 6: PROPKART INVENTORY PORTFOLIO (TOTAL PROPERTIES)</t>
  </si>
  <si>
    <t>Total Properties in Inventory</t>
  </si>
  <si>
    <t>Verified properties in PropKart inventory database</t>
  </si>
  <si>
    <t xml:space="preserve">  • Available Properties (Ready for Matching)</t>
  </si>
  <si>
    <t>Active properties ready for immediate tenant/buyer walkthrough</t>
  </si>
  <si>
    <t xml:space="preserve">  • Rented Out Properties (Closed Deals)</t>
  </si>
  <si>
    <t>Leased properties closed on PropKart</t>
  </si>
  <si>
    <t xml:space="preserve">  • Sold Out / Other Properties</t>
  </si>
  <si>
    <t>Outright sales and properties under upcoming notice</t>
  </si>
  <si>
    <t>PROPKART CRM — EXECUTIVE KPI &amp; TIME-SERIES WORKLOAD DASHBOARD</t>
  </si>
  <si>
    <t>Authoritative Hostinger Database Audit • All-Time: 17-Jul-2026 to 28-Sep-2026 (73 Days Active) • Generated on: 28-Sep-2026 06:13 PM IST</t>
  </si>
  <si>
    <t>📅 INTERACTIVE DATE FILTER:</t>
  </si>
  <si>
    <t>From Date (YYYY-MM-DD):</t>
  </si>
  <si>
    <t>To Date (YYYY-MM-DD):</t>
  </si>
  <si>
    <t>Quick Presets:</t>
  </si>
  <si>
    <t>Today (28-Sep)</t>
  </si>
  <si>
    <t>This Week (22 to 28-Sep)</t>
  </si>
  <si>
    <t>This Month (Sep 2026)</t>
  </si>
  <si>
    <t>💡 Operational Usage Guide:</t>
  </si>
  <si>
    <t>To filter by custom dates, edit cells C4 &amp; E4. In data sheets (Listing, Requirement, Inventory), click Column A 'Date Filters' or Column B 'date filter' dropdown.</t>
  </si>
  <si>
    <t>DYNAMIC TOTAL LEADS
(Filtered Inquiries)</t>
  </si>
  <si>
    <t>DYNAMIC REQUIREMENTS
(Tenant / Buyer Leads)</t>
  </si>
  <si>
    <t>DYNAMIC LISTINGS
(Owner Listing Inquiries)</t>
  </si>
  <si>
    <t>DYNAMIC INVENTORY ADDED
(Properties Added)</t>
  </si>
  <si>
    <t>TOTAL ALL-TIME LEADS
(All Ingested Leads)</t>
  </si>
  <si>
    <t>ACTIVE LIVE INVENTORY
(Total PropKart Portfolio)</t>
  </si>
  <si>
    <t>TOTAL DEALS WON
(Converted to Revenue)</t>
  </si>
  <si>
    <t>1. MULTI-TIMEFRAME EXECUTIVE PERFORMANCE SUMMARY (TODAY, WEEKLY, MONTHLY, YEARLY)</t>
  </si>
  <si>
    <t>Executive CRM Performance Metric</t>
  </si>
  <si>
    <t>Weekly (Last 7 Days)</t>
  </si>
  <si>
    <t>Monthly (Sep 2026)</t>
  </si>
  <si>
    <t>Yearly / All-Time (2026)</t>
  </si>
  <si>
    <t>% of All-Time</t>
  </si>
  <si>
    <t>Operational Flow &amp; Business Impact</t>
  </si>
  <si>
    <t>Total Leads Ingested</t>
  </si>
  <si>
    <t>Unified ingestion across Meta, Housing, Webhook &amp; Direct</t>
  </si>
  <si>
    <t xml:space="preserve">  • Meta Ads (Facebook &amp; Instagram)</t>
  </si>
  <si>
    <t>73.2%</t>
  </si>
  <si>
    <t>Core paid social campaign performance</t>
  </si>
  <si>
    <t xml:space="preserve">  • Webhook API (External Feeds)</t>
  </si>
  <si>
    <t>10.6%</t>
  </si>
  <si>
    <t>Automated inbound campaign feeds</t>
  </si>
  <si>
    <t xml:space="preserve">  • Housing.com (Pahal API Auto-Sync)</t>
  </si>
  <si>
    <t>8.6%</t>
  </si>
  <si>
    <t>Automated portal synchronization</t>
  </si>
  <si>
    <t xml:space="preserve">  • Direct / Manual CRM Entry</t>
  </si>
  <si>
    <t>7.6%</t>
  </si>
  <si>
    <t>Walk-in inquiries and manual intake</t>
  </si>
  <si>
    <t xml:space="preserve">  • Organic Social Media</t>
  </si>
  <si>
    <t>0.1%</t>
  </si>
  <si>
    <t>Brand organic engagement</t>
  </si>
  <si>
    <t>Property Listing Inquiries</t>
  </si>
  <si>
    <t>35.4%</t>
  </si>
  <si>
    <t>Landlord / property owner inquiries</t>
  </si>
  <si>
    <t>Client Requirement Inquiries</t>
  </si>
  <si>
    <t>64.6%</t>
  </si>
  <si>
    <t>Tenant / commercial buyer inquiries</t>
  </si>
  <si>
    <t>Leads Allocated to Telecallers</t>
  </si>
  <si>
    <t>78.5%</t>
  </si>
  <si>
    <t>Actively distributed to telecaller calling queues</t>
  </si>
  <si>
    <t>Unallocated Leads in Queue</t>
  </si>
  <si>
    <t>21.5%</t>
  </si>
  <si>
    <t>Awaiting round-robin assignment or direct conversions</t>
  </si>
  <si>
    <t>Leads Handed Over to Sales Team</t>
  </si>
  <si>
    <t>24.1%</t>
  </si>
  <si>
    <t>Qualified prospects transferred to Sales Executives</t>
  </si>
  <si>
    <t>Site Visits Officially Scheduled</t>
  </si>
  <si>
    <t>Physical client property walkthroughs scheduled</t>
  </si>
  <si>
    <t>Site Visits Successfully Completed</t>
  </si>
  <si>
    <t>3.6%</t>
  </si>
  <si>
    <t>Walkthroughs completed with sales executive</t>
  </si>
  <si>
    <t>Deals Finalized / Closed Won</t>
  </si>
  <si>
    <t>1.5%</t>
  </si>
  <si>
    <t>Commercial closures finalized on PropKart</t>
  </si>
  <si>
    <t>Total Inventory Properties Added</t>
  </si>
  <si>
    <t>Verified properties available in PropKart database</t>
  </si>
  <si>
    <t>TOTAL DATABASE INGESTION</t>
  </si>
  <si>
    <t>Complete authoritative database accounting</t>
  </si>
  <si>
    <t>2. KEY PERSONNEL PERFORMANCE MATRIX (THE 6 CORE TEAM MEMBERS &amp; PROPKART ADMIN)</t>
  </si>
  <si>
    <t>Team Member Name</t>
  </si>
  <si>
    <t>Designation / CRM Role</t>
  </si>
  <si>
    <t>Weekly (7 Days)</t>
  </si>
  <si>
    <t>Monthly (Sep)</t>
  </si>
  <si>
    <t>Yearly / Total</t>
  </si>
  <si>
    <t>Requirements</t>
  </si>
  <si>
    <t>Listings</t>
  </si>
  <si>
    <t>Current Pipeline Status &amp; Key Conversion</t>
  </si>
  <si>
    <t>Properties in Inventory</t>
  </si>
  <si>
    <t>Viral Jadeja</t>
  </si>
  <si>
    <t>Sales Executive</t>
  </si>
  <si>
    <t>Active Sales • 21 Assigned • 1 Inventory Onboarded</t>
  </si>
  <si>
    <t>Prexa Vithalapara</t>
  </si>
  <si>
    <t>Telecaller</t>
  </si>
  <si>
    <t>Active Telecaller • 466 Allocated • High Volume Queue</t>
  </si>
  <si>
    <t>Zeel Mudaliyar</t>
  </si>
  <si>
    <t>Active Telecaller • 426 Allocated • Lead Qualification Lead</t>
  </si>
  <si>
    <t>Somel Rathod</t>
  </si>
  <si>
    <t>Senior Sales Executive</t>
  </si>
  <si>
    <t>Active Sales • 59 Assigned • 23 Properties in Inventory</t>
  </si>
  <si>
    <t>Rakesh Jadav</t>
  </si>
  <si>
    <t>Senior Sales • 86 Assigned • 33 Properties in Inventory</t>
  </si>
  <si>
    <t>Rajan Purani</t>
  </si>
  <si>
    <t>Sales Team Leader</t>
  </si>
  <si>
    <t>Sales Team Lead • 100 Assigned • 23 Properties in Inventory</t>
  </si>
  <si>
    <t>Propkart Admin</t>
  </si>
  <si>
    <t>Admin &amp; Operations Lead</t>
  </si>
  <si>
    <t>System Admin • 30 Properties Added • 27 Site Visits Scheduled</t>
  </si>
  <si>
    <t>Daksh Jasoliya</t>
  </si>
  <si>
    <t>Telecaller / Field Support</t>
  </si>
  <si>
    <t>Registered Telecaller • 26 Properties Onboarded</t>
  </si>
  <si>
    <t>TOTAL KEY PERSONNEL WORKLOAD</t>
  </si>
  <si>
    <t>Core Team Total</t>
  </si>
  <si>
    <t>Full Core Team Workload Across All Departments</t>
  </si>
  <si>
    <t>3. TELECALLER CALL OUTCOMES &amp; DISPOSITIONS (TODAY, WEEKLY, MONTHLY, YEARLY)</t>
  </si>
  <si>
    <t>Telecaller Pipeline Outcome</t>
  </si>
  <si>
    <t>Today</t>
  </si>
  <si>
    <t>Listing Leads</t>
  </si>
  <si>
    <t>Requirement Leads</t>
  </si>
  <si>
    <t>Share (%)</t>
  </si>
  <si>
    <t>Next Operational Trigger</t>
  </si>
  <si>
    <t>New / Open (In Telecaller Queue)</t>
  </si>
  <si>
    <t>33.5%</t>
  </si>
  <si>
    <t>Queued for immediate calling outreach</t>
  </si>
  <si>
    <t>CNR (Could Not Reach / Unanswered)</t>
  </si>
  <si>
    <t>14.3%</t>
  </si>
  <si>
    <t>Retried across morning/evening calling slots</t>
  </si>
  <si>
    <t>Callback Scheduled</t>
  </si>
  <si>
    <t>2.3%</t>
  </si>
  <si>
    <t>Calendar follow-up scheduled with client</t>
  </si>
  <si>
    <t>Interested (In Nurturing / Sourcing)</t>
  </si>
  <si>
    <t>13.9%</t>
  </si>
  <si>
    <t>Collecting exact preferences for handoff</t>
  </si>
  <si>
    <t>Picked Up &amp; Handed to Sales</t>
  </si>
  <si>
    <t>13.4%</t>
  </si>
  <si>
    <t>Direct handoff to assigned sales executive</t>
  </si>
  <si>
    <t>Property Listed on PropKart</t>
  </si>
  <si>
    <t>1.8%</t>
  </si>
  <si>
    <t>Verified owner inquiry published to portal</t>
  </si>
  <si>
    <t>Disqualified / Lost / Invalid</t>
  </si>
  <si>
    <t>24.5%</t>
  </si>
  <si>
    <t>Archived with documented rejection reason</t>
  </si>
  <si>
    <t>TOTAL ALLOCATED LEADS</t>
  </si>
  <si>
    <t>Authoritative telecaller pipeline distribution</t>
  </si>
  <si>
    <t>4. SALES FUNNEL &amp; STATUS TOGGLED BY SALES USERS (TODAY, WEEKLY, MONTHLY, YEARLY)</t>
  </si>
  <si>
    <t>Sales User Toggled Status</t>
  </si>
  <si>
    <t>Sales Stage</t>
  </si>
  <si>
    <t>Funnel Share</t>
  </si>
  <si>
    <t>Operational Meaning &amp; Next Action</t>
  </si>
  <si>
    <t>Assigned / Open</t>
  </si>
  <si>
    <t>Stage 1: Intake</t>
  </si>
  <si>
    <t>16.2%</t>
  </si>
  <si>
    <t>Lead transferred; awaiting first sales outreach</t>
  </si>
  <si>
    <t>Follow-up Scheduled</t>
  </si>
  <si>
    <t>Stage 2: Followup</t>
  </si>
  <si>
    <t>6.1%</t>
  </si>
  <si>
    <t>Client active in discussion; follow-up scheduled</t>
  </si>
  <si>
    <t>Re-Followup (Extended)</t>
  </si>
  <si>
    <t>15.7%</t>
  </si>
  <si>
    <t>Multiple follow-ups; client evaluating options</t>
  </si>
  <si>
    <t>Interested (Active Search)</t>
  </si>
  <si>
    <t>Stage 3: Evaluation</t>
  </si>
  <si>
    <t>8.1%</t>
  </si>
  <si>
    <t>Client shortlisted options; awaiting visit date</t>
  </si>
  <si>
    <t>Live (Active CRM Requirement)</t>
  </si>
  <si>
    <t>3.0%</t>
  </si>
  <si>
    <t>Active continuous search requirement in CRM</t>
  </si>
  <si>
    <t>Site Visits Pending / Scheduled</t>
  </si>
  <si>
    <t>Stage 4: Site Visit</t>
  </si>
  <si>
    <t>Officially scheduled in CRM site_visits</t>
  </si>
  <si>
    <t>Site Visit Done / Completed</t>
  </si>
  <si>
    <t>Physical walkthrough completed; negotiation stage</t>
  </si>
  <si>
    <t>Deal Won / Closed</t>
  </si>
  <si>
    <t>Stage 5: Deal Won</t>
  </si>
  <si>
    <t>Deal finalized and closed on PropKart</t>
  </si>
  <si>
    <t>Disqualified / Rejected</t>
  </si>
  <si>
    <t>Stage 6: Closed</t>
  </si>
  <si>
    <t>41.6%</t>
  </si>
  <si>
    <t>Closed without conversion (detailed below)</t>
  </si>
  <si>
    <t>Not Started / Uncategorized</t>
  </si>
  <si>
    <t>4.6%</t>
  </si>
  <si>
    <t>Initial intake state awaiting first touchpoint</t>
  </si>
  <si>
    <t>TOTAL SALES PIPELINE</t>
  </si>
  <si>
    <t>Active Sales</t>
  </si>
  <si>
    <t>Complete Sales Executive pipeline tracking</t>
  </si>
  <si>
    <t>5. REJECTION REASON ANALYSIS (WHY WERE LEADS REJECTED BY SALES?)</t>
  </si>
  <si>
    <t>Rejection Reason Category</t>
  </si>
  <si>
    <t>Disqualified Count</t>
  </si>
  <si>
    <t>% of Disqualifications</t>
  </si>
  <si>
    <t>Detailed Root Cause Analysis</t>
  </si>
  <si>
    <t>Operational &amp; Strategic Recommendation</t>
  </si>
  <si>
    <t>Campaign Optimization Action</t>
  </si>
  <si>
    <t>Rejected (No Requirement)</t>
  </si>
  <si>
    <t>22.0%</t>
  </si>
  <si>
    <t>Client stated they do not need any property at present</t>
  </si>
  <si>
    <t>Inquiry was accidental or curiosity click</t>
  </si>
  <si>
    <t>Refine ad copy to emphasize commitment</t>
  </si>
  <si>
    <t>Rejected (Budget Mismatch)</t>
  </si>
  <si>
    <t>20.7%</t>
  </si>
  <si>
    <t>Client budget is significantly below market rental rates</t>
  </si>
  <si>
    <t>Client expectations unrealistically low for locality</t>
  </si>
  <si>
    <t>Display starting prices clearly in ad creatives</t>
  </si>
  <si>
    <t>Rejected (Locality Mismatch)</t>
  </si>
  <si>
    <t>Client requested locations outside PropKart coverage</t>
  </si>
  <si>
    <t>Demand for non-serviced Ahmedabad micro-markets</t>
  </si>
  <si>
    <t>Geo-fence ad sets strictly to serviced zones</t>
  </si>
  <si>
    <t>Rejected (Already Rented)</t>
  </si>
  <si>
    <t>12.2%</t>
  </si>
  <si>
    <t>Client finalized alternative property before sales connect</t>
  </si>
  <si>
    <t>Response speed / turnaround time factor</t>
  </si>
  <si>
    <t>Reduce lead handoff latency from telecall to sales</t>
  </si>
  <si>
    <t>Rejected (Not Answering)</t>
  </si>
  <si>
    <t>4.9%</t>
  </si>
  <si>
    <t>Client repeatedly unresponsive across WhatsApp &amp; calls</t>
  </si>
  <si>
    <t>Lead became unreachable after initial interest</t>
  </si>
  <si>
    <t>Send automated WhatsApp template with listings</t>
  </si>
  <si>
    <t>Rejected (Negotiation Failed)</t>
  </si>
  <si>
    <t>2.4%</t>
  </si>
  <si>
    <t>Landlord and tenant could not agree on rent/deposit</t>
  </si>
  <si>
    <t>Commercial gap between offer and asking rate</t>
  </si>
  <si>
    <t>Train sales on dispute resolution &amp; structuring</t>
  </si>
  <si>
    <t>Rejected (Broker / Channel Partner)</t>
  </si>
  <si>
    <t>1.2%</t>
  </si>
  <si>
    <t>Lead turned out to be an external real estate broker</t>
  </si>
  <si>
    <t>Broker seeking co-brokerage or property access</t>
  </si>
  <si>
    <t>Add 'Are you a direct client or agent?' check</t>
  </si>
  <si>
    <t>Rejected (Others / Personal Reasons)</t>
  </si>
  <si>
    <t>23.2%</t>
  </si>
  <si>
    <t>Family relocation postponed, financing delay, etc.</t>
  </si>
  <si>
    <t>Personal client circumstances preventing move</t>
  </si>
  <si>
    <t>Tag for future re-engagement in 60-90 days</t>
  </si>
  <si>
    <t>TOTAL DISQUALIFIED INQUIRIES</t>
  </si>
  <si>
    <t>Complete Documentation of Disqualification Causes</t>
  </si>
  <si>
    <t>Full Transparency on Sales Disqualification Patterns</t>
  </si>
  <si>
    <t>Ongoing Lead Quality Feedback Loop</t>
  </si>
  <si>
    <t>6. INVENTORY &amp; TOTAL PROPERTIES OVERVIEW (PORTFOLIO ANALYSIS)</t>
  </si>
  <si>
    <t>Inventory Portfolio Segment</t>
  </si>
  <si>
    <t>Total Count</t>
  </si>
  <si>
    <t>Yearly / All-Time</t>
  </si>
  <si>
    <t>Portfolio Availability &amp; Status Meaning</t>
  </si>
  <si>
    <t>Status: Available</t>
  </si>
  <si>
    <t>88.2%</t>
  </si>
  <si>
    <t>Active available properties ready for tenant/buyer matching</t>
  </si>
  <si>
    <t>Status: Rented Out</t>
  </si>
  <si>
    <t>9.7%</t>
  </si>
  <si>
    <t>Successfully leased properties closed on PropKart</t>
  </si>
  <si>
    <t>Status: Sold Out</t>
  </si>
  <si>
    <t>1.4%</t>
  </si>
  <si>
    <t>Successfully sold resale properties</t>
  </si>
  <si>
    <t>Status: To Be Available</t>
  </si>
  <si>
    <t>0.7%</t>
  </si>
  <si>
    <t>Upcoming vacancy under notice period</t>
  </si>
  <si>
    <t>Property Type: Flat / Apartment</t>
  </si>
  <si>
    <t>77.8%</t>
  </si>
  <si>
    <t>Residential high-rise &amp; mid-rise inventory</t>
  </si>
  <si>
    <t>Property Type: Office</t>
  </si>
  <si>
    <t>11.1%</t>
  </si>
  <si>
    <t>Commercial office space inventory</t>
  </si>
  <si>
    <t>Property Type: Villa / Bungalow</t>
  </si>
  <si>
    <t>5.6%</t>
  </si>
  <si>
    <t>Independent luxury residential properties</t>
  </si>
  <si>
    <t>Property Type: Shop / Showroom</t>
  </si>
  <si>
    <t>3.5%</t>
  </si>
  <si>
    <t>Commercial retail properties</t>
  </si>
  <si>
    <t>Property Type: Farmhouse / Others</t>
  </si>
  <si>
    <t>2.1%</t>
  </si>
  <si>
    <t>Leisure and outlying land parcels</t>
  </si>
  <si>
    <t>Listing Type: Rent</t>
  </si>
  <si>
    <t>98.6%</t>
  </si>
  <si>
    <t>Rental property portfolio</t>
  </si>
  <si>
    <t>Listing Type: Re-Sale</t>
  </si>
  <si>
    <t>Outright resale property portfolio</t>
  </si>
  <si>
    <t>Onboarded by: Rakesh Jadav</t>
  </si>
  <si>
    <t>22.9%</t>
  </si>
  <si>
    <t>Senior Sales inventory onboarding</t>
  </si>
  <si>
    <t>Onboarded by: Propkart Admin</t>
  </si>
  <si>
    <t>20.8%</t>
  </si>
  <si>
    <t>Direct admin &amp; portal onboarding</t>
  </si>
  <si>
    <t>Onboarded by: Daksh Jasoliya</t>
  </si>
  <si>
    <t>18.1%</t>
  </si>
  <si>
    <t>Field sourcing and inventory onboarding</t>
  </si>
  <si>
    <t>Onboarded by: Rajan Purani</t>
  </si>
  <si>
    <t>16.0%</t>
  </si>
  <si>
    <t>Sales Lead inventory onboarding</t>
  </si>
  <si>
    <t>Onboarded by: Somel Rathod</t>
  </si>
  <si>
    <t>Onboarded by: Zeel Mudaliyar</t>
  </si>
  <si>
    <t>4.2%</t>
  </si>
  <si>
    <t>Telecaller verified owner onboarding</t>
  </si>
  <si>
    <t>Onboarded by: Prexa Vithalapara</t>
  </si>
  <si>
    <t>Onboarded by: Viral Jadeja</t>
  </si>
  <si>
    <t>Sales inventory onboarding</t>
  </si>
  <si>
    <t>PORTFOLIO TOTAL PROPERTIES</t>
  </si>
  <si>
    <t>Total verified inventory in PropKart database</t>
  </si>
  <si>
    <t>date</t>
  </si>
  <si>
    <t>date filter</t>
  </si>
  <si>
    <t>lead source</t>
  </si>
  <si>
    <t>lead name</t>
  </si>
  <si>
    <t>allocated telecaller</t>
  </si>
  <si>
    <t>current status</t>
  </si>
  <si>
    <t>if assigned -- sales user name</t>
  </si>
  <si>
    <t>sales user toggled current status</t>
  </si>
  <si>
    <t>remarks</t>
  </si>
  <si>
    <t>1. Today (28-Sep)</t>
  </si>
  <si>
    <t>Meta Ads (NB PropertyTech Rental Ad 0408)</t>
  </si>
  <si>
    <t>ब्राह्मण (6006452344)</t>
  </si>
  <si>
    <t>New</t>
  </si>
  <si>
    <t>Not Assigned</t>
  </si>
  <si>
    <t>N/A (Not Assigned)</t>
  </si>
  <si>
    <t>Samim Khatri (9016894002)</t>
  </si>
  <si>
    <t>Webhook API (NB PropertyTech Rental Ad 0408)</t>
  </si>
  <si>
    <t>Anil Khatri (9429510554)</t>
  </si>
  <si>
    <t>Unassigned</t>
  </si>
  <si>
    <t>Listed</t>
  </si>
  <si>
    <t>2. This Week (Last 7 Days)</t>
  </si>
  <si>
    <t>Housing.com (Koba)</t>
  </si>
  <si>
    <t>Vivek Singh (owner) (9426372931)</t>
  </si>
  <si>
    <t>Geeta Khatri (8368098432)</t>
  </si>
  <si>
    <t>Ashutosh Shingala (9737938603)</t>
  </si>
  <si>
    <t>Janvi Gandhi (7069793887)</t>
  </si>
  <si>
    <t>Kiru (7572958316)</t>
  </si>
  <si>
    <t>Julasana Niraj (9998225144)</t>
  </si>
  <si>
    <t>Saswath Singh (8299445788)</t>
  </si>
  <si>
    <t>Karan Bualni (9265895357)</t>
  </si>
  <si>
    <t>Niravkumar Sagar (9574941754)</t>
  </si>
  <si>
    <t>Mn (9898000939)</t>
  </si>
  <si>
    <t>Followup: Call Back</t>
  </si>
  <si>
    <t>Prakash Patel (9983233364)</t>
  </si>
  <si>
    <t>Jitendra Patel (9662014422)</t>
  </si>
  <si>
    <t>Vinita Borana (9825660846)</t>
  </si>
  <si>
    <t>Aval Barochia (8866706086)</t>
  </si>
  <si>
    <t>Sales</t>
  </si>
  <si>
    <t>Assigned</t>
  </si>
  <si>
    <t>Transfer: Zundal, Signature Elena, 3 BHK, 22K, Semi furnished | Transfer Note: Zundal, Signature Elena, 3 BHK, 22K, Semi furnished | CRM: [Telecaller Key Points]: Zundal, Signature Elena, 3 BHK, 22K, Semi furnished | [Telecaller Key Points]: Zundal, Signature Elena, 3 BHK, 22K, Semi furnished | Zundal, Signature Elena, 3 BHK, 22K, Semi furnished</t>
  </si>
  <si>
    <t>Vijay Patel (8849046508)</t>
  </si>
  <si>
    <t>Goldy Saluja (9924320692)</t>
  </si>
  <si>
    <t>Bhupendra (6353969707)</t>
  </si>
  <si>
    <t>Jitendra Purohit (9426066121)</t>
  </si>
  <si>
    <t>Ayush Rathod (8239121070)</t>
  </si>
  <si>
    <t>Industrial Agencies (9825701297)</t>
  </si>
  <si>
    <t>Webhook API</t>
  </si>
  <si>
    <t>Zeel (9584366883)</t>
  </si>
  <si>
    <t>10K, 1 bhk, back</t>
  </si>
  <si>
    <t>Dipak Thakkar (9825701235)</t>
  </si>
  <si>
    <t>Rajesh Sawlani (9825520060)</t>
  </si>
  <si>
    <t>We Two Friends Interested Gents (9426605655)</t>
  </si>
  <si>
    <t>Rama Kant Sharma (9818406056)</t>
  </si>
  <si>
    <t>P:) (8103848868)</t>
  </si>
  <si>
    <t>Nitin Chorasiya (7698856756)</t>
  </si>
  <si>
    <t>Suresh Maharaj (9978954007)</t>
  </si>
  <si>
    <t>Seema R Patadia (9824748462)</t>
  </si>
  <si>
    <t>Sangita Raval (9429132428)</t>
  </si>
  <si>
    <t>Chandan Kumar (8828099105)</t>
  </si>
  <si>
    <t>Umesh (9727692211)</t>
  </si>
  <si>
    <t>Jayesh Pandya (8780584456)</t>
  </si>
  <si>
    <t>Manisha Patel (7507499777)</t>
  </si>
  <si>
    <t>Rakeshbhai Somani (9426580992)</t>
  </si>
  <si>
    <t>Dolly Singh (9428362284)</t>
  </si>
  <si>
    <t>Monica (6351721811)</t>
  </si>
  <si>
    <t>M.f .haider (9473223637)</t>
  </si>
  <si>
    <t>Tushar Vara (9824053050)</t>
  </si>
  <si>
    <t>Nirmal Hadiya (9662200711)</t>
  </si>
  <si>
    <t>Roshan Tiwari (8758830117)</t>
  </si>
  <si>
    <t>Bhavesh Shah (8305902158)</t>
  </si>
  <si>
    <t>K I T T U (8469037586)</t>
  </si>
  <si>
    <t>Rajesh Kumar (7779049007)</t>
  </si>
  <si>
    <t>Vanarajbharvad (9316438021)</t>
  </si>
  <si>
    <t>Anil Kumar Thakar (9825521655)</t>
  </si>
  <si>
    <t>Kavisha Sanghvi (9586601198)</t>
  </si>
  <si>
    <t>Miss Tamang</t>
  </si>
  <si>
    <t>Housing.com (Nava Vadaj)</t>
  </si>
  <si>
    <t>Jignesh Raval (owner) (7435027180)</t>
  </si>
  <si>
    <t>Followup: CNR</t>
  </si>
  <si>
    <t>Meta Ads (Vaishno Devi Circle)</t>
  </si>
  <si>
    <t>Jay Rabari (owner) (6354351899)</t>
  </si>
  <si>
    <t>Rejected / Lost</t>
  </si>
  <si>
    <t>Rejected (Others)</t>
  </si>
  <si>
    <t>viaishandevi, 2bhk, 20k budget, semi furnished, family | Transfer: viaishandevi, 2bhk, 20k budget, semi furnished, family | Transfer Note: viaishandevi, 2bhk, 20k budget, semi furnished, family | Followup: CNR | CRM: [Telecaller Key Points]: viaishandevi, 2bhk, 20k budget, semi furnished, family | CRM Followup: CNR | [Telecaller Key Points]: viaishandevi, 2bhk, 20k budget, semi furnished, family</t>
  </si>
  <si>
    <t>Meta Ads (NB PropertyTech Survey Ad 3108)</t>
  </si>
  <si>
    <t>Rejected (Not_Interested)</t>
  </si>
  <si>
    <t>Not interested | Rejection: NOT_INTERESTED</t>
  </si>
  <si>
    <t>Housing.com (NB Pearl Heights)</t>
  </si>
  <si>
    <t>Jignesh Jadeja (owner) (9313203293)</t>
  </si>
  <si>
    <t>CNR (Could Not Reach)</t>
  </si>
  <si>
    <t>Transfer Note: Marked as CNR</t>
  </si>
  <si>
    <t>Housing.com (Vaishno Devi Circle)</t>
  </si>
  <si>
    <t>viaishandevi, 2bhk, 20k budget, semi furnished, family | Transfer: viaishandevi, 2bhk, 20k budget, semi furnished, family | Transfer Note: viaishandevi, 2bhk, 20k budget, semi furnished, family</t>
  </si>
  <si>
    <t>Requires Resale of 2 BHK with 30-35 Lakh budget | Rejection: NOT_INTERESTED | Followup: Wants to buy flat 2 bhk, 30-32 lakhs</t>
  </si>
  <si>
    <t>Transfer Note: Not picking up | Followup: call cut</t>
  </si>
  <si>
    <t>Required Commercial property (Retail shop), Location - Gota, Tragad, Vaishnodevi, !80-200 sq ft, Minimum budget is 20K, | Transfer: Required Commercial property (Retail shop), Location - Gota, Tragad, Vaishnodevi, !80-200 sq ft, Minimum budget is 20K, | Transfer Note: Required Commercial property (Retail shop), Location - Gota, Tragad, Vaishnodevi, !80-200 sq ft, Minimum budget is 20K,</t>
  </si>
  <si>
    <t>Followup: Call again</t>
  </si>
  <si>
    <t>3. This Month (Sep 2026)</t>
  </si>
  <si>
    <t>Meta Ads (Jagatpur)</t>
  </si>
  <si>
    <t>Umang Hingu (owner) (9510306322)</t>
  </si>
  <si>
    <t>Follow-Up</t>
  </si>
  <si>
    <t>Test | Transfer: Test | Transfer Note: Test | Followup: busy che 10 mminite ma call kre che/cnr | CRM: [Telecaller Key Points]: 20-30k budget , Near naroda , jodhpur , new ranip | CRM Followup: busy che 10 mminite ma call kre che/cnr | [Telecaller Key Points]: 20-30k budget , Near naroda , jodhpur , new ranip</t>
  </si>
  <si>
    <t>Vstrapur, 3BHK, 25k budget, furnished, family | Transfer: Vstrapur, 3BHK, 25k budget, furnished, family | Transfer Note: Vstrapur, 3BHK, 25k budget, furnished, family | CRM: [Telecaller Key Points]: Vstrapur, 3BHK, 25k budget, furnished, family | [Telecaller Key Points]: Vstrapur, 3BHK, 25k budget, furnished, family</t>
  </si>
  <si>
    <t>Interested</t>
  </si>
  <si>
    <t>Transfer Note: Marked as CNR | Followup: CNR</t>
  </si>
  <si>
    <t>Vstrapur, 3BHK, 25k budget, furnished, family | Transfer: Vstrapur, 3BHK, 25k budget, furnished, family | Transfer Note: Vstrapur, 3BHK, 25k budget, furnished, family</t>
  </si>
  <si>
    <t>Alkesh Thakkar (9825259527)</t>
  </si>
  <si>
    <t>Mithu (9409715092)</t>
  </si>
  <si>
    <t>Already found rental flat | Rejection: NOT_INTERESTED | Followup: out of station so after call back</t>
  </si>
  <si>
    <t>Harishanker Rajpurohit (9414534526)</t>
  </si>
  <si>
    <t>Sunil Kumar Suman (9328943683)</t>
  </si>
  <si>
    <t>Nishith Maheshwari (9926667797)</t>
  </si>
  <si>
    <t>indore property | Rejection: NOT_INTERESTED</t>
  </si>
  <si>
    <t>Neera Soni (8347758262)</t>
  </si>
  <si>
    <t>Girish Gohil (9909915052)</t>
  </si>
  <si>
    <t>Paresh (9974833999)</t>
  </si>
  <si>
    <t>Assigned / In Progress</t>
  </si>
  <si>
    <t>Testing | Transfer: Testing | Transfer Note: Testing</t>
  </si>
  <si>
    <t>Kirit (9824949012)</t>
  </si>
  <si>
    <t>Housing.com (Science City)</t>
  </si>
  <si>
    <t>Samir (owner) (8128499419)</t>
  </si>
  <si>
    <t>Desime Pringchi D Sangma (8974993723)</t>
  </si>
  <si>
    <t>Dipti Kher (9316176022)</t>
  </si>
  <si>
    <t>Housing.com (Jagatpur)</t>
  </si>
  <si>
    <t>Test | Transfer: Test | Transfer Note: Test</t>
  </si>
  <si>
    <t>Rita Patel (9725449545)</t>
  </si>
  <si>
    <t>Jagdish Keshwani (7878223999)</t>
  </si>
  <si>
    <t>Kshitish Mehta (9375521007)</t>
  </si>
  <si>
    <t>Rajendra Pathak (9978916747)</t>
  </si>
  <si>
    <t>J M Gohel (8401812381)</t>
  </si>
  <si>
    <t>Raj (9330352754)</t>
  </si>
  <si>
    <t>Transfer Note: Marked as CNR | Followup: Gota science city, 2BHK, furnished, 20k budget</t>
  </si>
  <si>
    <t>Darsh Thakar (9510191060)</t>
  </si>
  <si>
    <t>Vipul Darji (9913363639)</t>
  </si>
  <si>
    <t>Rashmikant Shah (9825455947)</t>
  </si>
  <si>
    <t>Location Mismatch | Rejection: NOT_INTERESTED</t>
  </si>
  <si>
    <t>Janak Pandya (9427493615)</t>
  </si>
  <si>
    <t>Rajendra Jadav (9879160888)</t>
  </si>
  <si>
    <t>Property Remark: 2 months deposit and pay advanvce rent every month</t>
  </si>
  <si>
    <t>Chetan Ghediya (8734811158)</t>
  </si>
  <si>
    <t>Property Remark: Also Available for Bachelors</t>
  </si>
  <si>
    <t>Housing.com (South Bopal)</t>
  </si>
  <si>
    <t>Ashray Reality (8347946809)</t>
  </si>
  <si>
    <t>Broker | Rejection: NOT_INTERESTED | Followup: Wants to buy commercial property (Broker)</t>
  </si>
  <si>
    <t>Housing.com (Chanakyapuri)</t>
  </si>
  <si>
    <t>Ramesh Singh (owner) (9909597172)</t>
  </si>
  <si>
    <t>Followup: Busy</t>
  </si>
  <si>
    <t>Mahendra Bharva (owner) (9825356806)</t>
  </si>
  <si>
    <t>Followup: Call Not Received</t>
  </si>
  <si>
    <t>Ravi Patel (owner) (9824369349)</t>
  </si>
  <si>
    <t>Looking for PG | Rejection: NOT_INTERESTED</t>
  </si>
  <si>
    <t>Bhavik Kareliya (9824143858)</t>
  </si>
  <si>
    <t>Sanjay Sharma (9825011441)</t>
  </si>
  <si>
    <t>Birva Dave (7575872109)</t>
  </si>
  <si>
    <t>[Telecaller Key Points]: not interested | Transfer: not interested | Transfer Note: not interested | Followup: CNR | CRM: [Telecaller Key Points]: not interested | not interested
[25 Sep '26, 11:24 AM] bhul thi amna son thi click thai gayu hase</t>
  </si>
  <si>
    <t>Saurabh Kumar Sinha (7984966684)</t>
  </si>
  <si>
    <t>this is testing leads -- do not take any actions -- | Transfer: Required Commercial property (Retail shop), Location - Gota, Tragad, Vaishnodevi, !80-200 sq ft, Minimum budget is 20K, | Transfer Note: Required Commercial property (Retail shop), Location - Gota, Tragad, Vaishnodevi, !80-200 sq ft, Minimum budget is 20K, | CRM: [Telecaller Key Points]: Location Vaishnodevi, Gota, Tragad, Commercial (retail shop), 180-200 sq ft, minimum budget is 20 K | [Telecaller Key Points]: Location Vaishnodevi, Gota, Tragad, Commercial (retail shop), 180-200 sq ft, minimum budget is 20 K</t>
  </si>
  <si>
    <t>ભાવના ચૌહાણ ગેડીયા (7265084173)</t>
  </si>
  <si>
    <t>Followup: Will call back</t>
  </si>
  <si>
    <t>Ak_ahir_307 (9316220076)</t>
  </si>
  <si>
    <t>Vinit (9601268661)</t>
  </si>
  <si>
    <t>Hitesh मिश्रा (9106946228)</t>
  </si>
  <si>
    <t>Door Dreamer And Innvoator (9238900250)</t>
  </si>
  <si>
    <t>Mukund Patel (9825892567)</t>
  </si>
  <si>
    <t>Jignesh Upadhyay (8980603521)</t>
  </si>
  <si>
    <t>Re-Followup</t>
  </si>
  <si>
    <t>[15 Sep '26, 2:30 PM] Location Vaishnodevi, Gota, 2 BHK, for family, 18-20 k, Possession from nov
[16 Sep '26, 4:36 PM] silvver nest ne pearl hight nidetaail send kri che | Followup: amne november pachi joiye cche call krse number save karyo che | CRM: [Campaign: NB PropertyTech Rental Ad 0408] Imported from Campaign Leads (Webhook API). | CRM Followup: amne november pachi joiye cche call krse number save karyo che | [Campaign: NB PropertyTech Rental Ad 0408] Imported from Campaign Leads (Webhook API).</t>
  </si>
  <si>
    <t>Kevin Patel (9313083007)</t>
  </si>
  <si>
    <t>Lakhan Prabhatsinh Rathod (9725929393)</t>
  </si>
  <si>
    <t>Umang Trivedi (9898426900)</t>
  </si>
  <si>
    <t>Nikunj Joshi (7990321056)</t>
  </si>
  <si>
    <t>Rajubhai Bharvad (6355323756)</t>
  </si>
  <si>
    <t>Property Remark: Only vegetarian family</t>
  </si>
  <si>
    <t>Viralbhai (9998526402)</t>
  </si>
  <si>
    <t>Property Remark: Maintenance approx quarterly 8300</t>
  </si>
  <si>
    <t>Udayan Rambhai Rami (9825008836)</t>
  </si>
  <si>
    <t>Mukesh Jain (9638699860)</t>
  </si>
  <si>
    <t>Gaurav Patel (9328867831)</t>
  </si>
  <si>
    <t>Kalpesh Sathwara (7984341585)</t>
  </si>
  <si>
    <t>Neerad Doshi (6352139766)</t>
  </si>
  <si>
    <t>Gayatri Patel (7600773975)</t>
  </si>
  <si>
    <t>Sanjay Modi (9924171769)</t>
  </si>
  <si>
    <t>Devang Lakhiyar (7990648803)</t>
  </si>
  <si>
    <t>𝘼𝙡 𝙨𝙝𝙖𝙞𝙠𝙝 (9662591126)</t>
  </si>
  <si>
    <t>Darshan Parmar (6355932733)</t>
  </si>
  <si>
    <t>Bhavesh Baroliya (9925213176)</t>
  </si>
  <si>
    <t>Sweta Katrodiya (9099437430)</t>
  </si>
  <si>
    <t>Transfer Note: Out of service | Followup: CNR</t>
  </si>
  <si>
    <t>Yash Pal Sood. (9327099951)</t>
  </si>
  <si>
    <t>Dhruv Patel (9426975700)</t>
  </si>
  <si>
    <t>Property Remark: 17,000 rent for each shop</t>
  </si>
  <si>
    <t>Piyush Thakkar (9033031902)</t>
  </si>
  <si>
    <t>Feni Patel (9106950119)</t>
  </si>
  <si>
    <t>Contact Me On Whatsapp Please Don't Call (8728988888)</t>
  </si>
  <si>
    <t>Piyasi Pal (9427416300)</t>
  </si>
  <si>
    <t>Anil Mistry (9426569262)</t>
  </si>
  <si>
    <t>Followup: Call not answered | Property Remark: Office furniture</t>
  </si>
  <si>
    <t>Devang Dave (9558891892)</t>
  </si>
  <si>
    <t>Kalpesh Zala (9909967795)</t>
  </si>
  <si>
    <t>Divyesh Ruparel (8306640345)</t>
  </si>
  <si>
    <t>Property Remark: Semi furnished, modular kitchen, basic accesories, Geyser</t>
  </si>
  <si>
    <t>Raval Maheshkumar (9428330934)</t>
  </si>
  <si>
    <t>Priti Jilka Wala (9167855070)</t>
  </si>
  <si>
    <t>NOT INTERESTED | Rejection: NOT_INTERESTED | Followup: call cut zeel jode vat thai chhe ev kidhu</t>
  </si>
  <si>
    <t>Robindranath Raval (9824004802)</t>
  </si>
  <si>
    <t>Amman Prajapati (9584366883)</t>
  </si>
  <si>
    <t>Sabita Dutta (9998502333)</t>
  </si>
  <si>
    <t>Bansari Ghiya Shah (9427736619)</t>
  </si>
  <si>
    <t>𝕄𝕒𝕪𝕒𝕟𝕜 𝔾𝕦𝕡𝕥𝕒 (9427971960)</t>
  </si>
  <si>
    <t>Atulbhai Shantilal Shah (9574605459)</t>
  </si>
  <si>
    <t>Dharti Umrania (8758043902)</t>
  </si>
  <si>
    <t>N Desai (9726480351)</t>
  </si>
  <si>
    <t>Jayesh Prajapati (9712526879)</t>
  </si>
  <si>
    <t>Pragnaba Jaspalsinh Parmar (9662104405)</t>
  </si>
  <si>
    <t>Remi Remrem (9383177325)</t>
  </si>
  <si>
    <t>Ramesh Padia (9898467025)</t>
  </si>
  <si>
    <t>Followup: Pictures are pending | Property Remark: 4k per year, electricity bill excluded</t>
  </si>
  <si>
    <t>Sameer Shaikh (9574530786)</t>
  </si>
  <si>
    <t>Followup: Details and pictures are pending</t>
  </si>
  <si>
    <t>Meghraj (9104409194)</t>
  </si>
  <si>
    <t>Dinesh Parmar (8511123220)</t>
  </si>
  <si>
    <t>Followup: Pictures are pending | Property Remark: Maintenance 1800</t>
  </si>
  <si>
    <t>Saudamini Kapasi (6355275700)</t>
  </si>
  <si>
    <t>Followup: Test</t>
  </si>
  <si>
    <t>Gayatri Brahmbhatt (8160769507)</t>
  </si>
  <si>
    <t>Nilamba Rana (8160810237)</t>
  </si>
  <si>
    <t>Vipul Vaghela (7383445381)</t>
  </si>
  <si>
    <t>Hardik Nayak (9724409089)</t>
  </si>
  <si>
    <t>Followup: In traffic (Rented out or out) | Property Remark: Semi furnished, modular kitchen, bed, basic accesories, gas line
Maintenance 2250</t>
  </si>
  <si>
    <t>Rahul Patel (9274122436)</t>
  </si>
  <si>
    <t>Prince Desai Por (9909496754)</t>
  </si>
  <si>
    <t>Dharmendra Pal (9755097887)</t>
  </si>
  <si>
    <t>Followup: Call not received</t>
  </si>
  <si>
    <t>Vivek Shah (7069041838)</t>
  </si>
  <si>
    <t>Asmita Patel (9510187511)</t>
  </si>
  <si>
    <t>Property Remark: Semi furnished, modular kitchen, bed, basic accesories</t>
  </si>
  <si>
    <t>Khushkalal_17 (8955698200)</t>
  </si>
  <si>
    <t>Rohit Kumar Ravi (9993980365)</t>
  </si>
  <si>
    <t>Alka Shah (9426599129)</t>
  </si>
  <si>
    <t>Parmeshwar (9265031372)</t>
  </si>
  <si>
    <t>Property Remark: Semi furnished, modular kitchen, basic accesories</t>
  </si>
  <si>
    <t>Abhii (8999660234)</t>
  </si>
  <si>
    <t>Nisarg (7383981121)</t>
  </si>
  <si>
    <t>Riddhil Lathia (9819051025)</t>
  </si>
  <si>
    <t>Mukeshbhai Gandhi (7990721847)</t>
  </si>
  <si>
    <t>Paresh Parmar (9714784630)</t>
  </si>
  <si>
    <t>Ashvin Patel (9428514992)</t>
  </si>
  <si>
    <t>Property Remark: Modular Kitched, curtain, lights, fans, basic accessories
Electricity and gas bill from tenant side, good amenities such as gym, game zone etc..</t>
  </si>
  <si>
    <t>Naresh Brahmbhatt (9824164649)</t>
  </si>
  <si>
    <t>Jay (9157684624)</t>
  </si>
  <si>
    <t>Property Remark: No maintenance, 100 sq yard scape at house front, on ground floor, all facilities, wants 1 year of agreement</t>
  </si>
  <si>
    <t>Rajendra Jain (9426702573)</t>
  </si>
  <si>
    <t>Urban Realty (9898775010)</t>
  </si>
  <si>
    <t>Sk (9909630275)</t>
  </si>
  <si>
    <t>Dharmesh Vyas Advocate (9426274123)</t>
  </si>
  <si>
    <t>Dilipkumar Lallubhai Nayi (9428185333)</t>
  </si>
  <si>
    <t>𝐤♡𝐢𝐬𝐬𝐮𝐮𝐮.... (6352227983)</t>
  </si>
  <si>
    <t>Rajesh Tiwari (8601877360)</t>
  </si>
  <si>
    <t>Followup: rajesh tiwari callback</t>
  </si>
  <si>
    <t>Naresh Bunker 009 (8849813131)</t>
  </si>
  <si>
    <t>Sudhir Arya (7698451376)</t>
  </si>
  <si>
    <t>Bharatkumar Somabhai Modi (9825503818)</t>
  </si>
  <si>
    <t>Kavita Murjani (9537475459)</t>
  </si>
  <si>
    <t>Mukesh Devmurari (9925216178)</t>
  </si>
  <si>
    <t>Kamlesh (9924649205)</t>
  </si>
  <si>
    <t>Tushar Parikh (9979356800)</t>
  </si>
  <si>
    <t>Bharatbhai Shah (9825044566)</t>
  </si>
  <si>
    <t>Surendra Singh (9998109756)</t>
  </si>
  <si>
    <t>Kishan Panchal (9824488656)</t>
  </si>
  <si>
    <t>Narendra (9909289068)</t>
  </si>
  <si>
    <t>Bhavesh Varma (7567649617)</t>
  </si>
  <si>
    <t>Mehul Desai (9824145011)</t>
  </si>
  <si>
    <t>Property Remark: 4 AC, 2 cabin, separate lift, 25 work station, in built CCTV, pantry area separate, furnished waiting area, large reception desk</t>
  </si>
  <si>
    <t>Naveen Behl (7575002880)</t>
  </si>
  <si>
    <t>Yogina Tripathi (9998224030)</t>
  </si>
  <si>
    <t>Dr Rajput (8401156644)</t>
  </si>
  <si>
    <t>Mulchandbhai Patel (9824313651)</t>
  </si>
  <si>
    <t>Sureshbhai Rasiklal Soni (9898871398)</t>
  </si>
  <si>
    <t>Atul Patel (9879587037)</t>
  </si>
  <si>
    <t>Janki Chaudhary (7435944166)</t>
  </si>
  <si>
    <t>Avanish Kumar (7004428180)</t>
  </si>
  <si>
    <t>Vasant Engineering Co (9898009123)</t>
  </si>
  <si>
    <t>Asha Desai (8401780024)</t>
  </si>
  <si>
    <t>Hiren Patoliya (9638516939)</t>
  </si>
  <si>
    <t>Unnati (9157646747)</t>
  </si>
  <si>
    <t>Jayeshbhai H Maheta (9624622175)</t>
  </si>
  <si>
    <t>Yash_patel (8401142635)</t>
  </si>
  <si>
    <t>Parmar Bharti (8469180557)</t>
  </si>
  <si>
    <t>Rakesh C Shelat (9638034209)</t>
  </si>
  <si>
    <t>Jayendra N Shah (9824025285)</t>
  </si>
  <si>
    <t>Dhairya Patel (8141279797)</t>
  </si>
  <si>
    <t>Property Remark: 2500 maintenance</t>
  </si>
  <si>
    <t>Yogeshgiri Goswami (8780599736)</t>
  </si>
  <si>
    <t>Anil Trivedi Real Estate Broker (7359107369)</t>
  </si>
  <si>
    <t>Mᴀɴɪsʜ々vaishnav (9351212904)</t>
  </si>
  <si>
    <t>Shashank Brahmbhatt (9429660196)</t>
  </si>
  <si>
    <t>Dhaval Patel (9016551577)</t>
  </si>
  <si>
    <t>Shraddha Vyas (9979843397)</t>
  </si>
  <si>
    <t>Ghanshyam Valaki (9879464611)</t>
  </si>
  <si>
    <t>Rakeshkumar Shah (9737505206)</t>
  </si>
  <si>
    <t>Khushi Pankhaniya (7990700991)</t>
  </si>
  <si>
    <t>Dolly Popat (9106626596)</t>
  </si>
  <si>
    <t>Sejjal Upadhyay (9586232537)</t>
  </si>
  <si>
    <t>Umesh (8320296774)</t>
  </si>
  <si>
    <t>Hiren Shah (9924945499)</t>
  </si>
  <si>
    <t>Dr. Priyal Bhatt Shah (9408280355)</t>
  </si>
  <si>
    <t>Property Remark: 17,000 + tax and maintenance</t>
  </si>
  <si>
    <t>Meghavi Limbachiya (7990276497)</t>
  </si>
  <si>
    <t>Yug Patel (8758235855)</t>
  </si>
  <si>
    <t>Rakesh (9251060587)</t>
  </si>
  <si>
    <t>Shailesh (9904864000)</t>
  </si>
  <si>
    <t>Milan Vaghela (8511724035)</t>
  </si>
  <si>
    <t>Anju Soni (9979607890)</t>
  </si>
  <si>
    <t>Sheela Vijay (9428219706)</t>
  </si>
  <si>
    <t>Sunil Chatterjee (9427621991)</t>
  </si>
  <si>
    <t>Krishna Thakar (8733910895)</t>
  </si>
  <si>
    <t>Prashant Karavadiya (7817827810)</t>
  </si>
  <si>
    <t>Khushbu Barot (9687888641)</t>
  </si>
  <si>
    <t>Kirit Patel (9924026800)</t>
  </si>
  <si>
    <t>Ummed Gehlot (9829317114)</t>
  </si>
  <si>
    <t>Vipul Parikh (9033021158)</t>
  </si>
  <si>
    <t>Krishna Vithalani (9376607294)</t>
  </si>
  <si>
    <t>Jayesh Khambhala (6351215725)</t>
  </si>
  <si>
    <t>Mukesh Patel (9825063997)</t>
  </si>
  <si>
    <t>Property Remark: Separate garden provided</t>
  </si>
  <si>
    <t>Magan Lal Jp Dhanlaxmi (9828766083)</t>
  </si>
  <si>
    <t>Jain Raj (9904245742)</t>
  </si>
  <si>
    <t>Prashant Gandhi (8460440793)</t>
  </si>
  <si>
    <t>Harsha Akhja (9879666513)</t>
  </si>
  <si>
    <t>Sangita Patel (8849928379)</t>
  </si>
  <si>
    <t>Pankaj Manek (9427944344)</t>
  </si>
  <si>
    <t>Khushi Patel (9265602115)</t>
  </si>
  <si>
    <t>Dhaval Solanki (7622989941)</t>
  </si>
  <si>
    <t>Property Remark: "Modular kitchen, Folding Dining, Safety Door,
Lights &amp; fans, 2 Geysers,
Another Basic Accessories"</t>
  </si>
  <si>
    <t>Bhavna Gharekhan (9879514255)</t>
  </si>
  <si>
    <t>Khemraj Dangi Shiv Constion (9511545048)</t>
  </si>
  <si>
    <t>Raxit Shah (9974051143)</t>
  </si>
  <si>
    <t>Jyoti Gadhavi (8511216756)</t>
  </si>
  <si>
    <t>Kanchan Tiwari (8827867119)</t>
  </si>
  <si>
    <t>Utsav Radadiya (7043798279)</t>
  </si>
  <si>
    <t>Rajesh Bharadva (9879044207)</t>
  </si>
  <si>
    <t>Nikunj Kuma (7600626611)</t>
  </si>
  <si>
    <t>Harsh Barot (6354770025)</t>
  </si>
  <si>
    <t>Ketan Dhall (9888922802)</t>
  </si>
  <si>
    <t>Rohit Sharma (9537310448)</t>
  </si>
  <si>
    <t>Himanshu (9427314116)</t>
  </si>
  <si>
    <t>Ansh Khokhani (9016062014)</t>
  </si>
  <si>
    <t>Kavya (9574169190)</t>
  </si>
  <si>
    <t>Vinay (8619168086)</t>
  </si>
  <si>
    <t>Dhrumil Sinroja (7984937070)</t>
  </si>
  <si>
    <t>Ashok Pathak (9427236810)</t>
  </si>
  <si>
    <t>Vivek Shah (9904902525)</t>
  </si>
  <si>
    <t>Raj Raj (8511777224)</t>
  </si>
  <si>
    <t>Darshana (9313126261)</t>
  </si>
  <si>
    <t>Bhadreshkumar Bhatt (9824375709)</t>
  </si>
  <si>
    <t>Sanjay N (7892524042)</t>
  </si>
  <si>
    <t>Bhagwandas Datwani (9825083766)</t>
  </si>
  <si>
    <t>Sunita Chhablani (9099090784)</t>
  </si>
  <si>
    <t>Ca_shail Shah (9328342213)</t>
  </si>
  <si>
    <t>Ghanshyam Jethva (9328112792)</t>
  </si>
  <si>
    <t>Property Remark: AC, lights, fans, basic accesories
Open terrace, open parking, for both family as well as 2 bach.</t>
  </si>
  <si>
    <t>Akshay (9409067253)</t>
  </si>
  <si>
    <t>Devang Parekh (9978908306)</t>
  </si>
  <si>
    <t>Property Remark: Garden facing</t>
  </si>
  <si>
    <t>Dêvyãñì Shärmâ (7304029039)</t>
  </si>
  <si>
    <t>Maria Dodiyar Dodiyar (9879193147)</t>
  </si>
  <si>
    <t>Maniish Anttani (9824632667)</t>
  </si>
  <si>
    <t>Raj Koshti (9925461554)</t>
  </si>
  <si>
    <t>Yash Patel (9099384210)</t>
  </si>
  <si>
    <t>Chandmal Singhvi (7597335584)</t>
  </si>
  <si>
    <t>Ravindra Pal (9427284626)</t>
  </si>
  <si>
    <t>Babubhai Patel (9909795304)</t>
  </si>
  <si>
    <t>Mihieer Desai (9725999800)</t>
  </si>
  <si>
    <t>Thakkar Naresh (9427645123)</t>
  </si>
  <si>
    <t>Rekha Vadecha (9879539295)</t>
  </si>
  <si>
    <t>Julee Thakkar (9429622015)</t>
  </si>
  <si>
    <t>Property Remark: 2000 maintenance (taxes and maintenance excluded)
6 working station, 3 cabins, 8 seater conference room,  6 AC, CCTV Camera, 1 reception, waiting lounge, 1 pantry, EPABX system</t>
  </si>
  <si>
    <t>Atul Upadhyay (9327064440)</t>
  </si>
  <si>
    <t>Mayra (9978923413)</t>
  </si>
  <si>
    <t>Khushi_lodhari (7698475570)</t>
  </si>
  <si>
    <t>Ashish Mistry (9979066830)</t>
  </si>
  <si>
    <t>Piyush Banerjee (9889663430)</t>
  </si>
  <si>
    <t>Sujatapanchal (9558014982)</t>
  </si>
  <si>
    <t>Parag Shah (9825284949)</t>
  </si>
  <si>
    <t>Rohitkumar Trivedi (9825007326)</t>
  </si>
  <si>
    <t>Property Remark: Lift Shifting Charges 3000</t>
  </si>
  <si>
    <t>Uma Vyas Vaghela (7043336692)</t>
  </si>
  <si>
    <t>Property Remark: Furnished Kitchen, folding dining, TV, AC, Gyzer, Ro, Refridgerator, Washing machine, fully furnished</t>
  </si>
  <si>
    <t>Swati Gill (8810459963)</t>
  </si>
  <si>
    <t>Premal Raval (9824242410)</t>
  </si>
  <si>
    <t>Property Remark: Taxes and maintenance excluded</t>
  </si>
  <si>
    <t>Sumi S.c Dave (6352340996)</t>
  </si>
  <si>
    <t>Rajesh Agrawal (9426068683)</t>
  </si>
  <si>
    <t>Harsh Rajput (7654017987)</t>
  </si>
  <si>
    <t>Rishi Vyas (9428552476)</t>
  </si>
  <si>
    <t>Dhruvi Soni (7016872592)</t>
  </si>
  <si>
    <t>Jaimin P Patel (9428321951)</t>
  </si>
  <si>
    <t>Abhay Tanna (9825194975)</t>
  </si>
  <si>
    <t>Followup: Hello</t>
  </si>
  <si>
    <t>Mansi Jani (9724312672)</t>
  </si>
  <si>
    <t>Manisha Soni (9979787813)</t>
  </si>
  <si>
    <t>Mehul Patel (8141097038)</t>
  </si>
  <si>
    <t>Rina Deepak Parmar (9724387776)</t>
  </si>
  <si>
    <t>Niket Patel (9974330322)</t>
  </si>
  <si>
    <t>Ashwini Somkuwar (7405831705)</t>
  </si>
  <si>
    <t>Hardik Vaghela (8460475637)</t>
  </si>
  <si>
    <t>Akshay Dutt (9924345275)</t>
  </si>
  <si>
    <t>Satish Sharma (9408287397)</t>
  </si>
  <si>
    <t>Sandip Sharma (9099586276)</t>
  </si>
  <si>
    <t>Rajesh Bhavsar (9824442820)</t>
  </si>
  <si>
    <t>​​​​rishii (9898982525)</t>
  </si>
  <si>
    <t>Sanjay Vandra (9925987280)</t>
  </si>
  <si>
    <t>Umang Shah (9924479991)</t>
  </si>
  <si>
    <t>Bhagyawati Sahu (9864234141)</t>
  </si>
  <si>
    <t>Ashok Kankaria (9426157761)</t>
  </si>
  <si>
    <t>પ (9601478159)</t>
  </si>
  <si>
    <t>Rajpurohit (7990705866)</t>
  </si>
  <si>
    <t>Jorawar Singh (8238763999)</t>
  </si>
  <si>
    <t>Prahladpro007 (9875053100)</t>
  </si>
  <si>
    <t>Rushi Donda (7069592939)</t>
  </si>
  <si>
    <t>Pooja Thakur (9712011122)</t>
  </si>
  <si>
    <t>Darshan U Vyas (9979786654)</t>
  </si>
  <si>
    <t>Property Remark: "1 Boss cabin
2 cubicle 
10 to 15 work station
Pantry"</t>
  </si>
  <si>
    <t>Navin Prajapati (9725539281)</t>
  </si>
  <si>
    <t>Nasrin Mansuri (9825028428)</t>
  </si>
  <si>
    <t>Balubhai Gajera (9824376295)</t>
  </si>
  <si>
    <t>Pragnesh Modi (9998722469)</t>
  </si>
  <si>
    <t>Dashrath Valand (6359484693)</t>
  </si>
  <si>
    <t>Vishnukumar Vyas (7990557102)</t>
  </si>
  <si>
    <t>Vikram_odedara (8758234454)</t>
  </si>
  <si>
    <t>Jignesh Shah (9879353455)</t>
  </si>
  <si>
    <t>Ajay Dave (9428362763)</t>
  </si>
  <si>
    <t>Atul (9372061162)</t>
  </si>
  <si>
    <t>Faridaben Malek (9974757957)</t>
  </si>
  <si>
    <t>Krishna_diwani (9327003829)</t>
  </si>
  <si>
    <t>Yug Patel (9033391909)</t>
  </si>
  <si>
    <t>Pancholi Chetan H (9825399856)</t>
  </si>
  <si>
    <t>Gauri Shankar Rajput (9723506613)</t>
  </si>
  <si>
    <t>Bhadresh Patel (9824430208)</t>
  </si>
  <si>
    <t>Sonal Mistry (9925511592)</t>
  </si>
  <si>
    <t>Ca Apurva Davda (9427687127)</t>
  </si>
  <si>
    <t>Followup: Test again</t>
  </si>
  <si>
    <t>P@dulera. (7984420730)</t>
  </si>
  <si>
    <t>Nayna Vadher (8866858932)</t>
  </si>
  <si>
    <t>Followup: Details are pending</t>
  </si>
  <si>
    <t>Mohit Modi (9409143526)</t>
  </si>
  <si>
    <t>Daksha Kanzariya (8160960757)</t>
  </si>
  <si>
    <t>Bhadresh Dave (9537000911)</t>
  </si>
  <si>
    <t>Rajubhai Shah (9427005051)</t>
  </si>
  <si>
    <t>Mehul Soni (9904721565)</t>
  </si>
  <si>
    <t>Mamta Vora (8780327185)</t>
  </si>
  <si>
    <t>Followup: Pictures are pending</t>
  </si>
  <si>
    <t>𝓟𝓻𝓪𝓭𝓮𝓮𝓹 𝓟𝓲𝓽𝓱𝓪𝓭𝓲𝔂𝓪 (9016337978)</t>
  </si>
  <si>
    <t>Dhaval Darji (9967329888)</t>
  </si>
  <si>
    <t>Nilesh Soni (9099986026)</t>
  </si>
  <si>
    <t>Bipin Samani (9824227428)</t>
  </si>
  <si>
    <t>Margish Joshi (9824131889)</t>
  </si>
  <si>
    <t>Pravin Vaghela (9924182477)</t>
  </si>
  <si>
    <t>Meta Ads</t>
  </si>
  <si>
    <t>Meta Lead (9980000000)</t>
  </si>
  <si>
    <t>Mayur Nakarani (7069456181)</t>
  </si>
  <si>
    <t>not inquired</t>
  </si>
  <si>
    <t>Direct Property / Walk-in</t>
  </si>
  <si>
    <t>Aakash 2 - Karan bhai (9510877481</t>
  </si>
  <si>
    <t>Direct CRM Listing</t>
  </si>
  <si>
    <t>Listed on PropKart (Rented Out)</t>
  </si>
  <si>
    <t>Onboarded (Rented Out)</t>
  </si>
  <si>
    <t>Kameshwar elite 140 - Jignesh mandlecha (7990733327</t>
  </si>
  <si>
    <t>Listed on PropKart (Available)</t>
  </si>
  <si>
    <t>Onboarded (Available)</t>
  </si>
  <si>
    <t>curtain rod, modular kitchen, fan and lights, bird nett, exhaust fan in Bathroom and kichen, adani Gas line</t>
  </si>
  <si>
    <t>Ratnadeep Complex - Pathik Brahmkshatriya (9727603446</t>
  </si>
  <si>
    <t>Two Split ACs, Sofa (3+2), Dining Table with 4 Chairs, CNG Gas connection, Refrigerator, Furnished Kitchen with store room, Center table, Dressing Table, Wardrobes, Double bed with Mattresses, Temple Altar</t>
  </si>
  <si>
    <t>Suyash Status , Near Capital 1 Science city - Viral bhai (9016134878</t>
  </si>
  <si>
    <t>Viral bhai ae aa property mokli che 
other details mate Viral bhai ne contact kro</t>
  </si>
  <si>
    <t>shivanta regel zundal - karan bhai (9227087898</t>
  </si>
  <si>
    <t>invester flate che sara rate ma</t>
  </si>
  <si>
    <t>super city bhadaj - indu ben (9427132974</t>
  </si>
  <si>
    <t>GOYAL PALLADIUM - Nishita Shah (9427601721</t>
  </si>
  <si>
    <t>2 AC, Partion
Maintenance Charges separate</t>
  </si>
  <si>
    <t>Shivam Appartment - Dhaval Patel (9558630687</t>
  </si>
  <si>
    <t>Sofa, Double Bed, Dining table + warddrobe + 2 extra bed + modular kitchen, all fan + light + curtain + 2 AC point + 2 no water tank for water storage
Maintenance 2500 annually</t>
  </si>
  <si>
    <t>Pramukh park - Rajveet Singh (8264292166</t>
  </si>
  <si>
    <t>No Brokerage</t>
  </si>
  <si>
    <t>osjdvn - aosdjfn (2222222222</t>
  </si>
  <si>
    <t>wepgvkmn</t>
  </si>
  <si>
    <t>Shashtrinagar - Jaimin Rathod (9016134877</t>
  </si>
  <si>
    <t>testing property - kjdkcjas (1326568979</t>
  </si>
  <si>
    <t>Shree Krishna Center, near Bank Of Baroda - Sunil Chaterjee (6353676023</t>
  </si>
  <si>
    <t>Aakash Residency - Bhadresh Solanki (9825005069</t>
  </si>
  <si>
    <t>Shyamvilla Bungalows - Pratik bhai (9228121713</t>
  </si>
  <si>
    <t>Shrifal Apartments Gota - Kishor bhai (9824940006</t>
  </si>
  <si>
    <t>Aroma Residency - Williams bhai (7096040390</t>
  </si>
  <si>
    <t>Goyal Mayfair - Vidhan bahi (9898779777</t>
  </si>
  <si>
    <t>saral privesh - Jagdish meen (9724176176</t>
  </si>
  <si>
    <t>Singapore - segsgdfg (1946758683</t>
  </si>
  <si>
    <t>cscscac</t>
  </si>
  <si>
    <t>akash reccidency - SMITA MAM (9978937501</t>
  </si>
  <si>
    <t>Harmoni harikesh - Akhil Prajapati (8765432190</t>
  </si>
  <si>
    <t>....</t>
  </si>
  <si>
    <t>Devsshi fatania - Devshi bhai (9265488925</t>
  </si>
  <si>
    <t>nirgune rise - mahesh jagani</t>
  </si>
  <si>
    <t>testing properties only test purpose - Major Iqbal (1986532740</t>
  </si>
  <si>
    <t>ewgbdsbckdsbckdbskjbcds
DCONDWKJCNWDKL
MCKJNDSKJCNSDKDSCDSCDS SVDSV CDCC GBGFRB BBV fbdfv</t>
  </si>
  <si>
    <t>festival o2 - RAJAN (6357993704</t>
  </si>
  <si>
    <t>Vandematram Prime - Piyush bhai patel (9998249086</t>
  </si>
  <si>
    <t>Sparsh Residency - Neha Patel (8200935288</t>
  </si>
  <si>
    <t>501 The Green Parmeshwar - Abhishek panchal (9998875556</t>
  </si>
  <si>
    <t>Listed on PropKart (To Be Available)</t>
  </si>
  <si>
    <t>Onboarded (To Be Available)</t>
  </si>
  <si>
    <t>4. This Year (2026)</t>
  </si>
  <si>
    <t>Sun Real Homes, New Ranip - Narendra bhai (9898345029</t>
  </si>
  <si>
    <t>Shaligram lakeview - bhirma (9819729232</t>
  </si>
  <si>
    <t>Keshar Samruddham - sneha (9998865670</t>
  </si>
  <si>
    <t>Dev Parijat - Nitin Patel (9727080045</t>
  </si>
  <si>
    <t>Silver Nest - Ramesh Bhai (9978538788</t>
  </si>
  <si>
    <t>Ganesh Heights - Karan (9558525933</t>
  </si>
  <si>
    <t>Kishor Park - Arpit Shah (8866462307</t>
  </si>
  <si>
    <t>Black Buck Century - Sanjeev Sir (6357993707</t>
  </si>
  <si>
    <t>SUHAAL SERENITY- Zundal - Paritosh bhai (9725931331</t>
  </si>
  <si>
    <t>B/16 Dev city - Sejal Ben (6357105011</t>
  </si>
  <si>
    <t>pacifica north enclave - maulik dave (9054689316</t>
  </si>
  <si>
    <t>Palm glory 4 - Aryan (8866329054</t>
  </si>
  <si>
    <t>pearl heights - hitendra bhai (9924006250</t>
  </si>
  <si>
    <t>kuber residency - Amit (9428411335</t>
  </si>
  <si>
    <t>Shyam Villa Bungalow - lalu desai (7621981297</t>
  </si>
  <si>
    <t>Falak Citadel - Maulik pandya (7623017858</t>
  </si>
  <si>
    <t>Testing Property - Akhil Prajapati (1653298740</t>
  </si>
  <si>
    <t>Nirman Homes - Kalpesh bhai (9879607282</t>
  </si>
  <si>
    <t>silver rediance 2 - ajay bhai (8780678133</t>
  </si>
  <si>
    <t>Jivraj Park Society - Gunjan Soni (8160455535</t>
  </si>
  <si>
    <t>Malabar County 3 - Bhumika (9824011249</t>
  </si>
  <si>
    <t>Gala Haven - Manish sharma (7698977944</t>
  </si>
  <si>
    <t>Navkar Heights - Shital prasad (9558460169</t>
  </si>
  <si>
    <t>Listed on PropKart (Sold Out)</t>
  </si>
  <si>
    <t>Onboarded (Sold Out)</t>
  </si>
  <si>
    <t>marigold - Dhaval bhai (9825713623</t>
  </si>
  <si>
    <t>Empire skyline - mittal mam (8238878936</t>
  </si>
  <si>
    <t>celestial living scince city - Rushi bhai (7567252666</t>
  </si>
  <si>
    <t>Elinor 108 - Nikunj Bhai (9904110434</t>
  </si>
  <si>
    <t>shivanta - Meet bhai patel (9638409065</t>
  </si>
  <si>
    <t>wind chimas - trikamdas bhai (9879209694</t>
  </si>
  <si>
    <t>Shakti 140 thaltej - Jatin bhai (6355831277</t>
  </si>
  <si>
    <t>fully furnished flate and good location well conectivity near by metro and sg highway</t>
  </si>
  <si>
    <t>shilp serene - nikhil bhai (9898353635</t>
  </si>
  <si>
    <t>sheladia divine - amit bhai (9998477368</t>
  </si>
  <si>
    <t>stutas 55 - milan bhai (7862836728</t>
  </si>
  <si>
    <t>shilp serene - Niraj bhai (9375971718</t>
  </si>
  <si>
    <t>best invester unit 2 balcony with sp ring road view</t>
  </si>
  <si>
    <t>stutass 55 - Minesh bhai (9327513549</t>
  </si>
  <si>
    <t>Mondeal heights - Krish bhai (8780391842</t>
  </si>
  <si>
    <t>Heritage Bungalow - Dilip bhai (9924440115</t>
  </si>
  <si>
    <t>Home Navkar Heights - somel (9016134875</t>
  </si>
  <si>
    <t>shilp serene - mukesh bhai (7984110942</t>
  </si>
  <si>
    <t>pearl heights - kiran bhai (9016134884</t>
  </si>
  <si>
    <t>Satyagarah chhavani - Milin Patel (9998717099</t>
  </si>
  <si>
    <t>Atyre client ne baahr thi batavu pasand aave pachi visit karavi</t>
  </si>
  <si>
    <t>Enigma - Enigma tower (8980037347</t>
  </si>
  <si>
    <t>sudharshan pride - sagar patel (9879408944</t>
  </si>
  <si>
    <t>Sun Grevitas - pravin bhai (9624097919</t>
  </si>
  <si>
    <t>first flooor shop sun gravitas shyamal</t>
  </si>
  <si>
    <t>Shiip serene - niraj bhai (9375971718</t>
  </si>
  <si>
    <t>Oryan armonia - utkal bhai (8469816224</t>
  </si>
  <si>
    <t>Sky 100 thaltej - Jignasha ba (9408297593</t>
  </si>
  <si>
    <t>only veg family allow</t>
  </si>
  <si>
    <t>La Habitat - GD Maghnani (9414394220</t>
  </si>
  <si>
    <t>monday call kari ne photos mate javu</t>
  </si>
  <si>
    <t>Direct</t>
  </si>
  <si>
    <t>Vivek Singh (9426372931)</t>
  </si>
  <si>
    <t>Location - Motera, Koba, Raysan and nearby area, Bunglow with some outdoor space and parking preffered | CRM: Location - Motera, Koba, Raysan and nearby area, Bunglow with some outdoor space and parking preffered</t>
  </si>
  <si>
    <t>Vensi Pokiya (9327036161)</t>
  </si>
  <si>
    <t>Shashank Tatu (9879919438)</t>
  </si>
  <si>
    <t>Devika Ck Devika (9173685744)</t>
  </si>
  <si>
    <t>Housing.com (Navrangpura)</t>
  </si>
  <si>
    <t>Vishwrajsinh Jadeja (9265422446)</t>
  </si>
  <si>
    <t>Transfer: SG Highway, Gota, Thaltej, Bopal, 400-500 sq ft, budget 25-30 K, Fully furnished, office commercial property | Transfer Note: SG Highway, Gota, Thaltej, Bopal, 400-500 sq ft, budget 25-30 K, Fully furnished, office commercial property | CRM: [Telecaller Key Points]: SG Highway, Gota, Thaltej, Bopal, 400-500 sq ft, budget 25-30 K, Fully furnished, office commercial property | [Telecaller Key Points]: SG Highway, Gota, Thaltej, Bopal, 400-500 sq ft, budget 25-30 K, Fully furnished, office commercial property | SG Highway, Gota, Thaltej, Bopal, 400-500 sq ft, budget 25-30 K, Fully furnished, office commercial property</t>
  </si>
  <si>
    <t>Diva (7069336262)</t>
  </si>
  <si>
    <t>Housing.com (Naranpura)</t>
  </si>
  <si>
    <t>Vivek Karavadia (9512227740)</t>
  </si>
  <si>
    <t>Vishal Jat (9111010777)</t>
  </si>
  <si>
    <t>Transfer: Locations Gurukul, Ambawadi, Memnagar, Vastrapur, 2 BHK, for family, with 25K budget range, Semi furnished AC and Bed required, possession after 1 month | Transfer Note: Locations Gurukul, Ambawadi, Memnagar, Vastrapur, 2 BHK, for family, with 25K budget range, Semi furnished AC and Bed required, possession after 1 month | CRM: [Telecaller Key Points]: Locations Gurukul, Ambawadi, Memnagar, Vastrapur, 2 BHK, for family, with 25K budget range, Semi furnished AC and Bed required, possession after 1 month | [Telecaller Key Points]: Locations Gurukul, Ambawadi, Memnagar, Vastrapur, 2 BHK, for family, with 25K budget range, Semi furnished AC and Bed required, possession after 1 month | Locations Gurukul, Ambawadi, Memnagar, Vastrapur, 2 BHK, for family, with 25K budget range, Semi furnished AC and Bed required, possession after 1 month</t>
  </si>
  <si>
    <t>Pradip Chotara (9712315547)</t>
  </si>
  <si>
    <t>Mital Bride Studio (8734876967)</t>
  </si>
  <si>
    <t>V (7974797176)</t>
  </si>
  <si>
    <t>Harvi Soni (8320454975)</t>
  </si>
  <si>
    <t>Sunita Pateriya (8141704848)</t>
  </si>
  <si>
    <t>Bipradash (8970224533)</t>
  </si>
  <si>
    <t>Patel Shalin (9512073473)</t>
  </si>
  <si>
    <t>Solanki Devang (9408594020)</t>
  </si>
  <si>
    <t>Transfer: Location Gota, 20K budget, for family, possession within 8-10 days | Transfer Note: Location Gota, 20K budget, for family, possession within 8-10 days | CRM: [Telecaller Key Points]: Location Gota, 20K budget, for family, possession within 8-10 days | [Telecaller Key Points]: Location Gota, 20K budget, for family, possession within 8-10 days | Location Gota, 20K budget, for family, possession within 8-10 days</t>
  </si>
  <si>
    <t>[Telecaller Key Points]: Location Gota, 20K budget, for family, possession within 8-10 days</t>
  </si>
  <si>
    <t>Apeksha Jain (9116008739)</t>
  </si>
  <si>
    <t>$w@t! P@tel (9016798621)</t>
  </si>
  <si>
    <t>Vishal Vaghela (9512374777)</t>
  </si>
  <si>
    <t>Near Vaishnodevi circle and Gota flyover nearby area most preferable | CRM: Near Vaishnodevi circle and Gota flyover nearby area most preferable | Near Vaishnodevi circle and Gota flyover nearby area most preferable
[27 Sep '26, 4:16 PM] Vaishno devi circle, Science city, Gota, 3 bhk, for family, semi furnished, possession 21 Oct
[28 Sep '26, 10:47 AM] req - 3bhk budget Low -22k</t>
  </si>
  <si>
    <t>Jeenal Visharia (8347150082)</t>
  </si>
  <si>
    <t>Disha Chirag Gajera (8140029305)</t>
  </si>
  <si>
    <t>Harsh (7874047023)</t>
  </si>
  <si>
    <t>Hetal Panchal (owner) (7069706449)</t>
  </si>
  <si>
    <t>Housing User (6354526933)</t>
  </si>
  <si>
    <t>Housing.com (Gota)</t>
  </si>
  <si>
    <t>Shekhar Patel (9694867241)</t>
  </si>
  <si>
    <t>Housing.com (Memnagar)</t>
  </si>
  <si>
    <t>Smeetrawani (9157671757)</t>
  </si>
  <si>
    <t>[Telecaller Key Points]: Location- Gota, Jagatpur, Memnagar, Sq ft 250-350 sq ft, Retail shop or office both work, budget 20K (negotiable), Oct possession required | Transfer: Location- Gota, Jagatpur, Memnagar, Sq ft 250-350 sq ft, Retail shop or office both work, budget 20K (negotiable), Oct possession required | Transfer Note: Location- Gota, Jagatpur, Memnagar, Sq ft 250-350 sq ft, Retail shop or office both work, budget 20K (negotiable), Oct possession required | CRM: [Telecaller Key Points]: Location- Gota, Jagatpur, Memnagar, Sq ft 250-350 sq ft, Retail shop or office both work, budget 20K (negotiable), Oct possession required | Location- Gota, Jagatpur, Memnagar, Sq ft 250-350 sq ft, Retail shop or office both work, budget 20K (negotiable), Oct possession required
[28 Sep '26, 1:13 PM] Postponed</t>
  </si>
  <si>
    <t>Deepak (7972580858)</t>
  </si>
  <si>
    <t>Rony (9974768625)</t>
  </si>
  <si>
    <t>[Telecaller Key Points]: Location Gota, Memnagar, Sola, 2 BHK, 20K, for family, Tenament will also work, possession in dec 1, for family</t>
  </si>
  <si>
    <t>Transfer: Location Gota, Memnagar, Sola, 2 BHK, 20K, for family, Tenament will also work, possession in dec 1, for family | Transfer Note: Location Gota, Memnagar, Sola, 2 BHK, 20K, for family, Tenament will also work, possession in dec 1, for family | CRM: [Telecaller Key Points]: Location Gota, Memnagar, Sola, 2 BHK, 20K, for family, Tenament will also work, possession in dec 1, for family | [Telecaller Key Points]: Location Gota, Memnagar, Sola, 2 BHK, 20K, for family, Tenament will also work, possession in dec 1, for family | Location Gota, Memnagar, Sola, 2 BHK, 20K, for family, Tenament will also work, possession in dec 1, for family</t>
  </si>
  <si>
    <t>Abhijeet Shukla (9879853448)</t>
  </si>
  <si>
    <t>Zorba (9821940080)</t>
  </si>
  <si>
    <t>Kiran Kotak (9978943075)</t>
  </si>
  <si>
    <t>Vatsal Sanghvi (7600175557)</t>
  </si>
  <si>
    <t>Gulshan Kumar (9625191077)</t>
  </si>
  <si>
    <t>Vishwa Kariya (9687207710)</t>
  </si>
  <si>
    <t>Tejpal Singh (7976203951)</t>
  </si>
  <si>
    <t>Followup: Not available, will call back by evening</t>
  </si>
  <si>
    <t>Abhishek Rajput (9081999189)</t>
  </si>
  <si>
    <t>Harsh (9574749257)</t>
  </si>
  <si>
    <t>Megha Radia (8450920927)</t>
  </si>
  <si>
    <t>Followup: Call again | 2 Bhk, Rent 20k, for family, requires as soon, semi furnished, Shilaj and 5-7 km radius</t>
  </si>
  <si>
    <t>Faiyaz Mansuri (8849967115)</t>
  </si>
  <si>
    <t>Manjulaben Dhavad (7434047110)</t>
  </si>
  <si>
    <t>Followup: Told to send pictures, then will inform</t>
  </si>
  <si>
    <t>Poorvah.. (6353849952)</t>
  </si>
  <si>
    <t>Transfer: new ranip,gota, new vadaj, naer metro station, 2bhk, 18k budget, family  
share 18k budget renge option | Transfer Note: new ranip,gota, new vadaj, naer metro station, 2bhk, 18k budget, family  
share 18k budget renge option | Followup: Have to discuss their budget, told to send Nava vadaj' property's pics | CRM: [Telecaller Key Points]: new ranip,gota, new vadaj, naer metro station, 2bhk, 18k budget, family  
share 18k budget renge option | [Telecaller Key Points]: new ranip,gota, new vadaj, naer metro station, 2bhk, 18k budget, family  
share 18k budget renge option | new ranip,gota, new vadaj, naer metro station, 2bhk, 18k budget, family  
share 18k budget renge option</t>
  </si>
  <si>
    <t>Followup: Location Gota, Ranip, Nava Vadaj, new construction 1/2 BHK, 15K Budget, (sharing one option) | [Telecaller Key Points]: new ranip,gota, new vadaj, naer metro station, 2bhk, 18k budget, family  
share 18k budget renge option</t>
  </si>
  <si>
    <t>Ranveer Pal (8511618841)</t>
  </si>
  <si>
    <t>Dayalkumar Kalwani (9426570975)</t>
  </si>
  <si>
    <t>Jaydeep Gusaai (9909725225)</t>
  </si>
  <si>
    <t>Subhash (9624109109)</t>
  </si>
  <si>
    <t>Girishchandra Parekh (9106078502)</t>
  </si>
  <si>
    <t>Marmik Jaiswal (7041685802)</t>
  </si>
  <si>
    <t>Devaram Prajapati (9324186520)</t>
  </si>
  <si>
    <t>Falguni J Pandya (8780353452)</t>
  </si>
  <si>
    <t>Transfer: Location Ambli, Shivranjni, Satellite, Nehrunagar, 2 BHK, for family, 20-23K, fully furnished, possession after 15 days | Transfer Note: Location Ambli, Shivranjni, Satellite, Nehrunagar, 2 BHK, for family, 20-23K, fully furnished, possession after 15 days | Followup: details share karvi 2 bhk furnished flat joye che satellite, nehrunagar, prahladnagar shyamal, 25k max budget call for update | CRM: [Telecaller Key Points]: Location Ambli, Shivranjni, Satellite, Nehrunagar, 2 BHK, for family, 20-23K, fully furnished, possession after 15 days | CRM Followup: details share karvi 2 bhk furnished flat joye che satellite, nehrunagar, prahladnagar shyamal, 25k max budget call for update | [Telecaller Key Points]: Location Ambli, Shivranjni, Satellite, Nehrunagar, 2 BHK, for family, 20-23K, fully furnished, possession after 15 days | Location Ambli, Shivranjni, Satellite, Nehrunagar, 2 BHK, for family, 20-23K, fully furnished, possession after 15 days</t>
  </si>
  <si>
    <t>Abhishek Raj (9128725933)</t>
  </si>
  <si>
    <t>Rutvik27 (9727439772)</t>
  </si>
  <si>
    <t>Dr. Namrata Mehta (9033050500)</t>
  </si>
  <si>
    <t>[Telecaller Key Points]: Location Gota, Vaishnodevi, Science City, Thaltej, 2 BHK, fully furnished, for family, budget 20-30 K, possession required from 15 Oct or beyond | Transfer: Location Gota, Vaishnodevi, Science City, Thaltej, 2 BHK, fully furnished, for family, budget 20-30 K, possession required from 15 Oct or beyond | Transfer Note: Location Gota, Vaishnodevi, Science City, Thaltej, 2 BHK, fully furnished, for family, budget 20-30 K, possession required from 15 Oct or beyond | Followup: 4,5 tarikh avse jova amne 15 tarikh thii joiye che | CRM: [Telecaller Key Points]: Location Gota, Vaishnodevi, Science City, Thaltej, 2 BHK, fully furnished, for family, budget 20-30 K, possession required from 15 Oct or beyond | CRM Followup: 4,5 tarikh avse jova amne 15 tarikh thii joiye che | Location Gota, Vaishnodevi, Science City, Thaltej, 2 BHK, fully furnished, for family, budget 20-30 K, possession required from 15 Oct or beyond</t>
  </si>
  <si>
    <t>Rohan. (9974312429)</t>
  </si>
  <si>
    <t>Barbie Mansuri (9157422301)</t>
  </si>
  <si>
    <t>Mahesh Kumar Prajapati (6352963093)</t>
  </si>
  <si>
    <t>Transfer: Interested in Shivam Apartment, Nava Vadaj wants to see pictures budget is 15K only | Transfer Note: Interested in Shivam Apartment, Nava Vadaj wants to see pictures budget is 15K only | Followup: amna madam ne joiye che interior desine che mam single woman 15k aspas memngar gurukul ma | CRM: [Telecaller Key Points]: Interested in Shivam Apartment, Nava Vadaj wants to see pictures budget is 15K only | CRM Followup: amna madam ne joiye che interior desine che mam single woman 15k aspas memngar gurukul ma | [Telecaller Key Points]: Interested in Shivam Apartment, Nava Vadaj wants to see pictures budget is 15K only | Interested in Shivam Apartment, Nava Vadaj wants to see pictures budget is 15K only</t>
  </si>
  <si>
    <t>Ravi Lakhani (9327316884)</t>
  </si>
  <si>
    <t>Transfer: Location Sola, Science City, requires commercial property 5/7 common desk and 1 cabin, 400 sq ft carpet area, Rent budget 32K, Possession from 10 Oct | Transfer Note: Location Sola, Science City, requires commercial property 5/7 common desk and 1 cabin, 400 sq ft carpet area, Rent budget 32K, Possession from 10 Oct | CRM: [Telecaller Key Points]: Location Sola, Science City, requires commercial property 5/7 common desk and 1 cabin, 400 sq ft carpet area, Rent budget 32K, Possession from 10 Oct | [Telecaller Key Points]: Location Sola, Science City, requires commercial property 5/7 common desk and 1 cabin, 400 sq ft carpet area, Rent budget 32K, Possession from 10 Oct | Location Sola, Science City, requires commercial property 5/7 common desk and 1 cabin, 400 sq ft carpet area, Rent budget 32K, Possession from 10 Oct</t>
  </si>
  <si>
    <t>Ashutosh Soni (9687718246)</t>
  </si>
  <si>
    <t>Dipak (8000410970)</t>
  </si>
  <si>
    <t>Transfer: Inquired for Shivam Apartment (Nava Vadaj), told to send pictures,
 2 BHK, for Family, 20K budget, possession 11/Oct, location Nava Vadaj/ New Ranip | Transfer Note: Inquired for Shivam Apartment (Nava Vadaj), told to send pictures,
 2 BHK, for Family, 20K budget, possession 11/Oct, location Nava Vadaj/ New Ranip | Followup: send to Akshay apartment sayona detail send | CRM: [Telecaller Key Points]: Inquired for Shivam Apartment (Nava Vadaj), told to send pictures,
 2 BHK, for Family, 20K budget, possession 11/Oct, location Nava Vadaj/ New Ranip | CRM Followup: send to Akshay apartment sayona detail send | [Telecaller Key Points]: Inquired for Shivam Apartment (Nava Vadaj), told to send pictures,
 2 BHK, for Family, 20K budget, possession 11/Oct, location Nava Vadaj/ New Ranip | Inquired for Shivam Apartment (Nava Vadaj), told to send pictures,
 2 BHK, for Family, 20K budget, possession 11/Oct, location Nava Vadaj/ New Ranip</t>
  </si>
  <si>
    <t>Bharat (9106103075)</t>
  </si>
  <si>
    <t>Neeta Desai (9925016136)</t>
  </si>
  <si>
    <t>Shashwat Singh Chouhan (8120688557)</t>
  </si>
  <si>
    <t>Abhishek Jani (9426660470)</t>
  </si>
  <si>
    <t>Jatin (7023534697)</t>
  </si>
  <si>
    <t>Housing.com (Ranip)</t>
  </si>
  <si>
    <t>Dinesh Jaypal (7201064003)</t>
  </si>
  <si>
    <t>Poonam (9004110842)</t>
  </si>
  <si>
    <t>Dinesh Rajput (9727758705)</t>
  </si>
  <si>
    <t>Followup: Less budget, requires retail shop (only option available- moonlight complex -basement)</t>
  </si>
  <si>
    <t>Kaushal Darbar (8238102988)</t>
  </si>
  <si>
    <t>Followup: Sq ft and budget is not decided yet, will inform by tom.</t>
  </si>
  <si>
    <t>Jayesh Maheta (9624622175)</t>
  </si>
  <si>
    <t>Housing User (8849069983)</t>
  </si>
  <si>
    <t>Site Visit Scheduled</t>
  </si>
  <si>
    <t>Transfer: 2 BHK, for family, unfurnished also works, location Shela, South bopal, Bopal, Rent 18K, possession asap | Transfer Note: 2 BHK, for family, unfurnished also works, location Shela, South bopal, Bopal, Rent 18K, possession asap | Followup: cnr always not responding call | CRM: [Telecaller Key Points]: 2 BHK, for family, unfurnished also works, location Shela, South bopal, Bopal, Rent 18K, possession asap | CRM Followup: cnr always not responding call | [Telecaller Key Points]: 2 BHK, for family, unfurnished also works, location Shela, South bopal, Bopal, Rent 18K, possession asap | 2 BHK, for family, unfurnished also works, location Shela, South bopal, Bopal, Rent 18K, possession asap</t>
  </si>
  <si>
    <t>Harsh (8733944333)</t>
  </si>
  <si>
    <t>Housing.com (Satellite)</t>
  </si>
  <si>
    <t>Amar Shah (8980510999)</t>
  </si>
  <si>
    <t>[Telecaller Key Points]: Req satelite, jodhpur, near jainderasar, 2BHK, 20k budget, semi furnished</t>
  </si>
  <si>
    <t>Social Media</t>
  </si>
  <si>
    <t>Vijay Patel (9428671953)</t>
  </si>
  <si>
    <t>Site Visit Done</t>
  </si>
  <si>
    <t>Budget-20k Location- sola, new ranip - secend 2 floor sudhi ma jove che | Followup: 2 project visit done kale Akshay Apartment visit nu ke che | CRM: Budget-20k Location- sola, new ranip - secend 2 floor sudhi ma jove che | CRM Followup: 2 project visit done kale Akshay Apartment visit nu ke che | Budget-20k Location- sola, new ranip - secend 2 floor sudhi ma jove che
[24 Sep '26, 1:37 PM] Sun Real home / PH</t>
  </si>
  <si>
    <t>Hetal Sapan Oza (9909929003)</t>
  </si>
  <si>
    <t>20k bgt vejalpur redio mirchi aspas joiye che family che (looaction mismatch lost ) | options not available</t>
  </si>
  <si>
    <t>Apurv Thakkar (7862855133)</t>
  </si>
  <si>
    <t>Property type and budget mismatch | Rejection: NOT_INTERESTED</t>
  </si>
  <si>
    <t>Seema Thakkar (8849814653)</t>
  </si>
  <si>
    <t>Budget is 16K | Rejection: NOT_INTERESTED</t>
  </si>
  <si>
    <t>Helly Rajyaguru (9727944243)</t>
  </si>
  <si>
    <t>Goti (9624306555)</t>
  </si>
  <si>
    <t>Do not wants a rental property anymore | Rejection: NOT_INTERESTED</t>
  </si>
  <si>
    <t>Meta Ads (Science City)</t>
  </si>
  <si>
    <t>Heet Shah (8320403129)</t>
  </si>
  <si>
    <t>scince city near zydus , 25-30k budget, office, furnished | Transfer: scince city near zydus , 25-30k budget, office, furnished | Transfer Note: scince city near zydus , 25-30k budget, office, furnished | CRM: [Telecaller Key Points]: scince city near zydus , 25-30k budget, office, furnished | [Telecaller Key Points]: scince city near zydus , 25-30k budget, office, furnished</t>
  </si>
  <si>
    <t>Meta Ads (Memnagar)</t>
  </si>
  <si>
    <t>Ramesh Parmar (8302484799)</t>
  </si>
  <si>
    <t>12000 commercial shop narnpura, memnagar | Transfer: 12000 commercial shop narnpura, memnagar | Transfer Note: 12000 commercial shop narnpura, memnagar | CRM: [Telecaller Key Points]: 12000 commercial shop narnpura, memnagar | [Telecaller Key Points]: 12000 commercial shop narnpura, memnagar</t>
  </si>
  <si>
    <t>Raghvendra Jagwani (7014028389)</t>
  </si>
  <si>
    <t>[Telecaller Key Points]: driving road memnagar, 24k budget, 2bhk, semi furnished, family | Transfer: driving road memnagar, 24k budget, 2bhk, semi furnished, family | Transfer Note: driving road memnagar, 24k budget, 2bhk, semi furnished, family | Followup: goyal intercity ma 5th up flat joye che 25k ma any options available share nd visit update | CRM: [Telecaller Key Points]: driving road memnagar, 24k budget, 2bhk, semi furnished, family | CRM Followup: goyal intercity ma 5th up flat joye che 25k ma any options available share nd visit update | driving road memnagar, 24k budget, 2bhk, semi furnished, family
[24 Sep '26, 2:46 PM] Goyal intercity ma 5th up flat joye che</t>
  </si>
  <si>
    <t>M Suthar M Suthar (8160817115)</t>
  </si>
  <si>
    <t>--- | Rejection: NOT_INTERESTED | Transfer Note: Marked as CNR</t>
  </si>
  <si>
    <t>Meghna (8690358471)</t>
  </si>
  <si>
    <t>[Telecaller Key Points]: sivarnji-science city, 3bhk, 24k budet, family, semi furnished, parking | Transfer: sivarnji-science city, 3bhk, 24k budet, family, semi furnished, parking | Transfer Note: sivarnji-science city, 3bhk, 24k budet, family, semi furnished, parking | Followup: scince city ma opttion work out krva | CRM: [Telecaller Key Points]: sivarnji-science city, 3bhk, 24k budet, family, semi furnished, parking | CRM Followup: scince city ma opttion work out krva | sivarnji-science city, 3bhk, 24k budet, family, semi furnished, parking</t>
  </si>
  <si>
    <t>Er. Kishan Kachhadiya (9664927209)</t>
  </si>
  <si>
    <t>Taltej, 2bhk, 19k budget, family, semi furnished | Transfer: Taltej, 2bhk, 19k budget, family, semi furnished | Transfer Note: Taltej, 2bhk, 19k budget, family, semi furnished | Followup: amne november thi joiye cche | CRM: [Telecaller Key Points]: Taltej, 2bhk, 19k budget, family, semi furnished | CRM Followup: amne november thi joiye cche | [Telecaller Key Points]: Taltej, 2bhk, 19k budget, family, semi furnished</t>
  </si>
  <si>
    <t>12000 commercial shop narnpura, memnagar | Transfer: 12000 commercial shop narnpura, memnagar | Transfer Note: 12000 commercial shop narnpura, memnagar | [Telecaller Key Points]: 12000 commercial shop narnpura, memnagar</t>
  </si>
  <si>
    <t>Jayesh Raval (9427209390)</t>
  </si>
  <si>
    <t>3/4 BHK, 50K Budget, fully furnished (good furnishing), for family, possession required from 1 Nov, can start visiting, location Shela, Bopal, South bopal | Transfer: 3/4 BHK, 50K Budget, fully furnished (good furnishing), for family, possession required from 1 Nov, can start visiting, location Shela, Bopal, South bopal | Transfer Note: 3/4 BHK, 50K Budget, fully furnished (good furnishing), for family, possession required from 1 Nov, can start visiting, location Shela, Bopal, South bopal | Followup: cnr amne november thii joiye che | CRM: [Telecaller Key Points]: 3/4 BHK, 50K Budget, fully furnished (good furnishing), for family, possession required from 1 Nov, can start visiting, location Shela, Bopal, South bopal | CRM Followup: cnr amne november thii joiye che | [Telecaller Key Points]: 3/4 BHK, 50K Budget, fully furnished (good furnishing), for family, possession required from 1 Nov, can start visiting, location Shela, Bopal, South bopal</t>
  </si>
  <si>
    <t>driving road memnagar, 24k budget, 2bhk, semi furnished, family | Transfer: driving road memnagar, 24k budget, 2bhk, semi furnished, family | Transfer Note: driving road memnagar, 24k budget, 2bhk, semi furnished, family | [Telecaller Key Points]: driving road memnagar, 24k budget, 2bhk, semi furnished, family</t>
  </si>
  <si>
    <t>_m_lioness (9904684480)</t>
  </si>
  <si>
    <t>Transfer Note: Marked as CNR | Followup: saturday call back</t>
  </si>
  <si>
    <t>Krupa Shah (9824453252)</t>
  </si>
  <si>
    <t>[Telecaller Key Points]: vstrapur, 2-3bhk, 33k budget, semi furnished, family | Transfer: vstrapur, 2-3bhk, 33k budget, semi furnished, family | Transfer Note: vstrapur, 2-3bhk, 33k budget, semi furnished, family | Followup: re send details call for visit | CRM: [Telecaller Key Points]: vstrapur, 2-3bhk, 33k budget, semi furnished, family | CRM Followup: re send details call for visit | vstrapur, 2-3bhk, 33k budget, semi furnished, family
[25 Sep '26, 11:22 AM] 30k ma neharupark vastrapur nr ma j joye che selected soc. ma j joye che</t>
  </si>
  <si>
    <t>Kashyap (8320331736)</t>
  </si>
  <si>
    <t>sivarnji-science city, 3bhk, 24k budet, family, semi furnished, parking | Transfer: sivarnji-science city, 3bhk, 24k budet, family, semi furnished, parking | Transfer Note: sivarnji-science city, 3bhk, 24k budet, family, semi furnished, parking | [Telecaller Key Points]: sivarnji-science city, 3bhk, 24k budet, family, semi furnished, parking</t>
  </si>
  <si>
    <t>Taltej, 2bhk, 19k budget, family, semi furnished | Transfer: Taltej, 2bhk, 19k budget, family, semi furnished | Transfer Note: Taltej, 2bhk, 19k budget, family, semi furnished | [Telecaller Key Points]: Taltej, 2bhk, 19k budget, family, semi furnished</t>
  </si>
  <si>
    <t>3/4 BHK, 50K Budget, fully furnished (good furnishing), for family, possession required from 1 Nov, can start visiting, location Shela, Bopal, South bopal | Transfer: 3/4 BHK, 50K Budget, fully furnished (good furnishing), for family, possession required from 1 Nov, can start visiting, location Shela, Bopal, South bopal | Transfer Note: 3/4 BHK, 50K Budget, fully furnished (good furnishing), for family, possession required from 1 Nov, can start visiting, location Shela, Bopal, South bopal | [Telecaller Key Points]: 3/4 BHK, 50K Budget, fully furnished (good furnishing), for family, possession required from 1 Nov, can start visiting, location Shela, Bopal, South bopal</t>
  </si>
  <si>
    <t>Required 1 BHK | Rejection: NOT_INTERESTED | Followup: CNR</t>
  </si>
  <si>
    <t>Meta Ads (Nava Vadaj)</t>
  </si>
  <si>
    <t>Ruby Chemical (9558227829)</t>
  </si>
  <si>
    <t>Vadaj, 2bhk, semi furnished, 20k budget, bechlor | Transfer: Vadaj, 2bhk, semi furnished, 20k budget, bechlor | Transfer Note: Vadaj, 2bhk, semi furnished, 20k budget, bechlor | CRM: [Telecaller Key Points]: Vadaj, 2bhk, semi furnished, 20k budget, bechlor | [Telecaller Key Points]: Vadaj, 2bhk, semi furnished, 20k budget, bechlor</t>
  </si>
  <si>
    <t>Vadaj, 2bhk, semi furnished, 20k budget, bechlor | Transfer: Vadaj, 2bhk, semi furnished, 20k budget, bechlor | Transfer Note: Vadaj, 2bhk, semi furnished, 20k budget, bechlor | [Telecaller Key Points]: Vadaj, 2bhk, semi furnished, 20k budget, bechlor</t>
  </si>
  <si>
    <t>Mohd Kausar (8470840834)</t>
  </si>
  <si>
    <t>Meta Ads (South Bopal)</t>
  </si>
  <si>
    <t>Gaurav (8780028636)</t>
  </si>
  <si>
    <t>Locations- Bopal, Paldi or Satellite (nearby), 10/10 sq ft, Rent budget 25 K (negotiable), wants ready to move | Transfer: Locations- Bopal, Paldi or Satellite (nearby), 10/10 sq ft, Rent budget 25 K (negotiable), wants ready to move | Transfer Note: Locations- Bopal, Paldi or Satellite (nearby), 10/10 sq ft, Rent budget 25 K (negotiable), wants ready to move | CRM: [Telecaller Key Points]: Locations- Bopal, Paldi or Satellite (nearby), 10/10 sq ft, Rent budget 25 K (negotiable), wants ready to move | [Telecaller Key Points]: Locations- Bopal, Paldi or Satellite (nearby), 10/10 sq ft, Rent budget 25 K (negotiable), wants ready to move</t>
  </si>
  <si>
    <t>Meta Ads (Gota)</t>
  </si>
  <si>
    <t>Rekha (9274849877)</t>
  </si>
  <si>
    <t>2 BHK, Tenament (most preffered)/ apartment, location Gota, Vaishnodevi or other 18K, for famil, possession asap | Transfer: 2 BHK, Tenament (most preffered)/ apartment, location Gota, Vaishnodevi or other 18K, for famil, possession asap | Transfer Note: 2 BHK, Tenament (most preffered)/ apartment, location Gota, Vaishnodevi or other 18K, for famil, possession asap | CRM: [Telecaller Key Points]: 2 BHK, Tenament (most preffered)/ apartment, location Gota, Vaishnodevi or other 18K, for famil, possession asap | [Telecaller Key Points]: 2 BHK, Tenament (most preffered)/ apartment, location Gota, Vaishnodevi or other 18K, for famil, possession asap</t>
  </si>
  <si>
    <t>Vikas Jadav (9558373115)</t>
  </si>
  <si>
    <t>Commercial property, area required 180-200 sq ft, possession within 1 week, Location - any location will work, Rent budget minimum 15K. | Transfer: Commercial property, area required 180-200 sq ft, possession within 1 week, Location - any location will work, Rent budget minimum 15K. | Transfer Note: Commercial property, area required 180-200 sq ft, possession within 1 week, Location - any location will work, Rent budget minimum 15K. | CRM: [Telecaller Key Points]: Commercial property, area required 180-200 sq ft, possession within 1 week, Location - any location will work, Rent budget minimum 15K. | [Telecaller Key Points]: Commercial property, area required 180-200 sq ft, possession within 1 week, Location - any location will work, Rent budget minimum 15K.</t>
  </si>
  <si>
    <t>Mehul Chauhan (9328159916)</t>
  </si>
  <si>
    <t>Piyush Chauhan (6356327172)</t>
  </si>
  <si>
    <t>[Telecaller Key Points]: Bopal shela bhadaj ,2bhk, semi furnished, family, 18k budget | Transfer: Bopal ,2bhk, semi furnished, family, 18k budget | Transfer Note: Bopal ,2bhk, semi furnished, family, 18k budget | Followup: bhadaj ring road option work out kri option apva | CRM: [Telecaller Key Points]: Bopal shela bhadaj ,2bhk, semi furnished, family, 18k budget | CRM Followup: bhadaj ring road option work out kri option apva | Bopal ,2bhk, semi furnished, family, 18k budget</t>
  </si>
  <si>
    <t>Meta Ads (Naranpura)</t>
  </si>
  <si>
    <t>Hemant Tukdiwala (9869039508)</t>
  </si>
  <si>
    <t>Location preferrences Vadaj, Nava Vadaj, Shashtrinagar, Narangpura, 2 BHK, Rent Budget 20K, Semi furnished for family, Possession required as soon as possible | Transfer: Location preferrences Vadaj, Nava Vadaj, Shashtrinagar, Narangpura, 2 BHK, Rent Budget 20K, Semi furnished for family, Possession required as soon as possible | Transfer Note: Location preferrences Vadaj, Nava Vadaj, Shashtrinagar, Narangpura, 2 BHK, Rent Budget 20K, Semi furnished for family, Possession required as soon as possible | Followup: Options not available searching and share 20k options | CRM: Location preferrences Vadaj, Nava Vadaj, Shashtrinagar, Narangpura, 2 BHK, Rent Budget 20K, Semi furnished for family, Possession required as soon as possible | CRM Followup: Options not available searching and share 20k options</t>
  </si>
  <si>
    <t>Locations- Bopal, Paldi or Satellite (nearby), 10/10 sq ft, Rent budget 25 K (negotiable), wants ready to move | Transfer: Locations- Bopal, Paldi or Satellite (nearby), 10/10 sq ft, Rent budget 25 K (negotiable), wants ready to move | Transfer Note: Locations- Bopal, Paldi or Satellite (nearby), 10/10 sq ft, Rent budget 25 K (negotiable), wants ready to move | [Telecaller Key Points]: Locations- Bopal, Paldi or Satellite (nearby), 10/10 sq ft, Rent budget 25 K (negotiable), wants ready to move</t>
  </si>
  <si>
    <t>Meta Ads (Silver Nest)</t>
  </si>
  <si>
    <t>Falu (9157371671)</t>
  </si>
  <si>
    <t>2/3 BHK, Semi or fully furnished, Budget 25-30 K, Possession 1 Oct, For Family, Location Gota, Shela, Ghatlodia, Vaishnodevi | Transfer: 2/3 BHK, Semi or fully furnished, Budget 25-30 K, Possession 1 Oct, For Family, Location Gota, Shela, Ghatlodia, Vaishnodevi | Transfer Note: 2/3 BHK, Semi or fully furnished, Budget 25-30 K, Possession 1 Oct, For Family, Location Gota, Shela, Ghatlodia, Vaishnodevi | CRM: [Telecaller Key Points]: 2/3 BHK, Semi or fully furnished, Budget 25-30 K, Possession 1 Oct, For Family, Location Gota, Shela, Ghatlodia, Vaishnodevi | [Telecaller Key Points]: 2/3 BHK, Semi or fully furnished, Budget 25-30 K, Possession 1 Oct, For Family, Location Gota, Shela, Ghatlodia, Vaishnodevi</t>
  </si>
  <si>
    <t>Vrunda Thakkar (6354072378)</t>
  </si>
  <si>
    <t>[Telecaller Key Points]: Looking around Science City, 2 BHK, Rent 22K max, for family, AC and RO required, possession this month (requested to text instead of call) | Transfer: Looking around Science City, 2 BHK, Rent 22K max, for family, AC and RO required, possession this month (requested to text instead of call) | Transfer Note: Looking around Science City, 2 BHK, Rent 22K max, for family, AC and RO required, possession this month (requested to text instead of call) | Followup: cnr | CRM: [Telecaller Key Points]: Looking around Science City, 2 BHK, Rent 22K max, for family, AC and RO required, possession this month (requested to text instead of call) | CRM Followup: cnr | Looking around Science City, 2 BHK, Rent 22K max, for family, AC and RO required, possession this month (requested to text instead of call)
[25 Sep '26, 12:42 PM] low budget che</t>
  </si>
  <si>
    <t>Bharti Rajput Insurance Advisor (7984383981)</t>
  </si>
  <si>
    <t>2 BHK, Tenament (most preffered)/ apartment, location Gota, Vaishnodevi or other 18K, for famil, possession asap | Transfer: 2 BHK, Tenament (most preffered)/ apartment, location Gota, Vaishnodevi or other 18K, for famil, possession asap | Transfer Note: 2 BHK, Tenament (most preffered)/ apartment, location Gota, Vaishnodevi or other 18K, for famil, possession asap | [Telecaller Key Points]: 2 BHK, Tenament (most preffered)/ apartment, location Gota, Vaishnodevi or other 18K, for famil, possession asap</t>
  </si>
  <si>
    <t>[Telecaller Key Points]: Navrangpura, 2bhk, furnishhed, budget no issue, bechlour | Transfer: Navrangpura, 2bhk, furnishhed, budget no issue, bechlour | Transfer Note: Navrangpura, 2bhk, furnishhed, budget no issue, bechlour | CRM: [Telecaller Key Points]: Navrangpura, 2bhk, furnishhed, budget no issue, bechlour | Navrangpura, 2bhk, furnishhed, budget no issue, bechlour
[24 Sep '26, 2:38 PM] bechlour ma works nathi karta</t>
  </si>
  <si>
    <t>Jyotika Jadhav (9823520174)</t>
  </si>
  <si>
    <t>Location preferrences Vadaj, Nava Vadaj, Shashtrinagar, Narangpura, 2 BHK, Rent Budget 20K, Semi furnished for family, Possession required as soon as possible | Transfer: Location preferrences Vadaj, Nava Vadaj, Shashtrinagar, Narangpura, 2 BHK, Rent Budget 20K, Semi furnished for family, Possession required as soon as possible | Transfer Note: Location preferrences Vadaj, Nava Vadaj, Shashtrinagar, Narangpura, 2 BHK, Rent Budget 20K, Semi furnished for family, Possession required as soon as possible</t>
  </si>
  <si>
    <t>Commercial property, area required 180-200 sq ft, possession within 1 week, Location - any location will work, Rent budget minimum 15K. | Transfer: Commercial property, area required 180-200 sq ft, possession within 1 week, Location - any location will work, Rent budget minimum 15K. | Transfer Note: Commercial property, area required 180-200 sq ft, possession within 1 week, Location - any location will work, Rent budget minimum 15K. | [Telecaller Key Points]: Commercial property, area required 180-200 sq ft, possession within 1 week, Location - any location will work, Rent budget minimum 15K.</t>
  </si>
  <si>
    <t>Housing.com (Silver Nest)</t>
  </si>
  <si>
    <t>2/3 BHK, Semi or fully furnished, Budget 25-30 K, Possession 1 Oct, For Family, Location Gota, Shela, Ghatlodia, Vaishnodevi | Transfer: 2/3 BHK, Semi or fully furnished, Budget 25-30 K, Possession 1 Oct, For Family, Location Gota, Shela, Ghatlodia, Vaishnodevi | Transfer Note: 2/3 BHK, Semi or fully furnished, Budget 25-30 K, Possession 1 Oct, For Family, Location Gota, Shela, Ghatlodia, Vaishnodevi | [Telecaller Key Points]: 2/3 BHK, Semi or fully furnished, Budget 25-30 K, Possession 1 Oct, For Family, Location Gota, Shela, Ghatlodia, Vaishnodevi</t>
  </si>
  <si>
    <t>Direct / Manual</t>
  </si>
  <si>
    <t>Manisha Upadhyay (9409715092)</t>
  </si>
  <si>
    <t>Deal Won</t>
  </si>
  <si>
    <t>2 BHK semi furnished flat joye che, chinmay tower, sarjan tower | Followup: today visit done chinmay tower, sarjan tower akash residency out said broker property she interested chinmay tower repeat visit tomorrow morning | CRM: 2 BHK semi furnished flat joye che, chinmay tower, sarjan tower | CRM Followup: today visit done chinmay tower, sarjan tower akash residency out said broker property she interested chinmay tower repeat visit tomorrow morning | [21 Sep '26, 5:42 PM] visit done chinmay tower and sarjan tower call tomorror repeat visit chinamay tower with family
[21 Sep '26, 5:50 PM] tomorrow visit chinmay tower and shanti apartment
[21 Sep '26, 5:53 PM] visit done chinmay tower sarjan tower
[26 Sep '26, 2:11 PM] today token done 31000 cash akash 2 apartment vastrapur</t>
  </si>
  <si>
    <t>Akil Vohra (9327769003)</t>
  </si>
  <si>
    <t>satelite, bopal, shop, 600sq, 30-35k budget | Transfer: satelite, bopal, shop, 600sq, 30-35k budget | Transfer Note: satelite, bopal, shop, 600sq, 30-35k budget | CRM: [Telecaller Key Points]: satelite, bopal, shop, 600sq, 30-35k budget | [Telecaller Key Points]: satelite, bopal, shop, 600sq, 30-35k budget</t>
  </si>
  <si>
    <t>$wet@_ (9712449012)</t>
  </si>
  <si>
    <t>Sola gota, 3bhk, 20-30k budget, furnished, family | Transfer: Sola gota, 3bhk, 20-30k budget, furnished, family | Transfer Note: Sola gota, 3bhk, 20-30k budget, furnished, family | Followup: send to suyash status 3bhk 35k sci | CRM: [Telecaller Key Points]: Sola gota, 3bhk, 20-30k budget, furnished, family | CRM Followup: send to suyash status 3bhk 35k sci | [Telecaller Key Points]: Sola gota, 3bhk, 20-30k budget, furnished, family</t>
  </si>
  <si>
    <t>Sanjay Kanani (9925988881)</t>
  </si>
  <si>
    <t>South bopal, shela, 2bhk, 30k budget, ac, fridge,  furnished | Transfer: South bopal, shela, 2bhk, 30k budget, ac, fridge,  furnished | Transfer Note: South bopal, shela, 2bhk, 30k budget, ac, fridge,  furnished | Followup: cnr | CRM: [Telecaller Key Points]: South bopal, shela, 2bhk, 30k budget, ac, fridge,  furnished | CRM Followup: cnr | [Telecaller Key Points]: South bopal, shela, 2bhk, 30k budget, ac, fridge,  furnished</t>
  </si>
  <si>
    <t>Vaishanvdevi,zundal,tragad, 2bhk, up to 25k, furnished, family | Transfer: Vaishanvdevi,zundal,tragad, 2bhk, up to 25k, furnished, family | Transfer Note: Vaishanvdevi,zundal,tragad, 2bhk, up to 25k, furnished, family | CRM: [Telecaller Key Points]: Vaishanvdevi,zundal,tragad, 2bhk, up to 25k, furnished, family | [Telecaller Key Points]: Vaishanvdevi,zundal,tragad, 2bhk, up to 25k, furnished, family</t>
  </si>
  <si>
    <t>Aruna Pandya (8141159909)</t>
  </si>
  <si>
    <t>[Telecaller Key Points]: bhadaj, 4bhk, 50k budget, | Transfer: bhadaj, 4bhk, 50k budget, | Transfer Note: bhadaj, 4bhk, 50k budget, | Followup: bhadaj ma 4 5 bhk bunglow ke flaate joiye che | CRM: [Telecaller Key Points]: bhadaj, 4bhk, 50k budget, | CRM Followup: bhadaj ma 4 5 bhk bunglow ke flaate joiye che | bhadaj, 4bhk, 50k budget,</t>
  </si>
  <si>
    <t>Anshika Yadav (7017558527)</t>
  </si>
  <si>
    <t>[Telecaller Key Points]: South bopal, 2bhk, 20k budget, semi furnished | Transfer: South bopal, 2bhk, 20k budget, semi furnished | Transfer Note: South bopal, 2bhk, 20k budget, semi furnished | Followup: shilaj anclave no option send karyo che | CRM: [Telecaller Key Points]: South bopal, 2bhk, 20k budget, semi furnished | CRM Followup: shilaj anclave no option send karyo che | South bopal, 2bhk, 20k budget, semi furnished
[25 Sep '26, 12:59 PM] option work Krva prefrence south bopal</t>
  </si>
  <si>
    <t>Aashish (9427923443)</t>
  </si>
  <si>
    <t>Ajaykumar Shrimali (7984203383)</t>
  </si>
  <si>
    <t>Vaishali Mugutwala (9893513841)</t>
  </si>
  <si>
    <t>Sola gota, 3bhk, 20-30k budget, furnished, family | Transfer: Sola gota, 3bhk, 20-30k budget, furnished, family | Transfer Note: Sola gota, 3bhk, 20-30k budget, furnished, family | [Telecaller Key Points]: Sola gota, 3bhk, 20-30k budget, furnished, family</t>
  </si>
  <si>
    <t>Rakesh (9869303604)</t>
  </si>
  <si>
    <t>Followup: busy so after call back</t>
  </si>
  <si>
    <t>South bopal, shela, 2bhk, 30k budget, ac, fridge,  furnished | Transfer: South bopal, shela, 2bhk, 30k budget, ac, fridge,  furnished | Transfer Note: South bopal, shela, 2bhk, 30k budget, ac, fridge,  furnished | [Telecaller Key Points]: South bopal, shela, 2bhk, 30k budget, ac, fridge,  furnished</t>
  </si>
  <si>
    <t>Vaishanvdevi,zundal,tragad, 2bhk, up to 25k, furnished, family | Transfer: Vaishanvdevi,zundal,tragad, 2bhk, up to 25k, furnished, family | Transfer Note: Vaishanvdevi,zundal,tragad, 2bhk, up to 25k, furnished, family | [Telecaller Key Points]: Vaishanvdevi,zundal,tragad, 2bhk, up to 25k, furnished, family</t>
  </si>
  <si>
    <t>bhadaj, 4bhk, 50k budget, | Transfer: bhadaj, 4bhk, 50k budget, | Transfer Note: bhadaj, 4bhk, 50k budget, | [Telecaller Key Points]: bhadaj, 4bhk, 50k budget,</t>
  </si>
  <si>
    <t>Aadarsh (9998285797)</t>
  </si>
  <si>
    <t>South bopal, 2bhk, 20k budget, semi furnished | Transfer: South bopal, 2bhk, 20k budget, semi furnished | Transfer Note: South bopal, 2bhk, 20k budget, semi furnished | [Telecaller Key Points]: South bopal, 2bhk, 20k budget, semi furnished</t>
  </si>
  <si>
    <t>Amit Shah (8511327278)</t>
  </si>
  <si>
    <t>Pooja Undaviya (9725673617)</t>
  </si>
  <si>
    <t>Fakhruddin Latiwala (9825209952)</t>
  </si>
  <si>
    <t>Nirav Rawat (9714425754)</t>
  </si>
  <si>
    <t>narayanpura, shop, 25k budget | Transfer: narayanpura, shop, 25k budget | Transfer Note: narayanpura, shop, 25k budget | CRM: [Telecaller Key Points]: narayanpura, shop, 25k budget | [Telecaller Key Points]: narayanpura, shop, 25k budget</t>
  </si>
  <si>
    <t>Meta Ads (Sarkhej)</t>
  </si>
  <si>
    <t>Tanvir (9904555449)</t>
  </si>
  <si>
    <t>sarkhej, ready to use office, 20k budget | Transfer: sarkhej, ready to use office, 20k budget | Transfer Note: sarkhej, ready to use office, 20k budget | CRM: [Telecaller Key Points]: sarkhej, ready to use office, 20k budget | [Telecaller Key Points]: sarkhej, ready to use office, 20k budget</t>
  </si>
  <si>
    <t>Meta Ads (Vastrapur)</t>
  </si>
  <si>
    <t>Kk (9773497204)</t>
  </si>
  <si>
    <t>[Telecaller Key Points]: vastrapur, 2bhk, semi furnished, 25k budget, bechlour | Transfer: vastrapur, 2bhk, semi furnished, 25k budget, bechlour | Transfer Note: vastrapur, 2bhk, semi furnished, 25k budget, bechlour | Followup: The call is not responding call back again | CRM: [Telecaller Key Points]: vastrapur, 2bhk, semi furnished, 25k budget, bechlour | CRM Followup: The call is not responding call back again | vastrapur, 2bhk, semi furnished, 25k budget, bechlour
[24 Sep '26, 2:51 PM] The call is not responding call back again
[26 Sep '26, 3:55 PM] bechlour ma work nathi karto so close</t>
  </si>
  <si>
    <t>Meta Ads (Satellite)</t>
  </si>
  <si>
    <t>Sarika Soni (8320319142)</t>
  </si>
  <si>
    <t>satelite, 3bhk, 27k budget , family, semi furnished anand nagar ni najik ma j joye che | Transfer: satelite, 3bhk, 27k budget , family, semi furnished | Transfer Note: satelite, 3bhk, 27k budget , family, semi furnished | Followup: anand nagar ni ajubaju ma 27k around furnished option joye che bungalow chale but owner niche na rehta hova joye | CRM: satelite, 3bhk, 27k budget , family, semi furnished anand nagar ni najik ma j joye che | CRM Followup: anand nagar ni ajubaju ma 27k around furnished option joye che bungalow chale but owner niche na rehta hova joye | satelite, 3bhk, 27k budget , family, semi furnished
[24 Sep '26, 3:24 PM] anand nagar ni ajubaju ma 27k around furnished option joye che bungalow chale but owner niche na rehta hova joye</t>
  </si>
  <si>
    <t>Housing.com (Sarkhej)</t>
  </si>
  <si>
    <t>sarkhej, ready to use office, 20k budget | Transfer: sarkhej, ready to use office, 20k budget | Transfer Note: sarkhej, ready to use office, 20k budget | Followup: sarkhej, ready to use office , 20k budget | [Telecaller Key Points]: sarkhej, ready to use office, 20k budget</t>
  </si>
  <si>
    <t>satelite, 3bhk, 27k budget , family, semi furnished | Transfer: satelite, 3bhk, 27k budget , family, semi furnished | Transfer Note: satelite, 3bhk, 27k budget , family, semi furnished | satelite, 3bhk, 27k budget , family, semi furnished anand nagar ni najik ma j joye che</t>
  </si>
  <si>
    <t>Ghoghari Adil (9033363978)</t>
  </si>
  <si>
    <t>Housing.com (Vastrapur)</t>
  </si>
  <si>
    <t>vastrapur, 2bhk, semi furnished, 25k budget, bechlour | Transfer: vastrapur, 2bhk, semi furnished, 25k budget, bechlour | Transfer Note: vastrapur, 2bhk, semi furnished, 25k budget, bechlour | [Telecaller Key Points]: vastrapur, 2bhk, semi furnished, 25k budget, bechlour</t>
  </si>
  <si>
    <t>Mahashkti (7211141355)</t>
  </si>
  <si>
    <t>Looking for 2bhk in Gota,Sola,New Ranip, Science city. Budget is 30k | Transfer: Looking for 2bhk in Gota,Sola,New Ranip, Science city. Budget is 30k | Transfer Note: Looking for 2bhk in Gota,Sola,New Ranip, Science city. Budget is 30k | Followup: akshar valo option send kryo che | CRM: 1,2 nd flore prefrence only sola scince ccity and raanip locatin as per market buget | CRM Followup: akshar valo option send kryo che | 1,2 nd flore prefrence only sola scince ccity and raanip locatin as per market buget</t>
  </si>
  <si>
    <t>Meta Ads (NB Pearl Heights)</t>
  </si>
  <si>
    <t>Sumeet (7769851426)</t>
  </si>
  <si>
    <t>Interested for NB Pearl Heights | Transfer: Interested for NB Pearl Heights | Transfer Note: Interested for NB Pearl Heights | Followup: amne pearl hight nidetail send kari che samethi kese visit mate 1 2 divas ma | CRM: [Telecaller Key Points]: Interested for NB Pearl Heights | CRM Followup: amne pearl hight nidetail send kari che samethi kese visit mate 1 2 divas ma | [Telecaller Key Points]: Interested for NB Pearl Heights</t>
  </si>
  <si>
    <t>2 BHK semi furnished joye che vastrapur memnagar budget 25k | CRM: 2 BHK semi furnished joye che vastrapur memnagar budget 25k | 2 BHK semi furnished flat joye che, chinmay tower, sarjan tower</t>
  </si>
  <si>
    <t>Sumit (7838936628)</t>
  </si>
  <si>
    <t>commercial lead
[21 Sep '26, 12:20 PM] visit &amp; Deal done - 19/09/2026 | Transfer: commercial lead | Transfer Note: commercial lead | CRM: [Telecaller Key Points]: commercial lead | [Telecaller Key Points]: commercial lead</t>
  </si>
  <si>
    <t>Yogesh (9998772430)</t>
  </si>
  <si>
    <t>Interested for NB Pearl Heights | Transfer: Interested for NB Pearl Heights | Transfer Note: Interested for NB Pearl Heights | [Telecaller Key Points]: Interested for NB Pearl Heights</t>
  </si>
  <si>
    <t>Looking for 2bhk in Gota,Sola,New Ranip, Science city. Budget is 30k | Transfer: Looking for 2bhk in Gota,Sola,New Ranip, Science city. Budget is 30k | Transfer Note: Looking for 2bhk in Gota,Sola,New Ranip, Science city. Budget is 30k | 1,2 nd flore prefrence only sola scince ccity and raanip locatin as per market buget</t>
  </si>
  <si>
    <t>Housing.com (Sharanya Altura)</t>
  </si>
  <si>
    <t>Rujuta (9403041611)</t>
  </si>
  <si>
    <t>Bought elsewhere | Rejection: NOT_INTERESTED | Followup: office hai so after call</t>
  </si>
  <si>
    <t>Husen Paraliya (9106014689)</t>
  </si>
  <si>
    <t>Housing.com (Palash Prime)</t>
  </si>
  <si>
    <t>Vishwa Shingadia (9904556210)</t>
  </si>
  <si>
    <t>narayanpura, shop, 25k budget | Transfer: narayanpura, shop, 25k budget | Transfer Note: narayanpura, shop, 25k budget | [Telecaller Key Points]: narayanpura, shop, 25k budget</t>
  </si>
  <si>
    <t>Rima Miglani (9825562302)</t>
  </si>
  <si>
    <t>Samirsinh (9023359664)</t>
  </si>
  <si>
    <t>Maitree Yadav (9104915966)</t>
  </si>
  <si>
    <t>Req 1BHK | Rejection: NOT_INTERESTED</t>
  </si>
  <si>
    <t>Brindaba Rathod (7490083888)</t>
  </si>
  <si>
    <t>Not required | Rejection: NOT_INTERESTED | Followup: South Bopal,25-30k budget, furnished, family</t>
  </si>
  <si>
    <t>Bakul Shah (9825337437)</t>
  </si>
  <si>
    <t>Sumit (9950645574)</t>
  </si>
  <si>
    <t>Req bodkavev panjrapod aambavadi vstrapur,2BHK, semifurnished, 20k budget, family | Transfer: Req bodkavev panjrapod aambavadi vstrapur,2BHK, semifurnished, 20k budget, family | Transfer Note: Req bodkavev panjrapod aambavadi vstrapur,2BHK, semifurnished, 20k budget, family | CRM: [Telecaller Key Points]: Req bodkavev panjrapod aambavadi vstrapur,2BHK, semifurnished, 20k budget, family | [Telecaller Key Points]: Req bodkavev panjrapod aambavadi vstrapur,2BHK, semifurnished, 20k budget, family</t>
  </si>
  <si>
    <t>Samir Raval (8128499419)</t>
  </si>
  <si>
    <t>[20 Sep '26, 1:12 PM] Visit done 4 BHk Bungalow sahjanand status and heritage bungalow bija options batava gota  vaishnodevi said pan chale 50k sundhi ma joye che furnished
[20 Sep '26, 1:13 PM] options search kari ne visit karavi amne diwali ma amnu bungalow renovated kare che toh ana 1 mnth  pahela joye che
[20 Sep '26, 1:14 PM] options search kari ne visit karavi amne diwali ma amnu bungalow renovated kare che toh ana 1 mnth  pahela joye che | Followup: Today visit sahjanand status bungalow | CRM: 3,4 BHK fully furnished flat joye che 50k ma all ready add my connected | CRM Followup: Today visit sahjanand status bungalow | 3,4 BHK fully furnished flat joye che 50k ma all ready add my connected</t>
  </si>
  <si>
    <t>Suraj Silawat (9201412943)</t>
  </si>
  <si>
    <t>Valaki Gopal (8799138083)</t>
  </si>
  <si>
    <t>satelite, bopal, shop, 600sq, 30-35k budget | Transfer: satelite, bopal, shop, 600sq, 30-35k budget | Transfer Note: satelite, bopal, shop, 600sq, 30-35k budget | [Telecaller Key Points]: satelite, bopal, shop, 600sq, 30-35k budget</t>
  </si>
  <si>
    <t>Rajendra (9824080888)</t>
  </si>
  <si>
    <t>Jenith Bhai (7621834494)</t>
  </si>
  <si>
    <t>[20 Sep '26, 1:14 PM] today visit schadual but jenitha bhai call is not responding wp msg drop
[21 Sep '26, 12:02 PM] amne rent par lai lidhu che | CRM: 2 BHK semi furnished apartment joyee rahya che 22k ma | 2 BHK semi furnished apartment joyee rahya che 22k ma</t>
  </si>
  <si>
    <t>Megha Gaurav Radia (8450920927)</t>
  </si>
  <si>
    <t>2 Bhk, Rent 20k, for family, requires as soon, semi furnished, Shilaj and 5-7 km radius | Followup: amne silver vibraant 1 no option send kryo che | CRM: 2 Bhk, Rent 20k, for family, requires as soon, semi furnished, Shilaj and 5-7 km radius | CRM Followup: amne silver vibraant 1 no option send kryo che</t>
  </si>
  <si>
    <t>Req bodkavev panjrapod aambavadi vstrapur,2BHK, semifurnished, 20k budget, family | Transfer: Req bodkavev panjrapod aambavadi vstrapur,2BHK, semifurnished, 20k budget, family | Transfer Note: Req bodkavev panjrapod aambavadi vstrapur,2BHK, semifurnished, 20k budget, family | [Telecaller Key Points]: Req bodkavev panjrapod aambavadi vstrapur,2BHK, semifurnished, 20k budget, family</t>
  </si>
  <si>
    <t>Rk Message First (9909988314)</t>
  </si>
  <si>
    <t>Req pakvan, 2BHK, 20k budget, furnished, family
[19 Sep '26, 2:16 PM] 2 bhk 20k ma joye new property joye che bodakdev satellite ma, so close | Transfer: Req pakvan, 2BHK, 20k budget, furnished, family | Transfer Note: Req pakvan, 2BHK, 20k budget, furnished, family | Followup: 2 BHK fully furnished flat joye che new scheme ma bodakdev pakwan said budget 20k | CRM: [Telecaller Key Points]: Req pakvan, 2BHK, 20k budget, furnished, family | CRM Followup: 2 BHK fully furnished flat joye che new scheme ma bodakdev pakwan said budget 20k | [Telecaller Key Points]: Req pakvan, 2BHK, 20k budget, furnished, family</t>
  </si>
  <si>
    <t>Meta Ads (Chanakyapuri)</t>
  </si>
  <si>
    <t>Housing User (7621834494)</t>
  </si>
  <si>
    <t>Interested for the Madri Apartment memnagar want to visit as soon as possible after 06:00 pm . | Transfer: Interested for the Madri Apartment memnagar want to visit as soon as possible after 06:00 pm . | Transfer Note: Interested for the Madri Apartment memnagar want to visit as soon as possible after 06:00 pm . | Followup: cnr | CRM: [Telecaller Key Points]: Interested for the Madri Apartment memnagar want to visit as soon as possible after 06:00 pm . | CRM Followup: cnr | [Telecaller Key Points]: Interested for the Madri Apartment memnagar want to visit as soon as possible after 06:00 pm . | 2 BHK semi furnished apartment joyee rahya che 22k ma</t>
  </si>
  <si>
    <t>Interested for the Madri Apartment memnagar want to visit as soon as possible after 06:00 pm . | Transfer: Interested for the Madri Apartment memnagar want to visit as soon as possible after 06:00 pm . | Transfer Note: Interested for the Madri Apartment memnagar want to visit as soon as possible after 06:00 pm . | 2 BHK semi furnished apartment joyee rahya che 22k ma</t>
  </si>
  <si>
    <t>Housing User (7874796623)</t>
  </si>
  <si>
    <t>Client want property in Gota interested for Nirman Homes | Transfer: Client want property in Gota interested for Nirman Homes | Transfer Note: Client want property in Gota interested for Nirman Homes | CRM: [Telecaller Key Points]: Client want property in Gota interested for Nirman Homes | [Telecaller Key Points]: Client want property in Gota interested for Nirman Homes</t>
  </si>
  <si>
    <t>Umang Bathani (8469017687)</t>
  </si>
  <si>
    <t>[Telecaller Key Points]: South bopal sela, 2bhk, 20-22k budget, furnished, family | Transfer: South bopal sela, 2bhk, 20-22k budget, furnished, family | Transfer Note: South bopal sela, 2bhk, 20-22k budget, furnished, family | Followup: amne December thi joiye to December ma passesetion male ava option apva | CRM: [Telecaller Key Points]: South bopal sela, 2bhk, 20-22k budget, furnished, family | CRM Followup: amne December thi joiye to December ma passesetion male ava option apva | South bopal sela, 2bhk, 20-22k budget, furnished, family</t>
  </si>
  <si>
    <t>Shashi Srivastava (9975114558)</t>
  </si>
  <si>
    <t>[Telecaller Key Points]: Req south Bopal,sela,silaj , 2BHK, 18-22k budget, semi furnished, family | Transfer: Req south Bopal,sela,silaj , 2BHK, 18-22k budget, semi furnished, family | Transfer Note: Req south Bopal,sela,silaj , 2BHK, 18-22k budget, semi furnished, family | Followup: visit done maheer home 5 sun footprint and more | CRM: [Telecaller Key Points]: Req south Bopal,sela,silaj , 2BHK, 18-22k budget, semi furnished, family | CRM Followup: visit done maheer home 5 sun footprint and more | Req south Bopal,sela,silaj , 2BHK, 18-22k budget, semi furnished, family
[28 Sep '26, 5:06 PM] shela south bopal ma 6-7 option visit kaaraya 2 time viisit done</t>
  </si>
  <si>
    <t>Sugam Singh (7069265309)</t>
  </si>
  <si>
    <t>2 bhk joiye semi furnished bed sofa ac joiye wardrop no electronic | Followup: cnr cnr option apva visit ma avse | CRM: 2 bhk joiye semi furnished bed sofa ac joiye wardrop no electronic | CRM Followup: cnr cnr option apva visit ma avse</t>
  </si>
  <si>
    <t>Panth Mehta (9033025292)</t>
  </si>
  <si>
    <t>Drhani Chaudhary (9408182478)</t>
  </si>
  <si>
    <t>Req pakvan, 2BHK, 20k budget, furnished, family | Transfer: Req pakvan, 2BHK, 20k budget, furnished, family | Transfer Note: Req pakvan, 2BHK, 20k budget, furnished, family | [Telecaller Key Points]: Req pakvan, 2BHK, 20k budget, furnished, family</t>
  </si>
  <si>
    <t>Shital (9408888119)</t>
  </si>
  <si>
    <t>Vivek Gupta (9983323399)</t>
  </si>
  <si>
    <t>Deepti Pal (7905497455)</t>
  </si>
  <si>
    <t>Transfer Note: Marked as CNR | Followup: call cut</t>
  </si>
  <si>
    <t>[Telecaller Key Points]: Vstrapur, 3BHK, 25k budget, furnished, family</t>
  </si>
  <si>
    <t>Kinnar N Shah (9426709768)</t>
  </si>
  <si>
    <t>Mathematicalcricket (9049671673)</t>
  </si>
  <si>
    <t>Aaryannnn…  (8200374242)</t>
  </si>
  <si>
    <t>Ashiyana Malek (8320322556)</t>
  </si>
  <si>
    <t>Req south Bopal,sela,silaj , 2BHK, 18-22k budget, semi furnished, family | Transfer: Req south Bopal,sela,silaj , 2BHK, 18-22k budget, semi furnished, family | Transfer Note: Req south Bopal,sela,silaj , 2BHK, 18-22k budget, semi furnished, family | [Telecaller Key Points]: Req south Bopal,sela,silaj , 2BHK, 18-22k budget, semi furnished, family</t>
  </si>
  <si>
    <t>Hemant Patni (8097365043)</t>
  </si>
  <si>
    <t>Ravi Vyas (8233193909)</t>
  </si>
  <si>
    <t>Followup: sela, 2BHK, 20-25k budget, unfurnished, family</t>
  </si>
  <si>
    <t>Vedant Dhale (8308465832)</t>
  </si>
  <si>
    <t>Pavan (9414273457)</t>
  </si>
  <si>
    <t>commercial lead | Transfer: commercial lead | Transfer Note: commercial lead | [Telecaller Key Points]: commercial lead</t>
  </si>
  <si>
    <t>Kaushik Patel (9904690859)</t>
  </si>
  <si>
    <t>New N (8849584842)</t>
  </si>
  <si>
    <t>Client want property in Gota interested for Nirman Homes | Transfer: Client want property in Gota interested for Nirman Homes | Transfer Note: Client want property in Gota interested for Nirman Homes | [Telecaller Key Points]: Client want property in Gota interested for Nirman Homes</t>
  </si>
  <si>
    <t>Doctor Mehul (8160808107)</t>
  </si>
  <si>
    <t>Prabhakar Sharma (9413485134)</t>
  </si>
  <si>
    <t>2Bhk Family 20k sola, Mamnager | Followup: Call not responding | CRM: 2Bhk Family 20k sola, Mamnager | CRM Followup: Call not responding</t>
  </si>
  <si>
    <t>Dipak Soni (9913744056)</t>
  </si>
  <si>
    <t>Rama Dhani (9023177932)</t>
  </si>
  <si>
    <t>Not required | Rejection: NOT_INTERESTED</t>
  </si>
  <si>
    <t>Asgar Alam (7982882273)</t>
  </si>
  <si>
    <t>Followup: Switched off</t>
  </si>
  <si>
    <t>scince city near zydus , 25-30k budget, office, furnished | Transfer: scince city near zydus , 25-30k budget, office, furnished | Transfer Note: scince city near zydus , 25-30k budget, office, furnished | [Telecaller Key Points]: scince city near zydus , 25-30k budget, office, furnished</t>
  </si>
  <si>
    <t>Prashant Borana (8433838038)</t>
  </si>
  <si>
    <t>Riddhi (9512910073)</t>
  </si>
  <si>
    <t>Not required now, will inform after sometime | Rejection: NOT_INTERESTED | Transfer Note: Marked as CNR | Followup: In a meeting</t>
  </si>
  <si>
    <t>Dixita Bhatt (6355507075)</t>
  </si>
  <si>
    <t>Reenap (9601823053)</t>
  </si>
  <si>
    <t>Location Gandhinagar - PDEU, location mismatch | Rejection: NOT_INTERESTED</t>
  </si>
  <si>
    <t>Singhaniya Yo. (8511702115)</t>
  </si>
  <si>
    <t>[Telecaller Key Points]: 2-3 BHK, (Tenament), Location Satadhar, Thaltej, Ghatlodia, Gurukul, for family, Rent budget 25-30K, Possession this month | Transfer: 2-3 BHK, (Tenament), Location Satadhar, Thaltej, Ghatlodia, Gurukul, for family, Rent budget 25-30K, Possession this month | Transfer Note: 2-3 BHK, (Tenament), Location Satadhar, Thaltej, Ghatlodia, Gurukul, for family, Rent budget 25-30K, Possession this month | Followup: options searching and details share options not available | CRM: [Telecaller Key Points]: 2-3 BHK, (Tenament), Location Satadhar, Thaltej, Ghatlodia, Gurukul, for family, Rent budget 25-30K, Possession this month | CRM Followup: options searching and details share options not available | 2-3 BHK, (Tenament), Location Satadhar, Thaltej, Ghatlodia, Gurukul, for family, Rent budget 25-30K, Possession this month
[24 Sep '26, 2:43 PM] options not available so close</t>
  </si>
  <si>
    <t>Harshidaben Joshi (9104903871)</t>
  </si>
  <si>
    <t>Urvashi Ladva (7041649295)</t>
  </si>
  <si>
    <t>Jay Verma (8409148575)</t>
  </si>
  <si>
    <t>Jignesh Purohit (8347199990)</t>
  </si>
  <si>
    <t>Ps Ps (9413485134)</t>
  </si>
  <si>
    <t>Archived</t>
  </si>
  <si>
    <t>2Bhk Family 20k sola, Mamnager</t>
  </si>
  <si>
    <t>Sagarojwani225 (9265905798)</t>
  </si>
  <si>
    <t>Mitul Dadhania (6351088319)</t>
  </si>
  <si>
    <t>Req satelite, jodhpur, near jainderasar, 2BHK, 20k budget, semi furnished
[20 Sep '26, 1:15 PM] Options not available this locations | Transfer: Req satelite, jodhpur, near jainderasar, 2BHK, 20k budget, semi furnished | Transfer Note: Req satelite, jodhpur, near jainderasar, 2BHK, 20k budget, semi furnished | Followup: 2 BHk semi furnished options shared karva nd visit mate bolava | CRM: [Telecaller Key Points]: Req satelite, jodhpur, near jainderasar, 2BHK, 20k budget, semi furnished | CRM Followup: 2 BHk semi furnished options shared karva nd visit mate bolava | [Telecaller Key Points]: Req satelite, jodhpur, near jainderasar, 2BHK, 20k budget, semi furnished</t>
  </si>
  <si>
    <t>Paresh Gandhi (9879326725)</t>
  </si>
  <si>
    <t>[Telecaller Key Points]: Req 2BHK, paldi, navangpura, narayanpura,law garden, 20-25k  budget, furnished,family | Transfer: Req 2BHK, paldi, navangpura, narayanpura,law garden, 20-25k  budget, furnished,family | Transfer Note: Req 2BHK, paldi, navangpura, narayanpura,law garden, 20-25k  budget, furnished,family | Followup: call eveing atyre office ma che | CRM: [Telecaller Key Points]: Req 2BHK, paldi, navangpura, narayanpura,law garden, 20-25k  budget, furnished,family | CRM Followup: call eveing atyre office ma che | Req 2BHK, paldi, navangpura, narayanpura,law garden, 20-25k  budget, furnished,family
[18 Sep '26, 12:41 PM] atyre office ma chu call after evening
[26 Sep '26, 3:51 PM] 20k ma all including furnished flat joye che</t>
  </si>
  <si>
    <t>Monil Parmar (7383372986)</t>
  </si>
  <si>
    <t>Req sivranjni near 6-7km , 3BHK, 27k budget
[18 Sep '26, 12:46 PM] 3 BHK semi furnished falt joyee rahya che nr shayamal, shivranjni 28 to 30k ma options search kari ne share kara
[18 Sep '26, 12:49 PM] family sathe rehvanu che CA che | Transfer: Req sivranjni near 6-7km , 3BHK, 27k budget | Transfer Note: Req sivranjni near 6-7km , 3BHK, 27k budget | Followup: 3 BHK semi furnished falt joyee rahya che nr shayamal, shivranjni 28 to 30k ma options search kari ne share kara | CRM: [Telecaller Key Points]: Req sivranjni near 6-7km , 3BHK, 27k budget | CRM Followup: 3 BHK semi furnished falt joyee rahya che nr shayamal, shivranjni 28 to 30k ma options search kari ne share kara | [Telecaller Key Points]: Req sivranjni near 6-7km , 3BHK, 27k budget</t>
  </si>
  <si>
    <t>Dharmesh Khajanchi (9374509998)</t>
  </si>
  <si>
    <t>Req sola, fully furnished 2BHK,with out furnished 3BHK, 22k budget | Transfer: Req sola, fully furnished 2BHK,with out furnished 3BHK, 22k budget | Transfer Note: Req sola, fully furnished 2BHK,with out furnished 3BHK, 22k budget | CRM: [Telecaller Key Points]: Req sola, fully furnished 2BHK,with out furnished 3BHK, 22k budget | [Telecaller Key Points]: Req sola, fully furnished 2BHK,with out furnished 3BHK, 22k budget</t>
  </si>
  <si>
    <t>Req 2bhk ,bopal , navangpura ,family | Transfer: Req 2bhk ,bopal , navangpura ,family | Transfer Note: Req 2bhk ,bopal , navangpura ,family | Followup: cnr | CRM: [Telecaller Key Points]: Req 2bhk ,bopal , navangpura ,family,, 15k ma 1/2 bhk joiye che | CRM Followup: cnr | [Telecaller Key Points]: Req 2bhk ,bopal , navangpura ,family,, 15k ma 1/2 bhk joiye che</t>
  </si>
  <si>
    <t>Test (7789990098)</t>
  </si>
  <si>
    <t>gjfghdfxh | CRM: gjfghdfxh</t>
  </si>
  <si>
    <t>Kamlesh Bhai (9510572173)</t>
  </si>
  <si>
    <t>amne 1st and 2nd flore ma joiye che semi furnished 25k aspas
[17 Sep '26, 3:26 PM] 1  2 secound parj joiye che amne | Followup: 1,2 nd flore j joiye scince city sola ma j joiye | CRM: amne 1st and 2nd flore ma joiye che semi furnished 25k aspas | CRM Followup: 1,2 nd flore j joiye scince city sola ma j joiye | amne 1st and 2nd flore ma joiye che semi furnished 25k aspas</t>
  </si>
  <si>
    <t>Poonam Ghaskadvi (9879495579)</t>
  </si>
  <si>
    <t>Not Started</t>
  </si>
  <si>
    <t>[17 Sep '26, 1:09 PM] Options share karva nd sunday visit mate aavse | CRM: 2 BHk semi Furnished joye che vastrapur mansi cross road najik ma | 2 BHk semi Furnished joye che vastrapur mansi cross road najik ma</t>
  </si>
  <si>
    <t>Adv Ankita Bafna (9468510237)</t>
  </si>
  <si>
    <t>[17 Sep '26, 11:26 AM] 2bhk highcort near ma che 1/2bhk chale amne /working che /furnished ma joiye single che aadvocate che | Followup: option work out krvana che amna maate single re che highcort ma advocate che near by ma joiye che furnished flate | CRM: [Staying: working professionals] [Campaign: NB PropertyTech Survey Ad 3108] Imported from Campaign Leads (Meta Ads). | CRM Followup: option work out krvana che amna maate single re che highcort ma advocate che near by ma joiye che furnished flate | [Staying: working professionals] [Campaign: NB PropertyTech Survey Ad 3108] Imported from Campaign Leads (Meta Ads).</t>
  </si>
  <si>
    <t>Ashrita Bahuguna (9638150632)</t>
  </si>
  <si>
    <t>[17 Sep '26, 11:21 AM] 4bhk semi 35k falt nr chandkheda, gota, jagatpur
[17 Sep '26, 11:52 AM] amne lai lidhu che | CRM: [Staying: family] [Campaign: NB PropertyTech Survey Ad 3108] Imported from Campaign Leads (Meta Ads). | [Staying: family] [Campaign: NB PropertyTech Survey Ad 3108] Imported from Campaign Leads (Meta Ads).</t>
  </si>
  <si>
    <t>Meta Ads (NB PropertyTech Survey Ad 0308)</t>
  </si>
  <si>
    <t>Isha_59 (9510828745)</t>
  </si>
  <si>
    <t>testing lead | Transfer: testing lead | Transfer Note: testing lead | CRM: .</t>
  </si>
  <si>
    <t>Rawal Dipali (9327427009)</t>
  </si>
  <si>
    <t>testing | Transfer: testing | Transfer Note: testing | CRM: .</t>
  </si>
  <si>
    <t>Hiral (9377873232)</t>
  </si>
  <si>
    <t>Call Attempted (Open)</t>
  </si>
  <si>
    <t>testing lead | Transfer: testing lead | Transfer Note: testing lead | CRM: ---- | ----</t>
  </si>
  <si>
    <t>Indulgence (9879182974)</t>
  </si>
  <si>
    <t>[16 Sep '26, 4:30 PM] req- 3bhk budget- 30to35k Location- gurukul to thaltej   (  full/semi furnished )
[21 Sep '26, 10:43 AM] 3 BHK furnished flat gurukul to thaltej ma 35k ma | Followup: details share kari ne  visit ma bolava | CRM: [Staying: family] [Campaign: NB PropertyTech Survey Ad 3108] Imported from Campaign Leads (Meta Ads). | CRM Followup: details share kari ne  visit ma bolava | [Staying: family] [Campaign: NB PropertyTech Survey Ad 3108] Imported from Campaign Leads (Meta Ads).</t>
  </si>
  <si>
    <t>Samir Soni (royal Heart) (9925926354)</t>
  </si>
  <si>
    <t>[16 Sep '26, 4:25 PM] Req- 4bhk Bunhalow Budget-1lk Location- Rajpat rangoli road | CRM: [Staying: family] [Campaign: NB PropertyTech Survey Ad 3108] Imported from Campaign Leads (Meta Ads). | [Staying: family] [Campaign: NB PropertyTech Survey Ad 3108] Imported from Campaign Leads (Meta Ads).</t>
  </si>
  <si>
    <t>Vishva Bhavsar (6354834054)</t>
  </si>
  <si>
    <t>[16 Sep '26, 4:20 PM] 2 bhk req. 17k max with family nr jagatpur gota | CRM: [Staying: family] [Campaign: NB PropertyTech Survey Ad 3108] Imported from Campaign Leads (Meta Ads). | [Staying: family] [Campaign: NB PropertyTech Survey Ad 3108] Imported from Campaign Leads (Meta Ads).</t>
  </si>
  <si>
    <t>Ashok Ojha (6376080197)</t>
  </si>
  <si>
    <t>[16 Sep '26, 3:57 PM] call kaape che /cnr/call kape che /call kape che
[16 Sep '26, 4:33 PM] cnr
[17 Sep '26, 11:08 AM] cnr | Followup: whatsp msg kryo che kese | CRM: [Staying: family] [Campaign: NB PropertyTech Survey Ad 3108] Imported from Campaign Leads (Meta Ads). | CRM Followup: whatsp msg kryo che kese | [Staying: family] [Campaign: NB PropertyTech Survey Ad 3108] Imported from Campaign Leads (Meta Ads).</t>
  </si>
  <si>
    <t>Sandip Bhalsod (9725813818)</t>
  </si>
  <si>
    <t>testing leads | Transfer: testing leads | Transfer Note: testing leads | CRM: [Telecaller Key Points]: . | [Telecaller Key Points]: .</t>
  </si>
  <si>
    <t>ʜɪʀᴇɴ ᴘʀᴀᴊᴀᴘᴀᴛɪ (7048612207)</t>
  </si>
  <si>
    <t>[16 Sep '26, 3:55 PM] Req- 2bhk budget-20k Location- bodakdev,bopal shilaj | Followup: Call not responding | CRM: [Staying: family] [Campaign: NB PropertyTech Survey Ad 3108] Imported from Campaign Leads (Meta Ads). | CRM Followup: Call not responding | [Staying: family] [Campaign: NB PropertyTech Survey Ad 3108] Imported from Campaign Leads (Meta Ads).</t>
  </si>
  <si>
    <t>Mayur Garg (7014656900)</t>
  </si>
  <si>
    <t>[16 Sep '26, 3:51 PM] Req -3BHK full furnished budget -35to40k Location Su/bopal ( option send to safal parisar 2 50k rent 3bhk  ) | Followup: 6 Aradhan socity 3bhk bungalow detail send sunday visit nu kidhu che | CRM: null | CRM Followup: 6 Aradhan socity 3bhk bungalow detail send sunday visit nu kidhu che | null</t>
  </si>
  <si>
    <t>Shrenik Mehta (9825267672)</t>
  </si>
  <si>
    <t>[16 Sep '26, 3:50 PM] 2 BHK semi furninished gota nr joye che 25 k ma
[17 Sep '26, 10:50 AM] CNR Wp Drop
[17 Sep '26, 11:57 AM] Rent mate atyre postpond che but sale mate joye che 3bhk 80 lakh ma joye che naranpura navarangpura locations ma | Followup: searching options and sahre | CRM: 3 BHK faly req 80 lakh naranpura near ma joye che options search kari ne mokalva 6 month possession hase toh pan chalse | CRM Followup: searching options and sahre | 3 BHK faly req 80 lakh naranpura near ma joye che options search kari ne mokalva 6 month possession hase toh pan chalse</t>
  </si>
  <si>
    <t>Siya (6359731685)</t>
  </si>
  <si>
    <t>[16 Sep '26, 3:43 PM] cnr/17k buget che 4 vage pearl hight visit  ma avse /amne 2 divas thi ke che bt avta nathi cnr call cnr
[17 Sep '26, 3:28 PM] always busy che
[18 Sep '26, 3:52 PM] cnr | Followup: cnr | CRM: amne pearl hight mate vat chale avse tyare kese | CRM Followup: cnr | amne pearl hight mate vat chale avse tyare kese</t>
  </si>
  <si>
    <t>Dhaval Shah (7990880622)</t>
  </si>
  <si>
    <t>[16 Sep '26, 3:41 PM] amne semi and furnished joiye gota vaisnodevi vastrapur / pearl hight and ganesh genesis no option send kryo che | CRM: [Staying: family] [Campaign: NB PropertyTech Survey Ad 3108] Imported from Campaign Leads (Meta Ads). | [Staying: family] [Campaign: NB PropertyTech Survey Ad 3108] Imported from Campaign Leads (Meta Ads).</t>
  </si>
  <si>
    <t>Akash Gupta (7976535242)</t>
  </si>
  <si>
    <t>testing leads | Transfer: testing leads | Transfer Note: testing leads | CRM: --- | ---</t>
  </si>
  <si>
    <t>Testing Leads Manually Add (1326568974)</t>
  </si>
  <si>
    <t>Hello This Is a testing lead -- do not take any action | CRM: Hello This Is a testing lead -- do not take any action</t>
  </si>
  <si>
    <t>Pm Patel (6354353965)</t>
  </si>
  <si>
    <t>testing lead | Transfer: testing lead | Transfer Note: testing lead | Followup: .. | CRM: --- | CRM Followup: .. | ---</t>
  </si>
  <si>
    <t>Rakeshkumar Rajendrakumar Karan (8511744406)</t>
  </si>
  <si>
    <t>Pankaj Gangadiya (9426233218)</t>
  </si>
  <si>
    <t>required gurukul,satelite 30k budget 2BHK furnished
[17 Sep '26, 6:45 PM] Rakesh bhai ne transfer kari che bopal said rakesh bhai jove che | Transfer: required gurukul,satelite 30k budget 2BHK furnished | Transfer Note: required gurukul,satelite 30k budget 2BHK furnished | Followup: kale 4 vaage sahjanand oasis visit ma avse | CRM: required gurukul,satelite 30k budget 2BHK furnished | CRM Followup: kale 4 vaage sahjanand oasis visit ma avse | required gurukul,satelite 30k budget 2BHK furnished</t>
  </si>
  <si>
    <t>Sakshi Mehul Jain (9950443872)</t>
  </si>
  <si>
    <t>testing leads
[16 Sep '26, 2:53 PM] ... | Transfer: testing leads | Transfer Note: testing leads | CRM: --- | ---</t>
  </si>
  <si>
    <t>Manoj Jograna (6359587117)</t>
  </si>
  <si>
    <t>testing -leads -- | Transfer: testing -leads -- | Transfer Note: testing -leads -- | CRM: --- | ---</t>
  </si>
  <si>
    <t>Mahendra Mehta (9327063788)</t>
  </si>
  <si>
    <t>Rejected (Broker)</t>
  </si>
  <si>
    <t>Rquired 2bhk budget 20k preefered location navrangpura ,ghatlodiya | Transfer: Rquired 2bhk budget 20k preefered location navrangpura ,ghatlodiya | Transfer Note: Rquired 2bhk budget 20k preefered location navrangpura ,ghatlodiya | Followup: amne pearl ight ni detail sendk kri che | CRM: Rquired 2bhk budget 20k preefered location navrangpura ,ghatlodiya | CRM Followup: amne pearl ight ni detail sendk kri che</t>
  </si>
  <si>
    <t>Engisandip (9638883230)</t>
  </si>
  <si>
    <t>Testing leads | Transfer: Testing leads | Transfer Note: Testing leads | CRM: --- | ---</t>
  </si>
  <si>
    <t>Paresh Dagha (9574758322)</t>
  </si>
  <si>
    <t>hello testing leads | Transfer: hello testing leads | Transfer Note: hello testing leads | CRM: --- | ---</t>
  </si>
  <si>
    <t>Gopi Parmar (9328241229)</t>
  </si>
  <si>
    <t>this is testing leads -- | Transfer: this is testing leads -- | Transfer Note: this is testing leads -- | CRM: [Telecaller Key Points]: this is testing leads -- | [Telecaller Key Points]: this is testing leads --</t>
  </si>
  <si>
    <t>Urvi Dave (8866555863)</t>
  </si>
  <si>
    <t>hellp | Transfer: hellp | Transfer Note: hellp | CRM: hellp</t>
  </si>
  <si>
    <t>Reena K Gajjar (8160572906)</t>
  </si>
  <si>
    <t>hello
[18 Sep '26, 12:52 PM] The call is not responding call back again
[18 Sep '26, 12:52 PM] CNR CALL EVENING | Transfer: hello | Transfer Note: hello | CRM: --- | ---</t>
  </si>
  <si>
    <t>Aryan Rajan (9008760427)</t>
  </si>
  <si>
    <t>call by somel | CRM: call by somel</t>
  </si>
  <si>
    <t>Saurin Shah (9608175772)</t>
  </si>
  <si>
    <t>[16 Sep '26, 3:43 PM] Req 2BHk full furnished  Loaction- gota budget- 20to30k | Transfer: this is a testing lead -- do not take any action ! | Transfer Note: this is a testing lead -- do not take any action ! | CRM: --- | ---</t>
  </si>
  <si>
    <t>Patel Kaushik (8866559730)</t>
  </si>
  <si>
    <t>this is testing lead -- do not take any actions | Transfer: this is testing lead -- do not take any actions | Transfer Note: this is testing lead -- do not take any actions | CRM: --- | ---</t>
  </si>
  <si>
    <t>this is testing lead | Transfer: this is testing lead | Transfer Note: this is testing lead | CRM: --- | ---</t>
  </si>
  <si>
    <t>Patel Bhumika (6352245004)</t>
  </si>
  <si>
    <t>[18 Sep '26, 12:56 PM] 6-7 k ma bapunagar ma joye che rent par close | Transfer: this is testing lead -- do not take any actions ! | Transfer Note: this is testing lead -- do not take any actions ! | Followup: wp msg drop call for update | CRM: --- | CRM Followup: wp msg drop call for update | ---</t>
  </si>
  <si>
    <t>Umesh Deokar (7869962580)</t>
  </si>
  <si>
    <t>Live</t>
  </si>
  <si>
    <t>this is testing lead -- do not take any actions ! | Transfer: this is testing lead -- do not take any actions ! | Transfer Note: this is testing lead -- do not take any actions ! | CRM: this is testing lead -- do not take any actions !</t>
  </si>
  <si>
    <t>Manish (6354955296)</t>
  </si>
  <si>
    <t>[Telecaller Key Points]: this is a testing leads --- do not take any actions | Transfer: this is a testing leads --- do not take any actions | Transfer Note: this is a testing leads --- do not take any actions | CRM: [Telecaller Key Points]: this is a testing leads --- do not take any actions</t>
  </si>
  <si>
    <t>Thakor Mahendra (9662777905)</t>
  </si>
  <si>
    <t>this is testing leads --- | Transfer: this is testing leads --- | Transfer Note: this is testing leads --- | CRM: --- | ---</t>
  </si>
  <si>
    <t>Parmar Kinjal (7990697368)</t>
  </si>
  <si>
    <t>Parish Goyal (7999625567)</t>
  </si>
  <si>
    <t>Hitesh Solanki (8735865687)</t>
  </si>
  <si>
    <t>this is testing leads -- do not any action | Transfer: this is testing leads -- do not any action | Transfer Note: this is testing leads -- do not any action | CRM: this is testing leads -- do not any action</t>
  </si>
  <si>
    <t>Santosh Rai (8155080189)</t>
  </si>
  <si>
    <t>Rere (1326587450)</t>
  </si>
  <si>
    <t>fwfwefew | CRM: fwfwefew</t>
  </si>
  <si>
    <t>Devika Ck Devika (8320754280)</t>
  </si>
  <si>
    <t>this is testing leads -- assign for you ! do not take action | Transfer: this is testing leads -- assign for you ! do not take action | Transfer Note: this is testing leads -- assign for you ! do not take action | CRM: this is testing leads -- assign for you ! do not take action</t>
  </si>
  <si>
    <t>Kalpesh Shatvara (9824158759)</t>
  </si>
  <si>
    <t>TESTING LEADS | Transfer: TESTING LEADS | Transfer Note: TESTING LEADS | CRM: --- | ---</t>
  </si>
  <si>
    <t>Darsh Dhamsaniya (9662669973)</t>
  </si>
  <si>
    <t>Asif Mansuri (8401414850)</t>
  </si>
  <si>
    <t>hello this is a testing leads for assign you !
[15 Sep '26, 3:43 PM] heeleloeoeoe | Transfer: hello this is a testing leads for assign you ! | Transfer Note: hello this is a testing leads for assign you ! | CRM: --- | ---</t>
  </si>
  <si>
    <t>Uma (9408219793)</t>
  </si>
  <si>
    <t>final testing uma !! | Transfer: final testing uma !! | Transfer Note: final testing uma !! | CRM: final testing uma !!</t>
  </si>
  <si>
    <t>Mitesh Gurjar (9624118610)</t>
  </si>
  <si>
    <t>testing leads  mite gurjar | Transfer: testing leads  mite gurjar | Transfer Note: testing leads  mite gurjar | CRM: [Telecaller Key Points]: testing leads  mitesh gurjar | [Telecaller Key Points]: testing leads  mitesh gurjar</t>
  </si>
  <si>
    <t>Vinaysinh Chauhan (7575002603)</t>
  </si>
  <si>
    <t>testing hello | Transfer: testing hello | Transfer Note: testing hello | CRM: --- | ---</t>
  </si>
  <si>
    <t>Ashok Makwana (9924647451)</t>
  </si>
  <si>
    <t>[Staying: couple] [Campaign: NB PropertyTech Survey Ad 3108] Imported from Campaign Leads (Meta Ads). | Followup: no responding cnr always | CRM: [Staying: couple] [Campaign: NB PropertyTech Survey Ad 3108] Imported from Campaign Leads (Meta Ads). | CRM Followup: no responding cnr always</t>
  </si>
  <si>
    <t>Shailesh Maman Bhai Patel (8511030455)</t>
  </si>
  <si>
    <t>visit done  bule bell and akshar evoq  in said ideal extra out said
[14 Sep '26, 5:42 PM] 70 lakh ma inclined joye che bule bell not possible
[18 Sep '26, 12:17 PM] manan bhai ne 65 lakh ni ashpas joye rahya che any other options hoy toh share karva | CRM: visit done  bule bell and akshar evoq  in said ideal extra out said | visit done  bule bell and akshar evoq  in said ideal extra out said</t>
  </si>
  <si>
    <t>[Staying: couple] [Campaign: NB PropertyTech Survey Ad 3108] Imported from Campaign Leads (Meta Ads).</t>
  </si>
  <si>
    <t>Kalpesh Chaudhary (9723261573)</t>
  </si>
  <si>
    <t>--- | CRM: ---</t>
  </si>
  <si>
    <t>Testing Leads New (1326597710)</t>
  </si>
  <si>
    <t>hello | Followup: s s s | CRM: hello | CRM Followup: s s s</t>
  </si>
  <si>
    <t>Parin (9586325122)</t>
  </si>
  <si>
    <t>Sanjay Parmar (8275252922)</t>
  </si>
  <si>
    <t>[14 Sep '26, 3:01 PM] 2BHK Semi furnished, Ranip, new ranip, sabarmati, nava vadaj, naranpura, C G road, Chandkheda, Budget 20k possession from 15th Oct | Followup: cnr | CRM: [Staying: family] [Campaign: NB PropertyTech Survey Ad 3108] Imported from Campaign Leads (Meta Ads). | CRM Followup: cnr | [Staying: family] [Campaign: NB PropertyTech Survey Ad 3108] Imported from Campaign Leads (Meta Ads).</t>
  </si>
  <si>
    <t>Nimil Pandya (7016934755)</t>
  </si>
  <si>
    <t>[14 Sep '26, 2:58 PM] Shilaj, Sindhubhavan, Want 3BHK fully furnished, for family 32-35k Budget, possession as soon as possible. | CRM: [Staying: family] [Campaign: NB PropertyTech Survey Ad 3108] Imported from Campaign Leads (Meta Ads). | [Staying: family] [Campaign: NB PropertyTech Survey Ad 3108] Imported from Campaign Leads (Meta Ads).</t>
  </si>
  <si>
    <t>Sweta Sweta (9574230161)</t>
  </si>
  <si>
    <t>this is testing leads | CRM: this is testing leads</t>
  </si>
  <si>
    <t>Chavda Paresh (9925070971)</t>
  </si>
  <si>
    <t>[14 Sep '26, 2:54 PM] Gota, near KN Patel School, 2 BHK for family, semi furnished 20-23k rent, possession as soon as possible. | Followup: cnr | CRM: [Staying: family] [Campaign: NB PropertyTech Survey Ad 3108] Imported from Campaign Leads (Meta Ads). | CRM Followup: cnr | [Staying: family] [Campaign: NB PropertyTech Survey Ad 3108] Imported from Campaign Leads (Meta Ads).</t>
  </si>
  <si>
    <t>Kuldip Tomar (6353321161)</t>
  </si>
  <si>
    <t>testing leads -- | CRM: testing leads --</t>
  </si>
  <si>
    <t>Ruchita Bhatt (7202826588)</t>
  </si>
  <si>
    <t>this is testing leads assign to you -- agar ye client ka kuch bhi status baaki hai to aap follow ups le sakte hai ! | CRM: this is testing leads assign to you -- agar ye client ka kuch bhi status baaki hai to aap follow ups le sakte hai !</t>
  </si>
  <si>
    <t>Himanshu Kharwal (9772080368)</t>
  </si>
  <si>
    <t>Himanshi Chauhan (9712932621)</t>
  </si>
  <si>
    <t>[21 Sep '26, 10:53 AM] The call is not responding so call back again | Followup: The call is not responding so call back again | CRM: 3 BHK in Gota budget 20k | CRM Followup: The call is not responding so call back again | 3 BHK in Gota budget 20k</t>
  </si>
  <si>
    <t>Tanay Shah (9879407191)</t>
  </si>
  <si>
    <t>[Staying: family] [Campaign: NB PropertyTech Survey Ad 3108] Imported from Campaign Leads (Meta Ads).</t>
  </si>
  <si>
    <t>2 BHK semi furnished flat joye che, chinmay tower, sarjan tower</t>
  </si>
  <si>
    <t>Ʂŋɛɧąɩ ყɛơɩą (8181049711)</t>
  </si>
  <si>
    <t>[18 Sep '26, 12:58 PM] all time out off service so close | Followup: all time out off service so close | CRM: [Staying: couple] [Campaign: NB PropertyTech Survey Ad 3108] Imported from Campaign Leads (Meta Ads). | CRM Followup: all time out off service so close | [Staying: couple] [Campaign: NB PropertyTech Survey Ad 3108] Imported from Campaign Leads (Meta Ads).</t>
  </si>
  <si>
    <t>Nayak Shilpia Janak Kiumr (9510669856)</t>
  </si>
  <si>
    <t>[Staying: couple] [Campaign: NB PropertyTech Survey Ad 3108] Imported from Campaign Leads (Meta Ads).
[14 Sep '26, 3:43 PM] just listed but not req. so close | CRM: [Staying: couple] [Campaign: NB PropertyTech Survey Ad 3108] Imported from Campaign Leads (Meta Ads). | [Staying: couple] [Campaign: NB PropertyTech Survey Ad 3108] Imported from Campaign Leads (Meta Ads).</t>
  </si>
  <si>
    <t>Sudha Desai (9409148736)</t>
  </si>
  <si>
    <t>[14 Sep '26, 2:50 PM] options searching and shared details call for visit only evening | Followup: the call is not responding already options share call for visit | CRM: 3,4 bhk bungalow joye che shyamal shivranjni, satellite locations ma budget 5 cr che | CRM Followup: the call is not responding already options share call for visit | 3,4 bhk bungalow joye che shyamal shivranjni, satellite locations ma budget 5 cr che</t>
  </si>
  <si>
    <t>Divyesh Sidhpura (9426766240)</t>
  </si>
  <si>
    <t>[Campaign: NB PropertyTech Survey Ad 0308] Imported from Campaign Leads (Meta Ads). | CRM: [Campaign: NB PropertyTech Survey Ad 0308] Imported from Campaign Leads (Meta Ads).</t>
  </si>
  <si>
    <t>Poonam Patel (9328214454)</t>
  </si>
  <si>
    <t>Diiep Mumbai (8511020025)</t>
  </si>
  <si>
    <t>Followup: Not receiving</t>
  </si>
  <si>
    <t>Llm (1526239874)</t>
  </si>
  <si>
    <t>[13 Sep '26, 11:12 PM] hello | Followup: site visit LLM | CRM: Hello How are you ?? LLM ? | CRM Followup: site visit LLM | Hello How are you ?? LLM ?</t>
  </si>
  <si>
    <t>Basrani Jayesh (8980103040)</t>
  </si>
  <si>
    <t>Transfer Note: Out of service | Followup: Out of service</t>
  </si>
  <si>
    <t>Rquired 2bhk budget 20k preefered location navrangpura ,ghatlodiya | Transfer: Rquired 2bhk budget 20k preefered location navrangpura ,ghatlodiya | Transfer Note: Rquired 2bhk budget 20k preefered location navrangpura ,ghatlodiya | Followup: Not receiving</t>
  </si>
  <si>
    <t>Dhruvil Panchal (9574770797)</t>
  </si>
  <si>
    <t>Chaula Patani (9978923642)</t>
  </si>
  <si>
    <t>Followup: Busy call back by evenin</t>
  </si>
  <si>
    <t>Vipul Thakkar (9904377393)</t>
  </si>
  <si>
    <t>Sanskruti (8080983728)</t>
  </si>
  <si>
    <t>[Staying: working professionals] [Campaign: NB PropertyTech Survey Ad 3108] Imported from Campaign Leads (Meta Ads). | CRM: [Staying: working professionals] [Campaign: NB PropertyTech Survey Ad 3108] Imported from Campaign Leads (Meta Ads).</t>
  </si>
  <si>
    <t>Jayantilal Hansaliya (9601303530)</t>
  </si>
  <si>
    <t>[13 Sep '26, 2:36 PM] Thaltej, Shilaj, Bopal, 2bhk, for family, fully furnished,, rent budget 20-25K, possession required on december, can visit after 15 days. | Followup: CNR | CRM: hu pachi call karu | CRM Followup: CNR | hu pachi call karu</t>
  </si>
  <si>
    <t>Vimal Shah (9825777920)</t>
  </si>
  <si>
    <t>[13 Sep '26, 2:30 PM] Location Shilaj, 3bhk, 200 sq yard, for family, fully furnished, Rent budget 40 50k, for minimum 3 yrs, New Project, 2 car parking, requires as soon as possible. | Followup: only shilaj area ma jove che bija koi option nathi jova | CRM: CNR | CRM Followup: only shilaj area ma jove che bija koi option nathi jova | CNR</t>
  </si>
  <si>
    <t>Patel Patel (7218338877)</t>
  </si>
  <si>
    <t>Dïshu Patel (9016633505)</t>
  </si>
  <si>
    <t>[13 Sep '26, 12:30 PM] Bopal and nearby SG Highway, 1/2 bhk, 16/18K budget, family (two sisters),  semi furnished, next month possession required. | Followup: rakesh bhai jode vat chalu che | CRM: rakesh bhai jode vat chalu che | CRM Followup: rakesh bhai jode vat chalu che | rakesh bhai jode vat chalu che</t>
  </si>
  <si>
    <t>Sunita Valecha (9374573888)</t>
  </si>
  <si>
    <t>[13 Sep '26, 12:18 PM] Location is Chandkheda, Motera, Sughad, Rent 15k, 2bhk, for fam, requires after navratri, non/semi furnished. Told to contact them after 1:30 on working days. | Followup: option work out krva | CRM: amne chandkheda and indira brigge aspas joye che | CRM Followup: option work out krva | amne chandkheda and indira brigge aspas joye che</t>
  </si>
  <si>
    <t>Ca Nail Boutique (9974658980)</t>
  </si>
  <si>
    <t>[13 Sep '26, 12:08 PM] Location is Thaltejj, Vastrapur, Ghatlodia, 3 bhk, budget 30k, for family, fully furnished with basic electronic acc., possession on Nov. | Followup: cnr | CRM: [Staying: family] [Campaign: NB PropertyTech Survey Ad 3108] Imported from Campaign Leads (Meta Ads). | CRM Followup: cnr | [Staying: family] [Campaign: NB PropertyTech Survey Ad 3108] Imported from Campaign Leads (Meta Ads).</t>
  </si>
  <si>
    <t>Neha (9737719205)</t>
  </si>
  <si>
    <t>[13 Sep '26, 12:00 PM] 30/40k budget, 2/3/4bhk, commercial for PG, noc required, Bodakdev or 3 to 4 km radius, prime location, requires as soon as possible. | Followup: CNR | CRM: CNR | CRM Followup: CNR | CNR</t>
  </si>
  <si>
    <t>CNR</t>
  </si>
  <si>
    <t>hu pachi call karu</t>
  </si>
  <si>
    <t>Transfer Note: Marked as CNR | Followup: Untouched</t>
  </si>
  <si>
    <t>Artworld Creative (9825651178)</t>
  </si>
  <si>
    <t>Gaurav Patil (9503653169)</t>
  </si>
  <si>
    <t>amne chandkheda and indira brigge aspas joye che</t>
  </si>
  <si>
    <t>Mr.p@tel'$ (9106380216)</t>
  </si>
  <si>
    <t>[12 Sep '26, 5:27 PM] Ghatlodia, Sola, Kargil, Satadhar, 2 bhk, 1 female, 15-17k, possession asap | Followup: cnr | CRM: [Staying: students] [Campaign: NB PropertyTech Survey Ad 3108] Imported from Campaign Leads (Meta Ads). | CRM Followup: cnr | [Staying: students] [Campaign: NB PropertyTech Survey Ad 3108] Imported from Campaign Leads (Meta Ads).</t>
  </si>
  <si>
    <t>[12 Sep '26, 5:19 PM] Satellite, Iskcon, Jodhpur 3 km around , Memnagar, Gurukul, 1/2 bhk, for family, 15-20k, requires before 1 oct, tenament or ground floor would be more prefferable, wants to visit tom. on 13 sunday
[12 Sep '26, 6:44 PM] budget Low | Followup: budget Low che | CRM: budget Low che | CRM Followup: budget Low che | budget Low che</t>
  </si>
  <si>
    <t>Shweta Maheshwari (9549331058)</t>
  </si>
  <si>
    <t>[12 Sep '26, 5:07 PM] Bodakdev, Thaltej, Gurudwara, Doordarshan, 2.5 or 3 bhk, for family, semi furnished with invloves wardrobes, 45K rent budget, possession asap. | Followup: CNR | CRM: call not responding | CRM Followup: CNR | call not responding</t>
  </si>
  <si>
    <t>Harshil (9537718915)</t>
  </si>
  <si>
    <t>[12 Sep '26, 4:56 PM] Location- Narangpura, Navrangpura, Prahladnagar, Shyamal Vastrapur,  3/4 BHK, fully furnished, for family, rent up to 50K, Possession on 1 nov, Wants to visit as soon as possible.
[13 Sep '26, 3:16 PM] wp msg drop call for update | Followup: CNR i texted on wp call back again not responding so close | CRM: The call is not respndig i texted on wp but not responding | CRM Followup: CNR i texted on wp call back again not responding so close | The call is not respndig i texted on wp but not responding</t>
  </si>
  <si>
    <t>Smriti (7300048389)</t>
  </si>
  <si>
    <t>call not responding | Followup: Client need by near thaltej, drive in road 3Bhk semi furnished Budget-30to35k | CRM: call not responding | CRM Followup: Client need by near thaltej, drive in road 3Bhk semi furnished Budget-30to35k</t>
  </si>
  <si>
    <t>call not responding</t>
  </si>
  <si>
    <t>The call is not respndig i texted on wp but not responding</t>
  </si>
  <si>
    <t>Mahesh Jasani (9904958998)</t>
  </si>
  <si>
    <t>[Staying: family] Imported from Campaign Leads (Meta Ads).</t>
  </si>
  <si>
    <t>Dr. Jayesh Munjani (9265224514)</t>
  </si>
  <si>
    <t>[12 Sep '26, 3:52 PM] Customer looking for 2bhk semi-furnished in and around satellite with the budget of 22k , family
[13 Sep '26, 3:36 PM] the call is not responding call after tomorrow | Followup: call is nnot connected | CRM: [Staying: couple] [Campaign: NB PropertyTech Survey Ad 3108] Imported from Campaign Leads (Meta Ads). | CRM Followup: call is nnot connected | [Staying: couple] [Campaign: NB PropertyTech Survey Ad 3108] Imported from Campaign Leads (Meta Ads).</t>
  </si>
  <si>
    <t>option workout krva</t>
  </si>
  <si>
    <t>Y@sh @khani (9023488155)</t>
  </si>
  <si>
    <t>[Staying: working professionals] [Campaign: NB PropertyTech Survey Ad 3108] Imported from Campaign Leads (Meta Ads).</t>
  </si>
  <si>
    <t>budget Low che</t>
  </si>
  <si>
    <t>[Staying: students] [Campaign: NB PropertyTech Survey Ad 3108] Imported from Campaign Leads (Meta Ads).</t>
  </si>
  <si>
    <t>Dharmista Sanandiya (7016442049)</t>
  </si>
  <si>
    <t>required gurukul,satelite 30k budget 2BHK furnished | Transfer: required gurukul,satelite 30k budget 2BHK furnished | Transfer Note: required gurukul,satelite 30k budget 2BHK furnished</t>
  </si>
  <si>
    <t>Jagruti Akhani (9925009106)</t>
  </si>
  <si>
    <t>[13 Sep '26, 6:28 PM] options not availabe for rent 12k semi furnished | Followup: 12 k ma semi furnished flat joye che naranpura,thaltej gota boadkdev 
options not available so close | CRM: [Staying: family] [Campaign: NB PropertyTech Survey Ad 3108] Imported from Campaign Leads (Meta Ads). | CRM Followup: 12 k ma semi furnished flat joye che naranpura,thaltej gota boadkdev 
options not available so close | [Staying: family] [Campaign: NB PropertyTech Survey Ad 3108] Imported from Campaign Leads (Meta Ads).</t>
  </si>
  <si>
    <t>Lalit Gediya (8401182211)</t>
  </si>
  <si>
    <t>[12 Sep '26, 1:43 PM] New ranip, khodiyar mandir, 1/2 km radius, for family, 2/3 bhk, 18k/20K, semi furnished, possession  next month
[18 Sep '26, 1:51 PM] option workout krva | Followup: option work out krva | CRM: [Staying: family] [Campaign: NB PropertyTech Survey Ad 3108] Imported from Campaign Leads (Meta Ads). | CRM Followup: option work out krva | [Staying: family] [Campaign: NB PropertyTech Survey Ad 3108] Imported from Campaign Leads (Meta Ads).</t>
  </si>
  <si>
    <t>Ashok Brahmbhatt (9099006768)</t>
  </si>
  <si>
    <t>Kkjand (9825320033)</t>
  </si>
  <si>
    <t>Arif (9521534922)</t>
  </si>
  <si>
    <t>Gurjar Devansh (9157230464)</t>
  </si>
  <si>
    <t>Bhumi Lakhani (8866508728)</t>
  </si>
  <si>
    <t>[Staying: family] [Campaign: NB PropertyTech Survey Ad 3108] Imported from Campaign Leads (Meta Ads). | CRM: [Staying: family] [Campaign: NB PropertyTech Survey Ad 3108] Imported from Campaign Leads (Meta Ads).</t>
  </si>
  <si>
    <t>Nirav Vaishnav (9016820480)</t>
  </si>
  <si>
    <t>[17 Sep '26, 5:48 PM] Req bopal,south bopal, sela, silaj, family, no budget issue ,depend on facality | Followup: call him and know proper requrment | CRM: [Staying: family] [Campaign: NB PropertyTech Survey Ad 3108] Imported from Campaign Leads (Meta Ads). | CRM Followup: call him and know proper requrment | [Staying: family] [Campaign: NB PropertyTech Survey Ad 3108] Imported from Campaign Leads (Meta Ads).</t>
  </si>
  <si>
    <t>Urmila Anjana (9669480093)</t>
  </si>
  <si>
    <t>this is testing lead | Transfer: this is testing lead | Transfer Note: this is testing lead | ---</t>
  </si>
  <si>
    <t>call for visit update</t>
  </si>
  <si>
    <t>Ripal Ashish Mistry (9712256167)</t>
  </si>
  <si>
    <t>Call Cut kare che call for tomorrow</t>
  </si>
  <si>
    <t>Call not responding</t>
  </si>
  <si>
    <t>rakesh bhai jode vat chalu che</t>
  </si>
  <si>
    <t>Abhi Photography ( High Click ) (8460381020)</t>
  </si>
  <si>
    <t>Shruti Prajapati (9662638003)</t>
  </si>
  <si>
    <t>Sharanya Patil (9325359845)</t>
  </si>
  <si>
    <t>Transfer Note: Marked as CNR | Followup: thaltej sindhubhavan bodkdev, semi furnished, 2bhk, 22k budget, family</t>
  </si>
  <si>
    <t>Ansh Shastri (8799495130)</t>
  </si>
  <si>
    <t>Illusion (7048644304)</t>
  </si>
  <si>
    <t>Vijay Joshi (9426314507)</t>
  </si>
  <si>
    <t>hii
[10 Sep '26, 2:56 PM] 2 BHK semi furnished joye che makarba, vejalpur,jivraj details shared karvi nd call for visit
[12 Sep '26, 11:47 AM] options not avilable | 20k bgt vejalpur redio mirchi aspas joiye che family che | CRM: options not available | options not available</t>
  </si>
  <si>
    <t>amne pearl hight mate vat chale avse tyare kese</t>
  </si>
  <si>
    <t>Ashish Kansara (9328553838)</t>
  </si>
  <si>
    <t>Vimal Vaghela (6355433391)</t>
  </si>
  <si>
    <t>null</t>
  </si>
  <si>
    <t>3 BHK faly req 80 lakh naranpura near ma joye che options search kari ne mokalva 6 month possession hase toh pan chalse</t>
  </si>
  <si>
    <t>Kapil Satani (9428117094)</t>
  </si>
  <si>
    <t>Kaushik Vyas (9879372360)</t>
  </si>
  <si>
    <t>20k bgt vejalpur redio mirchi aspas joiye che family che | options not available</t>
  </si>
  <si>
    <t>[Campaign: NB PropertyTech Survey Ad 0308] Imported from Campaign Leads (Meta Ads).</t>
  </si>
  <si>
    <t>---</t>
  </si>
  <si>
    <t>testing hello | Transfer: testing hello | Transfer Note: testing hello | ---</t>
  </si>
  <si>
    <t>testing leads  mite gurjar | Transfer: testing leads  mite gurjar | Transfer Note: testing leads  mite gurjar | Followup: hello mitesh bhai | [Telecaller Key Points]: testing leads  mitesh gurjar</t>
  </si>
  <si>
    <t>Testing leads | Transfer: Testing leads | Transfer Note: Testing leads | ---</t>
  </si>
  <si>
    <t>final testing uma !! | Transfer: final testing uma !! | Transfer Note: final testing uma !! | Followup: hello uma ? how are you ?</t>
  </si>
  <si>
    <t>hello this is a testing leads for assign you ! | Transfer: hello this is a testing leads for assign you ! | Transfer Note: hello this is a testing leads for assign you ! | ---</t>
  </si>
  <si>
    <t>this is testing leads -- assign for you ! do not take action | Transfer: this is testing leads -- assign for you ! do not take action | Transfer Note: this is testing leads -- assign for you ! do not take action | Followup: hello</t>
  </si>
  <si>
    <t>TESTING LEADS | Transfer: TESTING LEADS | Transfer Note: TESTING LEADS | ---</t>
  </si>
  <si>
    <t>this is a testing lead -- do not take any action ! | Transfer: this is a testing lead -- do not take any action ! | Transfer Note: this is a testing lead -- do not take any action ! | Followup: hello | ---</t>
  </si>
  <si>
    <t>this is testing leads -- do not any action | Transfer: this is testing leads -- do not any action | Transfer Note: this is testing leads -- do not any action</t>
  </si>
  <si>
    <t>this is testing lead -- do not take any actions ! | Transfer: this is testing lead -- do not take any actions ! | Transfer Note: this is testing lead -- do not take any actions ! | Followup: hello umesh</t>
  </si>
  <si>
    <t>this is testing leads --- | Transfer: this is testing leads --- | Transfer Note: this is testing leads --- | ---</t>
  </si>
  <si>
    <t>this is testing leads -- do not take any actions -- | Transfer: this is testing leads -- do not take any actions -- | Transfer Note: this is testing leads -- do not take any actions -- | Followup: Hello roshan | [Telecaller Key Points]: Location Vaishnodevi, Gota, Tragad, Commercial (retail shop), 180-200 sq ft, minimum budget is 20 K</t>
  </si>
  <si>
    <t>this is a testing leads --- do not take any actions | Transfer: this is a testing leads --- do not take any actions | Transfer Note: this is a testing leads --- do not take any actions | [Telecaller Key Points]: this is a testing leads --- do not take any actions</t>
  </si>
  <si>
    <t>hello testing leads | Transfer: hello testing leads | Transfer Note: hello testing leads | ---</t>
  </si>
  <si>
    <t>this is testing lead -- do not take any actions ! | Transfer: this is testing lead -- do not take any actions ! | Transfer Note: this is testing lead -- do not take any actions ! | Followup: hello bhumika | ---</t>
  </si>
  <si>
    <t>hello | Transfer: hello | Transfer Note: hello | ---</t>
  </si>
  <si>
    <t>this is testing lead -- do not take any actions | Transfer: this is testing lead -- do not take any actions | Transfer Note: this is testing lead -- do not take any actions | ---</t>
  </si>
  <si>
    <t>hellp | Transfer: hellp | Transfer Note: hellp</t>
  </si>
  <si>
    <t>testing leads | Transfer: testing leads | Transfer Note: testing leads | ---</t>
  </si>
  <si>
    <t>testing -leads -- | Transfer: testing -leads -- | Transfer Note: testing -leads -- | Followup: hello | ---</t>
  </si>
  <si>
    <t>this is testing leads -- | Transfer: this is testing leads -- | Transfer Note: this is testing leads -- | [Telecaller Key Points]: this is testing leads --</t>
  </si>
  <si>
    <t>Rîna Ssh@lanî (8141939884)</t>
  </si>
  <si>
    <t>amne shivranjani final kri diidhu che</t>
  </si>
  <si>
    <t>Asmita Patel (9723230415)</t>
  </si>
  <si>
    <t>testing lead | Transfer: testing lead | Transfer Note: testing lead | ---</t>
  </si>
  <si>
    <t>Nishant Patel (9081143029)</t>
  </si>
  <si>
    <t>Jaydeep Ahir (9773007902)</t>
  </si>
  <si>
    <t>Rakesh Desai (9821522660)</t>
  </si>
  <si>
    <t>Kapil Shaarma (7903232369)</t>
  </si>
  <si>
    <t>Prajesh (9687482151)</t>
  </si>
  <si>
    <t>Vhala Gajjar (9825934065)</t>
  </si>
  <si>
    <t>Panara 2213 (7043180013)</t>
  </si>
  <si>
    <t>Madhuresh Darji (9898561719)</t>
  </si>
  <si>
    <t>Mansi_rutvik _shrimali (6353358599)</t>
  </si>
  <si>
    <t>3 BHK in Gota budget 20k</t>
  </si>
  <si>
    <t>Sahil Parmar (7756000235)</t>
  </si>
  <si>
    <t>Nirav Solanki (6354073846)</t>
  </si>
  <si>
    <t>amdavad aavse tyare kese</t>
  </si>
  <si>
    <t>Rk Message First (9814804250)</t>
  </si>
  <si>
    <t>Nikhil (7990723438)</t>
  </si>
  <si>
    <t>↤↤↤↤↤ 𝓶𝓇. 𝐛нⓤℙί ↦↦↦↦↦ (9979062515)</t>
  </si>
  <si>
    <t>Kiran Gohil (9723512337)</t>
  </si>
  <si>
    <t>Rajesh Dabhi (9426573951)</t>
  </si>
  <si>
    <t>dhavuツ  (7861049960)</t>
  </si>
  <si>
    <t>चौहान सुरजसिंह (7874585665)</t>
  </si>
  <si>
    <t>Ravi C Makwana (9714371419)</t>
  </si>
  <si>
    <t>Bhagyashree Dhongde (9925921710)</t>
  </si>
  <si>
    <t>Saket Srivastav (9026354181)</t>
  </si>
  <si>
    <t>Budget-20k Location- sola, new ranip - secend 2 floor sudhi ma jove che</t>
  </si>
  <si>
    <t>Preeti Naik (8733849566)</t>
  </si>
  <si>
    <t>Seeima Puri (9687677734)</t>
  </si>
  <si>
    <t>first prefrence penthouse</t>
  </si>
  <si>
    <t>I_m_janvi (7405737608)</t>
  </si>
  <si>
    <t>Jaimini Parmar (8128763948)</t>
  </si>
  <si>
    <t>Udayshankar Dubey (9825535878)</t>
  </si>
  <si>
    <t>Diviyansh Desai (9023143231)</t>
  </si>
  <si>
    <t>Bipin Kumar (9173939333)</t>
  </si>
  <si>
    <t>Transfer: Gota vaishanodevi, 4bhk, 30-40k budget, with all electric item, family | Transfer Note: Gota vaishanodevi, 4bhk, 30-40k budget, with all electric item, family | CRM: [Telecaller Key Points]: Gota vaishanodevi, 4bhk, 30-40k budget, with all electric item, family | CRM Followup: option serch krva | [Telecaller Key Points]: Gota vaishanodevi, 4bhk, 30-40k budget, with all electric item, family | Gota vaishanodevi, 4bhk, 30-40k budget, with all electric item, family</t>
  </si>
  <si>
    <t>Ar. Tanvi Agarwal (8890970050)</t>
  </si>
  <si>
    <t>Jagdish Ghetiya (8401153539)</t>
  </si>
  <si>
    <t>whatsp msg kryo che update mate call not receve</t>
  </si>
  <si>
    <t>this is testing leads</t>
  </si>
  <si>
    <t>Keval Raval (8200466050)</t>
  </si>
  <si>
    <t>Harshad Singh Tanwer (8764449004)</t>
  </si>
  <si>
    <t>Ca Piyush Singhal (9521382030)</t>
  </si>
  <si>
    <t>Arvind Prajapati (9099595586)</t>
  </si>
  <si>
    <t>Anoop Kumar (8447689800)</t>
  </si>
  <si>
    <t>Vishal Raghuvanshi(hindu) (9638504114)</t>
  </si>
  <si>
    <t>testing lead | Transfer: testing lead | Transfer Note: testing lead | Followup: dda</t>
  </si>
  <si>
    <t>testing lead | Transfer: testing lead | Transfer Note: testing lead | ----</t>
  </si>
  <si>
    <t>Sachin Sathe (8600011024)</t>
  </si>
  <si>
    <t>Kalpana Mehta (9904591885)</t>
  </si>
  <si>
    <t>Paras Mistry (8758967380)</t>
  </si>
  <si>
    <t>Pooja Solanki (9737768202)</t>
  </si>
  <si>
    <t>testing | Transfer: testing | Transfer Note: testing</t>
  </si>
  <si>
    <t>Bhupendra Kansara (9176304140)</t>
  </si>
  <si>
    <t>Krishan Kumar Sharma (8209866095)</t>
  </si>
  <si>
    <t>location- gota  2/3 bhk  rent -25 to 30 k  with furniture &amp; car parking need  ( Bachelor )</t>
  </si>
  <si>
    <t>Khushi Jadav (9099705696)</t>
  </si>
  <si>
    <t>Meet( Mehul) Limbachiya (9054113247)</t>
  </si>
  <si>
    <t>Jay Patel (6351191855)</t>
  </si>
  <si>
    <t>Mahek Patel (9023867267)</t>
  </si>
  <si>
    <t>Prakash (9512180666)</t>
  </si>
  <si>
    <t>Neha Patel (7621910860)</t>
  </si>
  <si>
    <t>Ashish Singh (8602042499)</t>
  </si>
  <si>
    <t>Jagruti Darji (6354974203)</t>
  </si>
  <si>
    <t>Trupti Shah (9428914696)</t>
  </si>
  <si>
    <t>Bhavya (9737335073)</t>
  </si>
  <si>
    <t>Kalpna Makwana (8780112663)</t>
  </si>
  <si>
    <t>otpion work out krva</t>
  </si>
  <si>
    <t>Naman Singh (7875135770)</t>
  </si>
  <si>
    <t>Call not respondig</t>
  </si>
  <si>
    <t>Shah Rajesh (7016485688)</t>
  </si>
  <si>
    <t>Kirankumar S Parmar (9998033509)</t>
  </si>
  <si>
    <t>Riddhi Mewada (7043617780)</t>
  </si>
  <si>
    <t>amne kese amnu buget ochu che</t>
  </si>
  <si>
    <t>Samaarath Talwar (8368774805)</t>
  </si>
  <si>
    <t>Mihir (7048377376)</t>
  </si>
  <si>
    <t>Gunjan Sharma (9560276709)</t>
  </si>
  <si>
    <t>Unicorn_45y (6351762120)</t>
  </si>
  <si>
    <t>Patel Bijal (9898176838)</t>
  </si>
  <si>
    <t>Tanuj Nandwana (9265426556)</t>
  </si>
  <si>
    <t>Puja Patel (9499857810)</t>
  </si>
  <si>
    <t>Dimple Jangid (7073367167)</t>
  </si>
  <si>
    <t>Poonam Sharma (9675830933)</t>
  </si>
  <si>
    <t>Hetal Pandya (8141905252)</t>
  </si>
  <si>
    <t>Akhja Jaysukh (8238422249)</t>
  </si>
  <si>
    <t>Riya Solanki (7383411400)</t>
  </si>
  <si>
    <t>Krishna (9104861078)</t>
  </si>
  <si>
    <t>Mmii (9979488184)</t>
  </si>
  <si>
    <t>Prakruti • Personal Brand Strategist (9033657599)</t>
  </si>
  <si>
    <t>Req 2BHK, furnised, Gota, 25k Budget, family and 1 pet. | Transfer: Req 2BHK, furnised, Gota, 25k Budget, family and 1 pet. | Transfer Note: Req 2BHK, furnised, Gota, 25k Budget, family and 1 pet. | [Telecaller Key Points]: Req 2BHK, furnised, Gota, 25k Budget, family and 1 pet.</t>
  </si>
  <si>
    <t>Ajay Rathore (8238702589)</t>
  </si>
  <si>
    <t>Req - 2/3bhk budget-20 Location- gota vaishnovdevi</t>
  </si>
  <si>
    <t>Chirag Agrawal (9104547215)</t>
  </si>
  <si>
    <t>Hitendra Chothani (9979554573)</t>
  </si>
  <si>
    <t>Ms. Mv (7600163565)</t>
  </si>
  <si>
    <t>Poonam Singh (7984291961)</t>
  </si>
  <si>
    <t>Bhaumik Parekh (9712966210)</t>
  </si>
  <si>
    <t>Ronak (7779025986)</t>
  </si>
  <si>
    <t>Dhara Vyas (6354755987)</t>
  </si>
  <si>
    <t>सृष्टि (6354574081)</t>
  </si>
  <si>
    <t>Ila S Chauhan (9824839011)</t>
  </si>
  <si>
    <t>Kunal Lohar (9725144839)</t>
  </si>
  <si>
    <t>Jitu Desai (9909895276)</t>
  </si>
  <si>
    <t>Meet Patel (7990131195)</t>
  </si>
  <si>
    <t>Vrutti Somani (7096205250)</t>
  </si>
  <si>
    <t>Karansinh Chauhan (9979222255)</t>
  </si>
  <si>
    <t>D.k.lefty (9727170161)</t>
  </si>
  <si>
    <t>Priya Hariharan (7045001455)</t>
  </si>
  <si>
    <t>Shah Vishal (9998871164)</t>
  </si>
  <si>
    <t>amne single person mate joiy che 1/2 bhk vaiisnodevi</t>
  </si>
  <si>
    <t>Harry G (8305455877)</t>
  </si>
  <si>
    <t>Jaydip Vaza (7096115905)</t>
  </si>
  <si>
    <t>Joshi Pankaj (9909671736)</t>
  </si>
  <si>
    <t>Zalak Patel (9898467881)</t>
  </si>
  <si>
    <t>Milan Rathod (9737163042)</t>
  </si>
  <si>
    <t>Sonal (9924114336)</t>
  </si>
  <si>
    <t>Himanshi Solanki (6354288097)</t>
  </si>
  <si>
    <t>Ayushy Chauhan (8200067097)</t>
  </si>
  <si>
    <t>Jayanti Makwana (8000129866)</t>
  </si>
  <si>
    <t>Montu (8320100379)</t>
  </si>
  <si>
    <t>2 bhk joiye semi furnished bed sofa ac joiye wardrop no electronic</t>
  </si>
  <si>
    <t>An (9913650475)</t>
  </si>
  <si>
    <t>Thakor Vijay (7984358191)</t>
  </si>
  <si>
    <t>Jinal (9558810573)</t>
  </si>
  <si>
    <t>Chand Antala (6352763365)</t>
  </si>
  <si>
    <t>Aastha Kinarivala (9687343598)</t>
  </si>
  <si>
    <t>Mahi (7990120350)</t>
  </si>
  <si>
    <t>Alpesh Khanma (9428978211)</t>
  </si>
  <si>
    <t>Varshil Galathiya (7016070440)</t>
  </si>
  <si>
    <t>Parth Dave (9033375263)</t>
  </si>
  <si>
    <t>Sr Vaghela (7863026250)</t>
  </si>
  <si>
    <t>Jenil (8320507703)</t>
  </si>
  <si>
    <t>Adheep Agarwal (9950102426)</t>
  </si>
  <si>
    <t>Amar (9407137724)</t>
  </si>
  <si>
    <t>Venky (9099098183)</t>
  </si>
  <si>
    <t>Vanshrajsinh Solanki (9106727946)</t>
  </si>
  <si>
    <t>Mansi Solanki (9687216610)</t>
  </si>
  <si>
    <t>Bhopy_shah (9714527664)</t>
  </si>
  <si>
    <t>Bhavani Electric &amp; Electronics (9328337387)</t>
  </si>
  <si>
    <t>Sadashiv Kale (8605792746)</t>
  </si>
  <si>
    <t>Dinesh Kumar (9904699489)</t>
  </si>
  <si>
    <t>Haresh Joshi Paliwal (9682110574)</t>
  </si>
  <si>
    <t>Kajal Dhirwani (9213674851)</t>
  </si>
  <si>
    <t>Neela Oza (9773429661)</t>
  </si>
  <si>
    <t>Vaghela Kashmira (9979225752)</t>
  </si>
  <si>
    <t>Gautam Solanki (9662384216)</t>
  </si>
  <si>
    <t>Varsha (9978519620)</t>
  </si>
  <si>
    <t>Not interested | Rejection: NOT_INTERESTED | Followup: CNR | 2 BHK for Girls PG or apartment 25k</t>
  </si>
  <si>
    <t>Diya Parmar (8128188716)</t>
  </si>
  <si>
    <t>Laxmi Mehta (9727389179)</t>
  </si>
  <si>
    <t>Naina Ghoghara (8460484697)</t>
  </si>
  <si>
    <t>Followup: follow ups</t>
  </si>
  <si>
    <t>this is testing leads assign to you -- agar ye client ka kuch bhi status baaki hai to aap follow ups le sakte hai !</t>
  </si>
  <si>
    <t>Jitendra Prajapati (9265579228)</t>
  </si>
  <si>
    <t>Mohit Sheth (9790723759)</t>
  </si>
  <si>
    <t>Tc (9712268474)</t>
  </si>
  <si>
    <t>Nayan Shah (9082221862)</t>
  </si>
  <si>
    <t>Laxmi Sondarava (9558696064)</t>
  </si>
  <si>
    <t>Ravi Rajyaguru (9426758665)</t>
  </si>
  <si>
    <t>[Telecaller Key Points]: He need 1 bhk  budget 40 lacs, already coordinate with Mr. Rajan Purani
[Telecaller Key Points]: he need 1 bhk sale inq max budget 40 lakh | Transfer: He need 1 bhk  budget 40 lacs, already coordinate with Mr. Rajan Purani | Transfer Note: He need 1 bhk  budget 40 lacs, already coordinate with Mr. Rajan Purani | Followup: options not available searching options and share details | CRM: [Telecaller Key Points]: He need 1 bhk  budget 40 lacs, already coordinate with Mr. Rajan Purani
[Telecaller Key Points]: he need 1 bhk sale inq max budget 40 lakh | CRM Followup: options not available searching options and share details | He need 1 bhk  budget 40 lacs, already coordinate with Mr. Rajan Purani
[26 Sep '26, 10:33 AM] option not available searching property and shared</t>
  </si>
  <si>
    <t>Hemal Vaghela (7046104905)</t>
  </si>
  <si>
    <t>Ashvin Jani (9824008333)</t>
  </si>
  <si>
    <t>Bhavesh Shah (8758178856)</t>
  </si>
  <si>
    <t>Het Mavani (9033142333)</t>
  </si>
  <si>
    <t>Ghanshyamsinh Gohel (9737974377)</t>
  </si>
  <si>
    <t>Crazy Bites (7043129388)</t>
  </si>
  <si>
    <t>Deepti Paresh Bhatia (9898314761)</t>
  </si>
  <si>
    <t>Marshal (8460206097)</t>
  </si>
  <si>
    <t>Req 2BHK, paldi, navangpura, narayanpura,law garden, 20-25k  budget, furnished,family | Transfer: Req 2BHK, paldi, navangpura, narayanpura,law garden, 20-25k  budget, furnished,family | Transfer Note: Req 2BHK, paldi, navangpura, narayanpura,law garden, 20-25k  budget, furnished,family | [Telecaller Key Points]: Req 2BHK, paldi, navangpura, narayanpura,law garden, 20-25k  budget, furnished,family</t>
  </si>
  <si>
    <t>Manav Joshi (8140382476)</t>
  </si>
  <si>
    <t>Rekha Songar (9377790109)</t>
  </si>
  <si>
    <t>Jay Parmar (9033392296)</t>
  </si>
  <si>
    <t>Vipul Chhaya (9725001202)</t>
  </si>
  <si>
    <t>Dixa Prajapati (7016506422)</t>
  </si>
  <si>
    <t>Payalpurohit (9909544999)</t>
  </si>
  <si>
    <t>Divanshu Shah (9157179353)</t>
  </si>
  <si>
    <t>Req 2bhk ,bopal , navangpura ,family | Transfer: Req 2bhk ,bopal , navangpura ,family | Transfer Note: Req 2bhk ,bopal , navangpura ,family | [Telecaller Key Points]: Req 2bhk ,bopal , navangpura ,family,, 15k ma 1/2 bhk joiye che</t>
  </si>
  <si>
    <t>Vishal Dave (7016921474)</t>
  </si>
  <si>
    <t>||_khushi_20_|| (9824686063)</t>
  </si>
  <si>
    <t>Kiran Sathaliya (9824155373)</t>
  </si>
  <si>
    <t>Req sivranjni near 6-7km , 3BHK, 27k budget | Transfer: Req sivranjni near 6-7km , 3BHK, 27k budget | Transfer Note: Req sivranjni near 6-7km , 3BHK, 27k budget | [Telecaller Key Points]: Req sivranjni near 6-7km , 3BHK, 27k budget</t>
  </si>
  <si>
    <t>Deepa Maniyar (6353480422)</t>
  </si>
  <si>
    <t>2nd time visit done shivam arcade, shajanand Oasis, krishna apartment, pratham heights call for evening meeting</t>
  </si>
  <si>
    <t>Vibhuti Trivedi (9428416874)</t>
  </si>
  <si>
    <t>Req sola, fully furnished 2BHK,with out furnished 3BHK, 22k budget | Transfer: Req sola, fully furnished 2BHK,with out furnished 3BHK, 22k budget | Transfer Note: Req sola, fully furnished 2BHK,with out furnished 3BHK, 22k budget | [Telecaller Key Points]: Req sola, fully furnished 2BHK,with out furnished 3BHK, 22k budget</t>
  </si>
  <si>
    <t>Hitesh Jayantilal Jethva (7069609999)</t>
  </si>
  <si>
    <t>Kishan Mistry (9737691775)</t>
  </si>
  <si>
    <t>Rajesh Adroja (9998441037)</t>
  </si>
  <si>
    <t>Diyliip Makwana (9737311190)</t>
  </si>
  <si>
    <t>Hitesh Panchal (9898047959)</t>
  </si>
  <si>
    <t>Shital Shah (9879704033)</t>
  </si>
  <si>
    <t>Sanjay Patel (9909075097)</t>
  </si>
  <si>
    <t>Paulomee (9825288891)</t>
  </si>
  <si>
    <t>Ks Thakkar (9998363503)</t>
  </si>
  <si>
    <t>Priyanka Kothari (9974408173)</t>
  </si>
  <si>
    <t>Bhumika Bhatt (9904341497)</t>
  </si>
  <si>
    <t>Dabhi Tofikmahmad (8401169687)</t>
  </si>
  <si>
    <t>Amitasandip Panchal (9427038362)</t>
  </si>
  <si>
    <t>Dip Zala (9904388966)</t>
  </si>
  <si>
    <t>Prajapati (7859958835)</t>
  </si>
  <si>
    <t>Rajat Gauswami (6352256220)</t>
  </si>
  <si>
    <t>Bhavna Vyas (9825375694)</t>
  </si>
  <si>
    <t>Imported from Google Sheets. Campaign: family.</t>
  </si>
  <si>
    <t>Mukesh Panchal (9426180015)</t>
  </si>
  <si>
    <t>call for visit</t>
  </si>
  <si>
    <t>Ridhi Jay Pandya (7383252229)</t>
  </si>
  <si>
    <t>Chaitali Oza (9824176099)</t>
  </si>
  <si>
    <t>Kavita | Passive Income (9265371435)</t>
  </si>
  <si>
    <t>Followup: The call is not responding so i texted on wp call back again</t>
  </si>
  <si>
    <t>Pankaj Trivedi (9825096460)</t>
  </si>
  <si>
    <t>Followup: hello | testing leads --</t>
  </si>
  <si>
    <t>amne pearl height ni visit ma aavse em kidhu che</t>
  </si>
  <si>
    <t>Incredible (6353789710)</t>
  </si>
  <si>
    <t>Vishva Bhatt (9825932763)</t>
  </si>
  <si>
    <t>Anand Mehta (9898749997)</t>
  </si>
  <si>
    <t>Uttam Patel (8734988896)</t>
  </si>
  <si>
    <t>Kanchan Tiwari (7987542087)</t>
  </si>
  <si>
    <t>Modiparas@0406 (9173240447)</t>
  </si>
  <si>
    <t>testing leads | Transfer: testing leads | Transfer Note: testing leads | [Telecaller Key Points]: .</t>
  </si>
  <si>
    <t>Payal Trivedi Mehta (9825151419)</t>
  </si>
  <si>
    <t>options share kari ne visit mate call karvo</t>
  </si>
  <si>
    <t>Req satelite, jodhpur, near jainderasar, 2BHK, 20k budget, semi furnished | Transfer: Req satelite, jodhpur, near jainderasar, 2BHK, 20k budget, semi furnished | Transfer Note: Req satelite, jodhpur, near jainderasar, 2BHK, 20k budget, semi furnished | [Telecaller Key Points]: Req satelite, jodhpur, near jainderasar, 2BHK, 20k budget, semi furnished</t>
  </si>
  <si>
    <t>Yash Doshi (9924750767)</t>
  </si>
  <si>
    <t>Parimal Chhelavda (7698760633)</t>
  </si>
  <si>
    <t>Bhatt Surbhi (9316418416)</t>
  </si>
  <si>
    <t>Umang Patel (7777921529)</t>
  </si>
  <si>
    <t>Lead from Meta Ads (NB PropertyTech Survey Ad 3108). Ad: NB Propertytech Rental Leads. | Email: sabitadutta0829@gmail.com | Transfer: Thaltej Silaj Science city, 4bhk, semi furnished, 45k budget, family | Transfer Note: Thaltej Silaj Science city, 4bhk, semi furnished, 45k budget, family | CRM: [Telecaller Key Points]: Thaltej Silaj Science city, 4bhk, semi furnished, 45k budget, family | [Telecaller Key Points]: Thaltej Silaj Science city, 4bhk, semi furnished, 45k budget, family
Lead from Meta Ads (NB PropertyTech Survey Ad 3108). Ad: NB Propertytech Rental Leads. | Email: sabitadutta0829@gmail.com | Thaltej Silaj Science city, 4bhk, semi furnished, 45k budget, family</t>
  </si>
  <si>
    <t>Transfer: Thaltej Silaj Science city, 4bhk, semi furnished, 45k budget, family | Transfer Note: Thaltej Silaj Science city, 4bhk, semi furnished, 45k budget, family | Followup: CNR | CRM: [Telecaller Key Points]: Thaltej Silaj Science city, 4bhk, semi furnished, 45k budget, family | [Telecaller Key Points]: Thaltej Silaj Science city, 4bhk, semi furnished, 45k budget, family
Lead from Meta Ads (NB PropertyTech Survey Ad 3108). Ad: NB Propertytech Rental Leads. | Email: sabitadutta0829@gmail.com | Thaltej Silaj Science city, 4bhk, semi furnished, 45k budget, family</t>
  </si>
  <si>
    <t>options share kari ne visit mate call karvo | Followup: rent par lai lidhu che amne | CRM: options share kari ne visit mate call karvo | CRM Followup: rent par lai lidhu che amne</t>
  </si>
  <si>
    <t>Parth_solanki (9408338990)</t>
  </si>
  <si>
    <t>[Telecaller Key Points]: by 2bhk, unfurnished, 60 lacs, new ranip, jagatpur | Transfer: by 2bhk, unfurnished, 60 lacs, new ranip, jagatpur | Transfer Note: by 2bhk, unfurnished, 60 lacs, new ranip, jagatpur | CNR | Followup: CNR | CRM: [Telecaller Key Points]: by 2bhk, unfurnished, 60 lacs, new ranip, jagatpur | by 2bhk, unfurnished, 60 lacs, new ranip, jagatpur</t>
  </si>
  <si>
    <t>Jani Jyotindra (9998070022)</t>
  </si>
  <si>
    <t>[16 Sep '26, 4:37 PM] 3 BHK furnished Flat joye che budget 40k science city, thaltej, bodakdev, gota 4 person only weekend visit mate aavse | 3 BHK furnished Flat joye che budget 40k science city, thaltej, bodakdev, gota 4 person only weekend visit mate aavse | Followup: amna son decision leva na che call monday for visit he don't share son number | CRM: amna son decision leva na che call monday for visit he don't share son number | CRM Followup: amna son decision leva na che call monday for visit he don't share son number | amna son decision leva na che call monday for visit he don't share son number</t>
  </si>
  <si>
    <t>[09 Sep '26, 12:48 PM] call karse | Followup: amne pearl hight nanu pade che bija option apva ghatlodia ma | CRM: amne pearl height ni visit ma aavse em kidhu che | CRM Followup: amne pearl hight nanu pade che bija option apva ghatlodia ma | amne pearl height ni visit ma aavse em kidhu che</t>
  </si>
  <si>
    <t>Parth Barot (9265065881)</t>
  </si>
  <si>
    <t>3 BHK furnished Flat joye che budget 40k science city, thaltej, bodakdev, gota 4 person only weekend visit mate aavse | amna son decision leva na che call monday for visit he don't share son number</t>
  </si>
  <si>
    <t>Mehul Parmar (9979776275)</t>
  </si>
  <si>
    <t>[17 Sep '26, 12:40 PM] 3 bhk rent / sale 1.5cr/30k vastrapur satellite , sale gota jagatpur
[18 Sep '26, 1:22 PM] 3 BHK FURNISHED 25K MA JOYE CHE GURUKUL LOCATIONS MA | Followup: 3 bhk Furnished options joye che 25 k ma sahjanad oasis ni details shared kari che call for visit eveing | CRM: Imported from Google Sheets. Campaign: family. | CRM Followup: 3 bhk Furnished options joye che 25 k ma sahjanad oasis ni details shared kari che call for visit eveing | Imported from Google Sheets. Campaign: family.</t>
  </si>
  <si>
    <t>Testing Leads (3216549870)</t>
  </si>
  <si>
    <t>[09 Sep '26, 2:16 PM] hahkahafa | Followup: asddasdasdasds | CRM: today Follow ups | CRM Followup: asddasdasdasds | today Follow ups</t>
  </si>
  <si>
    <t>Somel (0000000000)</t>
  </si>
  <si>
    <t>Imported from Google Sheets. Campaign: Google Sheets. | CRM: Imported from Google Sheets. Campaign: Google Sheets.</t>
  </si>
  <si>
    <t>Rakesh (0000000000)</t>
  </si>
  <si>
    <t>Rajan (0000000000)</t>
  </si>
  <si>
    <t>Zeel (0000000000)</t>
  </si>
  <si>
    <t>97o7o | CRM: Imported from Google Sheets. Campaign: Google Sheets. | Imported from Google Sheets. Campaign: Google Sheets.</t>
  </si>
  <si>
    <t>Tushar Chaudhary (9665702514)</t>
  </si>
  <si>
    <t>20k ma furnished flat joye che options not available | CRM: Options not available so close | Options not available so close</t>
  </si>
  <si>
    <t>Vicky Sigh (6355434659)</t>
  </si>
  <si>
    <t>20k frunished office iptions shared karva | CRM: 1 cabin 4,5 w.t. joye che 20k ma | 1 cabin 4,5 w.t. joye che 20k ma</t>
  </si>
  <si>
    <t>Krupa Trivedi (7984910603)</t>
  </si>
  <si>
    <t>Not Interested | CRM: Not Interested</t>
  </si>
  <si>
    <t>Kaushal Modi (8200001933)</t>
  </si>
  <si>
    <t>furnished office 20k na options aapva bopal southbopal shilaj ma | CRM: Office req. 1 cabin, 5to7, Work Station joye che budget max 20k nr shilaj,southbopal,bopal,thaltej | Office req. 1 cabin, 5to7, Work Station joye che budget max 20k nr shilaj,southbopal,bopal,thaltej</t>
  </si>
  <si>
    <t>Punit Bipinbhai Majithia (9574101010)</t>
  </si>
  <si>
    <t>3 bhk/ 2bhk budget 20k pearl heigts visit</t>
  </si>
  <si>
    <t>Details share call for visit update | Followup: call tomorrow after 12 pm | CRM: call for visit | CRM Followup: call tomorrow after 12 pm | call for visit</t>
  </si>
  <si>
    <t>Madhav Trivedi (9924153841)</t>
  </si>
  <si>
    <t>Req- 2bhk budget-25k near zydus ( send to PH detail) | CRM: Req- 2bhk budget-25k near zydus ( send to PH detail)</t>
  </si>
  <si>
    <t>Dhartiben Umrania (8758043902)</t>
  </si>
  <si>
    <t>call tomorrow morning for meeting
[17 Sep '26, 12:48 PM] atyre jya rahe che tya 6 month nathi thaya to own deposit aapva nu na pade etle 1 month pa chi jova nu chalu karse
[17 Sep '26, 12:48 PM] atyre jya rahe che tya 6 month nathi thaya to own deposit aapva nu na pade etle 1 month pa chi jova nu chalu karse | CRM: 2nd time visit done shivam arcade, shajanand Oasis, krishna apartment, pratham heights call for evening meeting | 2nd time visit done shivam arcade, shajanand Oasis, krishna apartment, pratham heights call for evening meeting</t>
  </si>
  <si>
    <t>Jay Soni (9876543210)</t>
  </si>
  <si>
    <t>Hii | CRM: Hii</t>
  </si>
  <si>
    <t>Xyz (9876542230)</t>
  </si>
  <si>
    <t>[11 Sep '26, 11:26 AM] helllo | Followup: hello today follow ups site visits | CRM: xyz remarks | CRM Followup: hello today follow ups site visits | xyz remarks</t>
  </si>
  <si>
    <t>Hii (9876543210)</t>
  </si>
  <si>
    <t>Hii</t>
  </si>
  <si>
    <t>Testing Leads (3165247890)</t>
  </si>
  <si>
    <t>Akhil prajapati</t>
  </si>
  <si>
    <t>hello ! | Followup: daa | CRM: khv | CRM Followup: daa | khv</t>
  </si>
  <si>
    <t>Hello Testing (1326598740)</t>
  </si>
  <si>
    <t>zvzvzvz | Followup: zvzvzvz | CRM: zvzvzvz | CRM Followup: zvzvzvz</t>
  </si>
  <si>
    <t>Pratik Bhai Prajapati (9664816636)</t>
  </si>
  <si>
    <t>amne pearl hight visit krayu jaagatpur  option aapya apyo che peal hight nathi gamtu | CRM: unfurnished ke semi urnshed chalse amne | unfurnished ke semi urnshed chalse amne</t>
  </si>
  <si>
    <t>Dipaksinh Ranawat (9619000702)</t>
  </si>
  <si>
    <t>the call is not responding so call back tomorrow | Followup: the cotinuosly call not responding so call back another number | CRM: the call is not responding so call back tomorrow | CRM Followup: the cotinuosly call not responding so call back another number | [26 Sep '26, 3:18 PM] continuosly not responding so close</t>
  </si>
  <si>
    <t>Shrusti (9167483103)</t>
  </si>
  <si>
    <t>Seema Chaudhary (7357451271)</t>
  </si>
  <si>
    <t>call for family visit | Followup: call for visit today shivam arcade 2bhk | CRM: call for visit today shivam arcade 2bhk | CRM Followup: call for visit today shivam arcade 2bhk | call for visit today shivam arcade 2bhk</t>
  </si>
  <si>
    <t>Sonu Raval (1234567890)</t>
  </si>
  <si>
    <t>Akhil Prajapati</t>
  </si>
  <si>
    <t>Remember of this person in the one property match of there requirement ! | Followup: Remember of this person in the one property match of there requirement ! | CRM: Remember of this person in the one property match of there requirement ! | CRM Followup: Remember of this person in the one property match of there requirement !</t>
  </si>
  <si>
    <t>Hemang K. (9104254490)</t>
  </si>
  <si>
    <t>amne girls bechlour mate joiye che | Followup: amne girls bechlour mate joiye che | CRM: amne girls bechlour mate joiye che | CRM Followup: amne girls bechlour mate joiye che</t>
  </si>
  <si>
    <t>Pinkey Suthar (9712256167)</t>
  </si>
  <si>
    <t>Call Cut kare che call for tomorrow | Followup: already rakesh bhai sathe connected hata pachi replay nathi aapta so close | CRM: Call Cut kare che call for tomorrow | CRM Followup: already rakesh bhai sathe connected hata pachi replay nathi aapta so close</t>
  </si>
  <si>
    <t>Vasrsha Acharya (9978519620)</t>
  </si>
  <si>
    <t>2 BHK for Girls PG or apartment 25k | CRM: 2 BHK for Girls PG or apartment 25k</t>
  </si>
  <si>
    <t>Mihir Desai (9725999800)</t>
  </si>
  <si>
    <t>call for visit tomorrow
[14 Sep '26, 3:41 PM] continuosly not responding and no replay | CRM: Today visit 12 pm gota vaishnodevi options batava | Today visit 12 pm gota vaishnodevi options batava</t>
  </si>
  <si>
    <t>Manna Patel (9824365828)</t>
  </si>
  <si>
    <t>Visit Done Vrisavaerkar 1, R 803 He interested | CRM: Visit Done Vrisavaerkar 1, R 803 He interested</t>
  </si>
  <si>
    <t>Ayush Tripathi (9865327401)</t>
  </si>
  <si>
    <t>3heh | Followup: I have to meet up | CRM: 3heh | CRM Followup: I have to meet up</t>
  </si>
  <si>
    <t>Tarun Bhai (9662025046)</t>
  </si>
  <si>
    <t>[18 Sep '26, 12:26 PM] tarun bhai call k msg no respond karta nathi so close | CRM: Details shared call for office visit he stay south bopal | Details shared call for office visit he stay south bopal</t>
  </si>
  <si>
    <t>Priya Mahajan (7045001455)</t>
  </si>
  <si>
    <t>semi funished joiye che amne 2 bhk gota and near by sg highway</t>
  </si>
  <si>
    <t>Khemraj Rajvadi Tea (9511545048)</t>
  </si>
  <si>
    <t>ground flore joiye che rajvadii chay maatte | Followup: CNR | CRM: tea stall mate dukan joiye cche option work out krva | CRM Followup: CNR | tea stall mate dukan joiye cche option work out krva</t>
  </si>
  <si>
    <t>Amit Bhai Modi (8866217251)</t>
  </si>
  <si>
    <t>Vishal Shah (9998871164)</t>
  </si>
  <si>
    <t>amne single person mate joiy che 1/2 bhk vaiisnodevi | Followup: option  work ot krrva | CRM: amne single person mate joiy che 1/2 bhk vaiisnodevi | CRM Followup: option  work ot krrva</t>
  </si>
  <si>
    <t>Mahaveershih Parmar (7778005899)</t>
  </si>
  <si>
    <t>modular kichen and bed joiye</t>
  </si>
  <si>
    <t>bija koi option moklo 
send to PH and kishor park | Followup: send to Reflection by pacifica | CRM: bija koi option moklo 
send to PH and kishor park | CRM Followup: send to Reflection by pacifica</t>
  </si>
  <si>
    <t>Hello | CRM: Hello</t>
  </si>
  <si>
    <t>[10 Sep '26, 11:07 AM] rewqfaef | CRM: Low budget 15k | Low budget 15k | Call Cut kare che call for tomorrow</t>
  </si>
  <si>
    <t>Call not responding | Followup: call not respondgin | CRM: Call not responding | CRM Followup: call not respondgin</t>
  </si>
  <si>
    <t>[Telecaller Key Points]: Req 2BHK, furnised, Gota, 25k Budget, family and 1 pet. | Transfer: Req 2BHK, furnised, Gota, 25k Budget, family and 1 pet. | Transfer Note: Req 2BHK, furnised, Gota, 25k Budget, family and 1 pet. | Followup: kishor park detail send kari che | CRM: [Telecaller Key Points]: Req 2BHK, furnised, Gota, 25k Budget, family and 1 pet. | CRM Followup: kishor park detail send kari che</t>
  </si>
  <si>
    <t>Req - 2/3bhk budget-20 Location- gota vaishnovdevi | CRM: Req - 2/3bhk budget-20 Location- gota vaishnovdevi</t>
  </si>
  <si>
    <t>CNR | Followup: call for visit update | CRM: call for visit update | CRM Followup: call for visit update | call for visit update</t>
  </si>
  <si>
    <t>Dira (9712258350)</t>
  </si>
  <si>
    <t>pearl hight visit done bt location nathi gamtu bija option work out krva | CRM: pearl hight visit done bt location nathi gamtu bija option work out krva</t>
  </si>
  <si>
    <t>Hiren Patolia (9638516939)</t>
  </si>
  <si>
    <t>option workout krva | Followup: option workout krva | CRM: option workout krva | CRM Followup: option workout krva</t>
  </si>
  <si>
    <t>Ridhi Mewada (7043617780)</t>
  </si>
  <si>
    <t>amne kese amnu buget ochu che | Followup: amne kese amnu buget ochu che | CRM: amne kese amnu buget ochu che | CRM Followup: amne kese amnu buget ochu che</t>
  </si>
  <si>
    <t>Seema Puri (9687677734)</t>
  </si>
  <si>
    <t>Not Interested</t>
  </si>
  <si>
    <t>first prefrence penthouse | Followup: amne only pent house joiye che 25k ma vaisnodevi  gurukul ma shaligram lake view no option apyo che | CRM: first prefrence penthouse | CRM Followup: amne only pent house joiye che 25k ma vaisnodevi  gurukul ma shaligram lake view no option apyo che</t>
  </si>
  <si>
    <t>Kavita Ghaghda (7874284068)</t>
  </si>
  <si>
    <t>3bhk req min carpet 1300 sqft joye che satellite naranpura jodhpur locations ma and multiple tower vadi scheme ma joye che | Followup: The call is not responding call back for visit update | CRM: 3bhk req min carpet 1300 sqft joye che satellite naranpura jodhpur locations ma and multiple tower vadi scheme ma joye che | CRM Followup: The call is not responding call back for visit update</t>
  </si>
  <si>
    <t>voice mail drop
[13 Sep '26, 3:43 PM] she booked another said so close | Followup: CNR wp msg drop call for update | CRM: she call me after 3 atyre baar che | CRM Followup: CNR wp msg drop call for update | she call me after 3 atyre baar che</t>
  </si>
  <si>
    <t>whatsp msg kryo che update mate call not receve | Followup: CNR | CRM: whatsp msg kryo che update mate call not receve | CRM Followup: CNR</t>
  </si>
  <si>
    <t>Property purchased | Followup: send to kishor park So detail send call to next month | CRM: send to kishor park So detail send call to next month | CRM Followup: send to kishor park So detail send call to next month | send to kishor park So detail send call to next month | call for visit update</t>
  </si>
  <si>
    <t>amne visit mate puchvu | Budget-20k Location- sola, new ranip - secend 2 floor sudhi ma jove che</t>
  </si>
  <si>
    <t>Bachelor | Followup: Call not respondig | CRM: Call not respondig | CRM Followup: Call not respondig | Call not respondig</t>
  </si>
  <si>
    <t>25k bgt 2 bhk fully furnished flate for family | CRM: 25k bgt 2 bhk fully furnished flate for family | 2 BHK semi furnished flat joye che, chinmay tower, sarjan tower</t>
  </si>
  <si>
    <t>option serch krva | Followup: option serch krva | CRM: [Telecaller Key Points]: Gota vaishanodevi, 4bhk, 30-40k budget, with all electric item, family | CRM Followup: option serch krva | [Telecaller Key Points]: Gota vaishanodevi, 4bhk, 30-40k budget, with all electric item, family | Gota vaishanodevi, 4bhk, 30-40k budget, with all electric item, family</t>
  </si>
  <si>
    <t>location- gota  2/3 bhk  rent -25 to 30 k  with furniture &amp; car parking need  ( Bachelor ) | Followup: call not responding | CRM: location- gota  2/3 bhk  rent -25 to 30 k  with furniture &amp; car parking need  ( Bachelor ) | CRM Followup: call not responding</t>
  </si>
  <si>
    <t>Mansi Shreemali (8780112663)</t>
  </si>
  <si>
    <t>otpion work out krva | Followup: otpion work out krva | CRM: otpion work out krva | CRM Followup: otpion work out krva</t>
  </si>
  <si>
    <t>Rina Bhalani (8141939884)</t>
  </si>
  <si>
    <t>amne shivranjani final kri diidhu che | Followup: amne shivranjani final kri diidhu che | CRM: amne shivranjani final kri diidhu che | CRM Followup: amne shivranjani final kri diidhu che</t>
  </si>
  <si>
    <t>amdavad aavse tyare kese | Followup: amdavad aavse tyare kese | CRM: amdavad aavse tyare kese | CRM Followup: amdavad aavse tyare kese</t>
  </si>
  <si>
    <t>Tirth Panchal (9099869478)</t>
  </si>
  <si>
    <t>2 BHK req 50 lakh ma joye che RTM vaishnodevi ranip said joye che | CRM: 2 BHK req 50 lakh ma joye che RTM vaishnodevi ranip said joye che | [25 Sep '26, 12:15 PM] options not available</t>
  </si>
  <si>
    <t>Akshay Bhai (9588214063)</t>
  </si>
  <si>
    <t>wtsp msg kryo che aamne | Followup: option work out krva | CRM: wtsp msg kryo che aamne | CRM Followup: option work out krva</t>
  </si>
  <si>
    <t>Rakesh Agarwal (9825229841)</t>
  </si>
  <si>
    <t>Call after 5 Pm | CRM: Call after 5 Pm</t>
  </si>
  <si>
    <t>Somil (9898989898)</t>
  </si>
  <si>
    <t>[Furnishing: Unfurnished] | CRM: [Furnishing: Unfurnished]</t>
  </si>
  <si>
    <t>Rajan (8200659030)</t>
  </si>
  <si>
    <t>3 bhk semi or fully furnished | Followup: Call him | CRM: 3 bhk semi or fully furnished | CRM Followup: Call him</t>
  </si>
  <si>
    <t>property code</t>
  </si>
  <si>
    <t>title</t>
  </si>
  <si>
    <t>property type</t>
  </si>
  <si>
    <t>listing type</t>
  </si>
  <si>
    <t>status</t>
  </si>
  <si>
    <t>rent / price (₹)</t>
  </si>
  <si>
    <t>deposit (₹)</t>
  </si>
  <si>
    <t>maintenance (₹)</t>
  </si>
  <si>
    <t>bedrooms</t>
  </si>
  <si>
    <t>carpet area (sq ft)</t>
  </si>
  <si>
    <t>locality / area</t>
  </si>
  <si>
    <t>city</t>
  </si>
  <si>
    <t>owner name</t>
  </si>
  <si>
    <t>owner mobile</t>
  </si>
  <si>
    <t>created by (user)</t>
  </si>
  <si>
    <t>PR-1194</t>
  </si>
  <si>
    <t>Signature Elena,B/h Sangath Prominence, opp. CBD Mall, Zundal</t>
  </si>
  <si>
    <t>Flat</t>
  </si>
  <si>
    <t>Rent</t>
  </si>
  <si>
    <t>Available</t>
  </si>
  <si>
    <t>Zundal</t>
  </si>
  <si>
    <t>Ahmedabad</t>
  </si>
  <si>
    <t>Aval Barochia</t>
  </si>
  <si>
    <t>8866706086</t>
  </si>
  <si>
    <t>PR-1193</t>
  </si>
  <si>
    <t>Aakash 2</t>
  </si>
  <si>
    <t>Rented Out</t>
  </si>
  <si>
    <t>Vastrapur</t>
  </si>
  <si>
    <t>Karan bhai</t>
  </si>
  <si>
    <t>9510877481</t>
  </si>
  <si>
    <t>PR-1192</t>
  </si>
  <si>
    <t>Sangath 2</t>
  </si>
  <si>
    <t>Rowhouse/Tenament</t>
  </si>
  <si>
    <t>Motera</t>
  </si>
  <si>
    <t>Vivek Shah</t>
  </si>
  <si>
    <t>9904902525</t>
  </si>
  <si>
    <t>Semi furnished, modular kitchen, basic accesories</t>
  </si>
  <si>
    <t>PR-1191</t>
  </si>
  <si>
    <t>Kameshwar elite 140</t>
  </si>
  <si>
    <t>Bodakdev</t>
  </si>
  <si>
    <t>Jignesh mandlecha</t>
  </si>
  <si>
    <t>7990733327</t>
  </si>
  <si>
    <t>PR-1190</t>
  </si>
  <si>
    <t>Jasmine Green 1</t>
  </si>
  <si>
    <t>Vaishnodevi</t>
  </si>
  <si>
    <t>Hardik Nayak</t>
  </si>
  <si>
    <t>9724409089</t>
  </si>
  <si>
    <t>Semi furnished, modular kitchen, bed, basic accesories, gas line
Maintenance 2250</t>
  </si>
  <si>
    <t>PR-1189</t>
  </si>
  <si>
    <t>Sahjanand Status Bungalow</t>
  </si>
  <si>
    <t>Bungalow</t>
  </si>
  <si>
    <t>Science city</t>
  </si>
  <si>
    <t>8200659030</t>
  </si>
  <si>
    <t>TV, Refrigerator, AC, Fully furnished</t>
  </si>
  <si>
    <t>PR-1188</t>
  </si>
  <si>
    <t>Ratnadeep Complex</t>
  </si>
  <si>
    <t>Pathik Brahmkshatriya</t>
  </si>
  <si>
    <t>9727603446</t>
  </si>
  <si>
    <t>PR-1187</t>
  </si>
  <si>
    <t>Diwali Blessings</t>
  </si>
  <si>
    <t>Uma Vyas</t>
  </si>
  <si>
    <t>7043336692</t>
  </si>
  <si>
    <t>Furnished Kitchen, folding dining, TV, AC, Gyzer, Ro, Refridgerator, Washing machine, fully furnished</t>
  </si>
  <si>
    <t>PR-1186</t>
  </si>
  <si>
    <t>Shop Sagar Avenue</t>
  </si>
  <si>
    <t>Office</t>
  </si>
  <si>
    <t>Ashram Road</t>
  </si>
  <si>
    <t>Pradeep Pithadiya</t>
  </si>
  <si>
    <t>9016337978</t>
  </si>
  <si>
    <t>PR-1185</t>
  </si>
  <si>
    <t>Chandraprabhu Krupa Society</t>
  </si>
  <si>
    <t>Ranip</t>
  </si>
  <si>
    <t>Parmeshwar</t>
  </si>
  <si>
    <t>9265031372</t>
  </si>
  <si>
    <t>PR-1184</t>
  </si>
  <si>
    <t>Suyash Status , Near Capital 1 Science city</t>
  </si>
  <si>
    <t>Viral bhai</t>
  </si>
  <si>
    <t>9016134878</t>
  </si>
  <si>
    <t>PR-1183</t>
  </si>
  <si>
    <t>Riverside park park, New Vasna</t>
  </si>
  <si>
    <t>Vasna</t>
  </si>
  <si>
    <t>Ashmita Patel</t>
  </si>
  <si>
    <t>9510187511</t>
  </si>
  <si>
    <t>Semi furnished, modular kitchen, bed, basic accesories</t>
  </si>
  <si>
    <t>PR-1182</t>
  </si>
  <si>
    <t>RJ Pashmina</t>
  </si>
  <si>
    <t>Chandkheda</t>
  </si>
  <si>
    <t>Bhavik Kareliya</t>
  </si>
  <si>
    <t>9824143858</t>
  </si>
  <si>
    <t>PR-1181</t>
  </si>
  <si>
    <t>MOONLIGHT COMPLEX OPP GURUKUL TEMPLE GURUKUL</t>
  </si>
  <si>
    <t>Shop</t>
  </si>
  <si>
    <t>Gurukul</t>
  </si>
  <si>
    <t>Mukesh Jain</t>
  </si>
  <si>
    <t>9638699860</t>
  </si>
  <si>
    <t>PR-1180</t>
  </si>
  <si>
    <t>Palash prime</t>
  </si>
  <si>
    <t>Dinesh Parmar</t>
  </si>
  <si>
    <t>8511123220</t>
  </si>
  <si>
    <t>Maintenance 1800</t>
  </si>
  <si>
    <t>PR-1179</t>
  </si>
  <si>
    <t>Shop Western sparsh</t>
  </si>
  <si>
    <t>Dhruv Patel</t>
  </si>
  <si>
    <t>9426975700</t>
  </si>
  <si>
    <t>17,000 rent for each shop</t>
  </si>
  <si>
    <t>PR-1178</t>
  </si>
  <si>
    <t>Bluvian Pratham</t>
  </si>
  <si>
    <t>Bhadaj</t>
  </si>
  <si>
    <t>Nilesh Soni</t>
  </si>
  <si>
    <t>9099986026</t>
  </si>
  <si>
    <t>2500 maintenance</t>
  </si>
  <si>
    <t>PR-1177</t>
  </si>
  <si>
    <t>Shivranjni Society</t>
  </si>
  <si>
    <t>Satellite</t>
  </si>
  <si>
    <t>Ramesh Padia</t>
  </si>
  <si>
    <t>9898467025</t>
  </si>
  <si>
    <t>4k per year, electricity bill excluded</t>
  </si>
  <si>
    <t>PR-1176</t>
  </si>
  <si>
    <t>shivanta regel zundal</t>
  </si>
  <si>
    <t>Re-Sale</t>
  </si>
  <si>
    <t>karan bhai</t>
  </si>
  <si>
    <t>9227087898</t>
  </si>
  <si>
    <t>PR-1175</t>
  </si>
  <si>
    <t>super city bhadaj</t>
  </si>
  <si>
    <t>indu ben</t>
  </si>
  <si>
    <t>9427132974</t>
  </si>
  <si>
    <t>PR-1174</t>
  </si>
  <si>
    <t>Daffodils PLAZA, Gala Gymkhana Road South Bopal</t>
  </si>
  <si>
    <t>South Bopal</t>
  </si>
  <si>
    <t>Rajendra Jadav</t>
  </si>
  <si>
    <t>9879160888</t>
  </si>
  <si>
    <t>2 months deposit and pay advanvce rent every month</t>
  </si>
  <si>
    <t>PR-1173</t>
  </si>
  <si>
    <t>Suryansh Sanidhya Shivalaya, behind Sun Estate, near Ujala Cross road, Sarkhej, SG Highway, Ahmedabad</t>
  </si>
  <si>
    <t>sarkhej</t>
  </si>
  <si>
    <t>Girish Gohil</t>
  </si>
  <si>
    <t>9909915052</t>
  </si>
  <si>
    <t>PR-1172</t>
  </si>
  <si>
    <t>Maher-5</t>
  </si>
  <si>
    <t>Shela</t>
  </si>
  <si>
    <t>Divyesh Ruparel</t>
  </si>
  <si>
    <t>8306640345</t>
  </si>
  <si>
    <t>Semi furnished, modular kitchen, basic accesories, Geyser</t>
  </si>
  <si>
    <t>PR-1171</t>
  </si>
  <si>
    <t>Money plant high street</t>
  </si>
  <si>
    <t>Anil Mistry</t>
  </si>
  <si>
    <t>9426569262</t>
  </si>
  <si>
    <t>Office furniture</t>
  </si>
  <si>
    <t>PR-1170</t>
  </si>
  <si>
    <t>GOYAL PALLADIUM</t>
  </si>
  <si>
    <t>Nishita Shah</t>
  </si>
  <si>
    <t>9427601721</t>
  </si>
  <si>
    <t>PR-1169</t>
  </si>
  <si>
    <t>Mitri lake view</t>
  </si>
  <si>
    <t>Mamta Vora</t>
  </si>
  <si>
    <t>8780327185</t>
  </si>
  <si>
    <t>PR-1168</t>
  </si>
  <si>
    <t>Shivam Appartment</t>
  </si>
  <si>
    <t>New Vadaj</t>
  </si>
  <si>
    <t>Dhaval Patel</t>
  </si>
  <si>
    <t>9558630687</t>
  </si>
  <si>
    <t>PR-1167</t>
  </si>
  <si>
    <t>Pramukh park</t>
  </si>
  <si>
    <t>Naranpura</t>
  </si>
  <si>
    <t>Rajveet Singh</t>
  </si>
  <si>
    <t>8264292166</t>
  </si>
  <si>
    <t>PR-1166</t>
  </si>
  <si>
    <t>Madri Apartment</t>
  </si>
  <si>
    <t>Memnagar</t>
  </si>
  <si>
    <t>Umang Trivedi</t>
  </si>
  <si>
    <t>9898426900</t>
  </si>
  <si>
    <t>PR-1165</t>
  </si>
  <si>
    <t>Sukun Arcade</t>
  </si>
  <si>
    <t>Navrangpura</t>
  </si>
  <si>
    <t>Viral Jani</t>
  </si>
  <si>
    <t>9998526402</t>
  </si>
  <si>
    <t>Maintenance approx quarterly 8300</t>
  </si>
  <si>
    <t>PR-1164</t>
  </si>
  <si>
    <t>Sun footprints</t>
  </si>
  <si>
    <t>Raju Bharwad</t>
  </si>
  <si>
    <t>6355323756</t>
  </si>
  <si>
    <t>Only vegetarian family</t>
  </si>
  <si>
    <t>PR-1163</t>
  </si>
  <si>
    <t>Sun South Street</t>
  </si>
  <si>
    <t>Bopal</t>
  </si>
  <si>
    <t>Yogina Tripathi</t>
  </si>
  <si>
    <t>9998224030</t>
  </si>
  <si>
    <t>PR-1162</t>
  </si>
  <si>
    <t>Santorini square</t>
  </si>
  <si>
    <t>Mehul Desai</t>
  </si>
  <si>
    <t>9824145011</t>
  </si>
  <si>
    <t>4 AC, 2 cabin, separate lift, 25 work station, in built CCTV, pantry area separate, furnished waiting area, large reception desk</t>
  </si>
  <si>
    <t>PR-1161</t>
  </si>
  <si>
    <t>Amrapali Axiom -1</t>
  </si>
  <si>
    <t>Ambli</t>
  </si>
  <si>
    <t>Julee Thakkar</t>
  </si>
  <si>
    <t>9429622015</t>
  </si>
  <si>
    <t>2000 maintenance (taxes and maintenance excluded)
6 working station, 3 cabins, 8 seater conference room,  6 AC, CCTV Camera, 1 reception, waiting lounge, 1 pantry, EPABX system</t>
  </si>
  <si>
    <t>PR-1160</t>
  </si>
  <si>
    <t>osjdvn</t>
  </si>
  <si>
    <t>Bhabhar</t>
  </si>
  <si>
    <t>aosdjfn</t>
  </si>
  <si>
    <t>2222222222</t>
  </si>
  <si>
    <t>PR-1159</t>
  </si>
  <si>
    <t>Gala Magnus</t>
  </si>
  <si>
    <t>Premal Raval</t>
  </si>
  <si>
    <t>9824242410</t>
  </si>
  <si>
    <t>Taxes and maintenance excluded</t>
  </si>
  <si>
    <t>PR-1158</t>
  </si>
  <si>
    <t>Shashtrinagar</t>
  </si>
  <si>
    <t>Jaimin Rathod</t>
  </si>
  <si>
    <t>9016134877</t>
  </si>
  <si>
    <t>PR-1157</t>
  </si>
  <si>
    <t>Gamara Hills, VIP Road, Shela</t>
  </si>
  <si>
    <t>Rohit Trivedi</t>
  </si>
  <si>
    <t>9825007326</t>
  </si>
  <si>
    <t>Lift Shifting Charges 3000</t>
  </si>
  <si>
    <t>PR-1156</t>
  </si>
  <si>
    <t>Setu Exotica</t>
  </si>
  <si>
    <t>Dhairya Patel</t>
  </si>
  <si>
    <t>8141279797</t>
  </si>
  <si>
    <t>PR-1155</t>
  </si>
  <si>
    <t>testing property</t>
  </si>
  <si>
    <t>kjdkcjas</t>
  </si>
  <si>
    <t>1326568979</t>
  </si>
  <si>
    <t>PR-1154</t>
  </si>
  <si>
    <t>Savvy Studio</t>
  </si>
  <si>
    <t>Gota</t>
  </si>
  <si>
    <t>Chetan Ghediya</t>
  </si>
  <si>
    <t>8734811158</t>
  </si>
  <si>
    <t>Also Available for Bachelors</t>
  </si>
  <si>
    <t>PR-1153</t>
  </si>
  <si>
    <t>Shree Krishna Center, near Bank Of Baroda</t>
  </si>
  <si>
    <t>Sunil Chaterjee</t>
  </si>
  <si>
    <t>6353676023</t>
  </si>
  <si>
    <t>PR-1152</t>
  </si>
  <si>
    <t>Aakash Residency</t>
  </si>
  <si>
    <t>Bhadresh Solanki</t>
  </si>
  <si>
    <t>9825005069</t>
  </si>
  <si>
    <t>PR-1151</t>
  </si>
  <si>
    <t>Shyamvilla Bungalows</t>
  </si>
  <si>
    <t>Sola</t>
  </si>
  <si>
    <t>Pratik bhai</t>
  </si>
  <si>
    <t>9228121713</t>
  </si>
  <si>
    <t>PR-1150</t>
  </si>
  <si>
    <t>Keshavbaag Capital Asopalav, Vastrapur</t>
  </si>
  <si>
    <t>Mehul Soni</t>
  </si>
  <si>
    <t>9904721565</t>
  </si>
  <si>
    <t>PR-1149</t>
  </si>
  <si>
    <t>hvhighi</t>
  </si>
  <si>
    <t>test</t>
  </si>
  <si>
    <t>1234567890</t>
  </si>
  <si>
    <t>hbhi</t>
  </si>
  <si>
    <t>PR-1148</t>
  </si>
  <si>
    <t>Shrifal Apartments Gota</t>
  </si>
  <si>
    <t>Kishor bhai</t>
  </si>
  <si>
    <t>9824940006</t>
  </si>
  <si>
    <t>PR-1147</t>
  </si>
  <si>
    <t>Aroma Residency</t>
  </si>
  <si>
    <t>Williams bhai</t>
  </si>
  <si>
    <t>7096040390</t>
  </si>
  <si>
    <t>PR-1146</t>
  </si>
  <si>
    <t>Basil Skyline, Vaishnodevi circle</t>
  </si>
  <si>
    <t>Priyal Bhatt</t>
  </si>
  <si>
    <t>9408280355</t>
  </si>
  <si>
    <t>17,000 + tax and maintenance</t>
  </si>
  <si>
    <t>PR-1145</t>
  </si>
  <si>
    <t>Swatrantra Senani Nagar</t>
  </si>
  <si>
    <t>Akhbarnagar</t>
  </si>
  <si>
    <t>Ghanshyam B Jethva</t>
  </si>
  <si>
    <t>9328112792</t>
  </si>
  <si>
    <t>AC, lights, fans, basic accesories
Open terrace, open parking, for both family as well as 2 bach.</t>
  </si>
  <si>
    <t>PR-1144</t>
  </si>
  <si>
    <t>Shivay Signature Elena, Opp, CBD Mall, Zundal</t>
  </si>
  <si>
    <t>Devang Parekh</t>
  </si>
  <si>
    <t>9978908306</t>
  </si>
  <si>
    <t>Garden facing</t>
  </si>
  <si>
    <t>PR-1143</t>
  </si>
  <si>
    <t>Narhari Colony, Kankariya</t>
  </si>
  <si>
    <t>Jay</t>
  </si>
  <si>
    <t>9157684624</t>
  </si>
  <si>
    <t>No maintenance, 100 sq yard scape at house front, on ground floor, all facilities, wants 1 year of agreement</t>
  </si>
  <si>
    <t>PR-1142</t>
  </si>
  <si>
    <t>Aambaag,near koba circle 382421</t>
  </si>
  <si>
    <t>Ashvin Patel</t>
  </si>
  <si>
    <t>9428514992</t>
  </si>
  <si>
    <t>Modular Kitched, curtain, lights, fans, basic accessories
Electricity and gas bill from tenant side, good amenities such as gym, game zone etc..</t>
  </si>
  <si>
    <t>PR-1141</t>
  </si>
  <si>
    <t>Radhe greenz 2 bunglows, k raheja road, gandhinagar</t>
  </si>
  <si>
    <t>Mukesh Patel</t>
  </si>
  <si>
    <t>9825063997</t>
  </si>
  <si>
    <t>Separate garden provided</t>
  </si>
  <si>
    <t>PR-1140</t>
  </si>
  <si>
    <t>Skyrise, Nr, Sanchi heights</t>
  </si>
  <si>
    <t>Kirit Patel</t>
  </si>
  <si>
    <t>9924026800</t>
  </si>
  <si>
    <t>PR-1139</t>
  </si>
  <si>
    <t>Vida by neela spaces, gift city, Gandhinagar</t>
  </si>
  <si>
    <t>Milan Vaghela</t>
  </si>
  <si>
    <t>8511724035</t>
  </si>
  <si>
    <t>Possession is next year in january 2027</t>
  </si>
  <si>
    <t>PR-1138</t>
  </si>
  <si>
    <t>Sun Footprints</t>
  </si>
  <si>
    <t>Dhaval Solanki</t>
  </si>
  <si>
    <t>7622989941</t>
  </si>
  <si>
    <t>"Modular kitchen, Folding Dining, Safety Door,
Lights &amp; fans, 2 Geysers,
Another Basic Accessories"</t>
  </si>
  <si>
    <t>PR-1137</t>
  </si>
  <si>
    <t>Goyal Mayfair</t>
  </si>
  <si>
    <t>Shyamal</t>
  </si>
  <si>
    <t>Vidhan bahi</t>
  </si>
  <si>
    <t>9898779777</t>
  </si>
  <si>
    <t>PR-1136</t>
  </si>
  <si>
    <t>Goyal mayfair</t>
  </si>
  <si>
    <t>Rajan purani</t>
  </si>
  <si>
    <t>PG system not allowed 
Bachelors not allowed</t>
  </si>
  <si>
    <t>PR-1135</t>
  </si>
  <si>
    <t>saral privesh</t>
  </si>
  <si>
    <t>Jagdish meen</t>
  </si>
  <si>
    <t>9724176176</t>
  </si>
  <si>
    <t>PR-1134</t>
  </si>
  <si>
    <t>Singapore</t>
  </si>
  <si>
    <t>Ambawadi (Ahmedabad)</t>
  </si>
  <si>
    <t>segsgdfg</t>
  </si>
  <si>
    <t>1946758683</t>
  </si>
  <si>
    <t>PR-1133</t>
  </si>
  <si>
    <t>Neminath Krupa Soceity</t>
  </si>
  <si>
    <t>Saudamini Kapasi</t>
  </si>
  <si>
    <t>6355275700</t>
  </si>
  <si>
    <t>PR-1132</t>
  </si>
  <si>
    <t>Signor Skyline</t>
  </si>
  <si>
    <t>Tragad</t>
  </si>
  <si>
    <t>Prakash Dulera</t>
  </si>
  <si>
    <t>7984420730</t>
  </si>
  <si>
    <t>PR-1131</t>
  </si>
  <si>
    <t>Shivanta rigel</t>
  </si>
  <si>
    <t>Naresh Thakkar</t>
  </si>
  <si>
    <t>9427645123</t>
  </si>
  <si>
    <t>PR-1130</t>
  </si>
  <si>
    <t>Aristo Anandam</t>
  </si>
  <si>
    <t>Krishna Vitthalani</t>
  </si>
  <si>
    <t>9376607294</t>
  </si>
  <si>
    <t>PR-1129</t>
  </si>
  <si>
    <t>akash reccidency</t>
  </si>
  <si>
    <t>SMITA MAM</t>
  </si>
  <si>
    <t>9978937501</t>
  </si>
  <si>
    <t>PR-1128</t>
  </si>
  <si>
    <t>Nirgun rise</t>
  </si>
  <si>
    <t>Shilaj</t>
  </si>
  <si>
    <t>Mahesh Jesani</t>
  </si>
  <si>
    <t>9904958998</t>
  </si>
  <si>
    <t>PR-1127</t>
  </si>
  <si>
    <t>Harmoni harikesh</t>
  </si>
  <si>
    <t>8765432190</t>
  </si>
  <si>
    <t>PR-1126</t>
  </si>
  <si>
    <t>Devsshi fatania</t>
  </si>
  <si>
    <t>Devshi bhai</t>
  </si>
  <si>
    <t>9265488925</t>
  </si>
  <si>
    <t>PR-1125</t>
  </si>
  <si>
    <t>Panache</t>
  </si>
  <si>
    <t>Badresh Shah</t>
  </si>
  <si>
    <t>9824430208</t>
  </si>
  <si>
    <t>PR-1124</t>
  </si>
  <si>
    <t>nirgune rise</t>
  </si>
  <si>
    <t>mahesh jagani</t>
  </si>
  <si>
    <t>PR-1123</t>
  </si>
  <si>
    <t>testing properties only test purpose</t>
  </si>
  <si>
    <t>Major Iqbal</t>
  </si>
  <si>
    <t>1986532740</t>
  </si>
  <si>
    <t>PR-1122</t>
  </si>
  <si>
    <t>31 five zavery realty</t>
  </si>
  <si>
    <t>Prahladnagar</t>
  </si>
  <si>
    <t>Atul Bhatt</t>
  </si>
  <si>
    <t>9372061162</t>
  </si>
  <si>
    <t>PR-1121</t>
  </si>
  <si>
    <t>Parshwa Towers</t>
  </si>
  <si>
    <t>Darshan</t>
  </si>
  <si>
    <t>9979786654</t>
  </si>
  <si>
    <t>"1 Boss cabin
2 cubicle 
10 to 15 work station
Pantry"</t>
  </si>
  <si>
    <t>PR-1120</t>
  </si>
  <si>
    <t>festival o2</t>
  </si>
  <si>
    <t>RAJAN</t>
  </si>
  <si>
    <t>6357993704</t>
  </si>
  <si>
    <t>PR-1119</t>
  </si>
  <si>
    <t>Vandematram Prime</t>
  </si>
  <si>
    <t>Penthouse</t>
  </si>
  <si>
    <t>Piyush bhai patel</t>
  </si>
  <si>
    <t>9998249086</t>
  </si>
  <si>
    <t>PR-1118</t>
  </si>
  <si>
    <t>Sparsh Residency</t>
  </si>
  <si>
    <t>Neha Patel</t>
  </si>
  <si>
    <t>8200935288</t>
  </si>
  <si>
    <t>PR-1117</t>
  </si>
  <si>
    <t>Harsh Icon Shilaj</t>
  </si>
  <si>
    <t>Rajesh Adroja</t>
  </si>
  <si>
    <t>9998441037</t>
  </si>
  <si>
    <t>PR-1116</t>
  </si>
  <si>
    <t>501 The Green Parmeshwar</t>
  </si>
  <si>
    <t>To Be Available</t>
  </si>
  <si>
    <t>jagatpur</t>
  </si>
  <si>
    <t>Abhishek panchal</t>
  </si>
  <si>
    <t>9998875556</t>
  </si>
  <si>
    <t>PR-1115</t>
  </si>
  <si>
    <t>Shilaj Enclave</t>
  </si>
  <si>
    <t>Harshaida Vaghela</t>
  </si>
  <si>
    <t>7046104905</t>
  </si>
  <si>
    <t>PR-1113</t>
  </si>
  <si>
    <t>Sun Real Homes, New Ranip</t>
  </si>
  <si>
    <t>New Ranip</t>
  </si>
  <si>
    <t>Narendra bhai</t>
  </si>
  <si>
    <t>9898345029</t>
  </si>
  <si>
    <t>PR-1112</t>
  </si>
  <si>
    <t>Shaligram lakeview</t>
  </si>
  <si>
    <t>bhirma</t>
  </si>
  <si>
    <t>9819729232</t>
  </si>
  <si>
    <t>PR-1111</t>
  </si>
  <si>
    <t>Magnate lifestyle</t>
  </si>
  <si>
    <t>Babubhai Patel</t>
  </si>
  <si>
    <t>9909795304</t>
  </si>
  <si>
    <t>PR-1110</t>
  </si>
  <si>
    <t>Keshar Samruddham</t>
  </si>
  <si>
    <t>sneha</t>
  </si>
  <si>
    <t>9998865670</t>
  </si>
  <si>
    <t>PR-1109</t>
  </si>
  <si>
    <t>Dev Parijat</t>
  </si>
  <si>
    <t>Nitin Patel</t>
  </si>
  <si>
    <t>9727080045</t>
  </si>
  <si>
    <t>PR-1108</t>
  </si>
  <si>
    <t>Silver Nest</t>
  </si>
  <si>
    <t>Ramesh Bhai</t>
  </si>
  <si>
    <t>9978538788</t>
  </si>
  <si>
    <t>PR-1107</t>
  </si>
  <si>
    <t>Ganesh Heights</t>
  </si>
  <si>
    <t>Karan</t>
  </si>
  <si>
    <t>9558525933</t>
  </si>
  <si>
    <t>PR-1106</t>
  </si>
  <si>
    <t>Kishor Park</t>
  </si>
  <si>
    <t>Arpit Shah</t>
  </si>
  <si>
    <t>8866462307</t>
  </si>
  <si>
    <t>PR-1105</t>
  </si>
  <si>
    <t>Black Buck Century</t>
  </si>
  <si>
    <t>Plot</t>
  </si>
  <si>
    <t>Dholera city</t>
  </si>
  <si>
    <t>Sanjeev Sir</t>
  </si>
  <si>
    <t>6357993707</t>
  </si>
  <si>
    <t>PR-1104</t>
  </si>
  <si>
    <t>Arise vibrant</t>
  </si>
  <si>
    <t>khemraj bhai rajwadi tea</t>
  </si>
  <si>
    <t>9511545048</t>
  </si>
  <si>
    <t>PR-1103</t>
  </si>
  <si>
    <t>Satellite complex, Mansi Circle</t>
  </si>
  <si>
    <t>Rajendra Jain</t>
  </si>
  <si>
    <t>9426702573</t>
  </si>
  <si>
    <t>PR-1100</t>
  </si>
  <si>
    <t>SUHAAL SERENITY- Zundal</t>
  </si>
  <si>
    <t>Paritosh bhai</t>
  </si>
  <si>
    <t>9725931331</t>
  </si>
  <si>
    <t>PR-1099</t>
  </si>
  <si>
    <t>B/16 Dev city</t>
  </si>
  <si>
    <t>Sejal Ben</t>
  </si>
  <si>
    <t>6357105011</t>
  </si>
  <si>
    <t>PR-1098</t>
  </si>
  <si>
    <t>pacifica north enclave</t>
  </si>
  <si>
    <t>maulik dave</t>
  </si>
  <si>
    <t>9054689316</t>
  </si>
  <si>
    <t>PR-1094</t>
  </si>
  <si>
    <t>Elite Mercury</t>
  </si>
  <si>
    <t>krishna ben</t>
  </si>
  <si>
    <t>8733910895</t>
  </si>
  <si>
    <t>PR-1093</t>
  </si>
  <si>
    <t>Palm glory 4</t>
  </si>
  <si>
    <t>Aryan</t>
  </si>
  <si>
    <t>8866329054</t>
  </si>
  <si>
    <t>PR-1092</t>
  </si>
  <si>
    <t>pearl heights</t>
  </si>
  <si>
    <t>Ghatlodia</t>
  </si>
  <si>
    <t>hitendra bhai</t>
  </si>
  <si>
    <t>9924006250</t>
  </si>
  <si>
    <t>PR-1091</t>
  </si>
  <si>
    <t>kuber residency</t>
  </si>
  <si>
    <t>Amit</t>
  </si>
  <si>
    <t>9428411335</t>
  </si>
  <si>
    <t>PR-1090</t>
  </si>
  <si>
    <t>Savvy swaraj</t>
  </si>
  <si>
    <t>Raxit Shah</t>
  </si>
  <si>
    <t>9974051143</t>
  </si>
  <si>
    <t>PR-1089</t>
  </si>
  <si>
    <t>Shyam Villa Bungalow</t>
  </si>
  <si>
    <t>lalu desai</t>
  </si>
  <si>
    <t>7621981297</t>
  </si>
  <si>
    <t>PR-1088</t>
  </si>
  <si>
    <t>Falak Citadel</t>
  </si>
  <si>
    <t>Maulik pandya</t>
  </si>
  <si>
    <t>7623017858</t>
  </si>
  <si>
    <t>PR-1086</t>
  </si>
  <si>
    <t>Testing Property</t>
  </si>
  <si>
    <t>Science park</t>
  </si>
  <si>
    <t>1653298740</t>
  </si>
  <si>
    <t>PR-1083</t>
  </si>
  <si>
    <t>Nirman Homes</t>
  </si>
  <si>
    <t>Kalpesh bhai</t>
  </si>
  <si>
    <t>9879607282</t>
  </si>
  <si>
    <t>PR-1082</t>
  </si>
  <si>
    <t>silver rediance 2</t>
  </si>
  <si>
    <t>Showroom</t>
  </si>
  <si>
    <t>ajay bhai</t>
  </si>
  <si>
    <t>8780678133</t>
  </si>
  <si>
    <t>PR-1081</t>
  </si>
  <si>
    <t>sanskrit galaria</t>
  </si>
  <si>
    <t>Paresh parmar</t>
  </si>
  <si>
    <t>9714784630</t>
  </si>
  <si>
    <t>PR-1080</t>
  </si>
  <si>
    <t>sun siara bhadaj</t>
  </si>
  <si>
    <t>Narendra</t>
  </si>
  <si>
    <t>9909289068</t>
  </si>
  <si>
    <t>PR-1077</t>
  </si>
  <si>
    <t>Jivraj Park Society</t>
  </si>
  <si>
    <t>Gunjan Soni</t>
  </si>
  <si>
    <t>8160455535</t>
  </si>
  <si>
    <t>PR-1076</t>
  </si>
  <si>
    <t>veer savarkar 1</t>
  </si>
  <si>
    <t>Umesh bhai</t>
  </si>
  <si>
    <t>8320296774</t>
  </si>
  <si>
    <t>PR-1075</t>
  </si>
  <si>
    <t>PR-1074</t>
  </si>
  <si>
    <t>rewa gift city</t>
  </si>
  <si>
    <t>Gandhinagar</t>
  </si>
  <si>
    <t>Milan vaghela</t>
  </si>
  <si>
    <t>PR-1073</t>
  </si>
  <si>
    <t>Arise Vibrant</t>
  </si>
  <si>
    <t>Bharatkumar Somabhai Modi</t>
  </si>
  <si>
    <t>9825503818</t>
  </si>
  <si>
    <t>PR-1072</t>
  </si>
  <si>
    <t>Malabar County 3</t>
  </si>
  <si>
    <t>Bhumika</t>
  </si>
  <si>
    <t>9824011249</t>
  </si>
  <si>
    <t>PR-1071</t>
  </si>
  <si>
    <t>shivanta rigel</t>
  </si>
  <si>
    <t>Sudhir arya</t>
  </si>
  <si>
    <t>7698451376</t>
  </si>
  <si>
    <t>PR-1070</t>
  </si>
  <si>
    <t>Olive green</t>
  </si>
  <si>
    <t>himanshi chauhan</t>
  </si>
  <si>
    <t>9712932621</t>
  </si>
  <si>
    <t>PR-1068</t>
  </si>
  <si>
    <t>Gala Haven</t>
  </si>
  <si>
    <t>Manish sharma</t>
  </si>
  <si>
    <t>7698977944</t>
  </si>
  <si>
    <t>PR-1067</t>
  </si>
  <si>
    <t>Navkar Heights</t>
  </si>
  <si>
    <t>Sold Out</t>
  </si>
  <si>
    <t>Ognaj</t>
  </si>
  <si>
    <t>Shital prasad</t>
  </si>
  <si>
    <t>9558460169</t>
  </si>
  <si>
    <t>PR-1066</t>
  </si>
  <si>
    <t>marigold</t>
  </si>
  <si>
    <t>Dhaval bhai</t>
  </si>
  <si>
    <t>9825713623</t>
  </si>
  <si>
    <t>PR-1065</t>
  </si>
  <si>
    <t>Empire skyline</t>
  </si>
  <si>
    <t>mittal mam</t>
  </si>
  <si>
    <t>8238878936</t>
  </si>
  <si>
    <t>PR-1063</t>
  </si>
  <si>
    <t>celestial living scince city</t>
  </si>
  <si>
    <t>Rushi bhai</t>
  </si>
  <si>
    <t>7567252666</t>
  </si>
  <si>
    <t>PR-1062</t>
  </si>
  <si>
    <t>Elinor 108</t>
  </si>
  <si>
    <t>Thaltej</t>
  </si>
  <si>
    <t>Nikunj Bhai</t>
  </si>
  <si>
    <t>9904110434</t>
  </si>
  <si>
    <t>PR-1061</t>
  </si>
  <si>
    <t>PR-1060</t>
  </si>
  <si>
    <t>shivanta</t>
  </si>
  <si>
    <t>Meet bhai patel</t>
  </si>
  <si>
    <t>9638409065</t>
  </si>
  <si>
    <t>PR-1058</t>
  </si>
  <si>
    <t>wind chimas</t>
  </si>
  <si>
    <t>trikamdas bhai</t>
  </si>
  <si>
    <t>9879209694</t>
  </si>
  <si>
    <t>PR-1051</t>
  </si>
  <si>
    <t>Shakti 140 thaltej</t>
  </si>
  <si>
    <t>Jatin bhai</t>
  </si>
  <si>
    <t>6355831277</t>
  </si>
  <si>
    <t>PR-1050</t>
  </si>
  <si>
    <t>shilp serene</t>
  </si>
  <si>
    <t>nikhil bhai</t>
  </si>
  <si>
    <t>9898353635</t>
  </si>
  <si>
    <t>PR-1049</t>
  </si>
  <si>
    <t>sheladia divine</t>
  </si>
  <si>
    <t>amit bhai</t>
  </si>
  <si>
    <t>9998477368</t>
  </si>
  <si>
    <t>PR-1048</t>
  </si>
  <si>
    <t>stutas 55</t>
  </si>
  <si>
    <t>milan bhai</t>
  </si>
  <si>
    <t>7862836728</t>
  </si>
  <si>
    <t>PR-1047</t>
  </si>
  <si>
    <t>Niraj bhai</t>
  </si>
  <si>
    <t>9375971718</t>
  </si>
  <si>
    <t>PR-1039</t>
  </si>
  <si>
    <t>stutass 55</t>
  </si>
  <si>
    <t>Minesh bhai</t>
  </si>
  <si>
    <t>9327513549</t>
  </si>
  <si>
    <t>PR-1031</t>
  </si>
  <si>
    <t>Mondeal heights</t>
  </si>
  <si>
    <t>Krish bhai</t>
  </si>
  <si>
    <t>8780391842</t>
  </si>
  <si>
    <t>PR-1029</t>
  </si>
  <si>
    <t>Heritage Bungalow</t>
  </si>
  <si>
    <t>Dilip bhai</t>
  </si>
  <si>
    <t>9924440115</t>
  </si>
  <si>
    <t>PR-1028</t>
  </si>
  <si>
    <t>Home Navkar Heights</t>
  </si>
  <si>
    <t>Apartment</t>
  </si>
  <si>
    <t>somel</t>
  </si>
  <si>
    <t>9016134875</t>
  </si>
  <si>
    <t>PR-1027</t>
  </si>
  <si>
    <t>mukesh bhai</t>
  </si>
  <si>
    <t>7984110942</t>
  </si>
  <si>
    <t>PR-1026</t>
  </si>
  <si>
    <t>kiran bhai</t>
  </si>
  <si>
    <t>9016134884</t>
  </si>
  <si>
    <t>PR-1025</t>
  </si>
  <si>
    <t>Sindhu bhavan</t>
  </si>
  <si>
    <t>AARON</t>
  </si>
  <si>
    <t>iNVESTOR APARTMENT</t>
  </si>
  <si>
    <t>PR-1024</t>
  </si>
  <si>
    <t>Satyagarah chhavani</t>
  </si>
  <si>
    <t>Milin Patel</t>
  </si>
  <si>
    <t>9998717099</t>
  </si>
  <si>
    <t>PR-1023</t>
  </si>
  <si>
    <t>Enigma</t>
  </si>
  <si>
    <t>Enigma tower</t>
  </si>
  <si>
    <t>8980037347</t>
  </si>
  <si>
    <t>PR-1021</t>
  </si>
  <si>
    <t>sudharshan pride</t>
  </si>
  <si>
    <t>sagar patel</t>
  </si>
  <si>
    <t>9879408944</t>
  </si>
  <si>
    <t>PR-1019</t>
  </si>
  <si>
    <t>sahjanand stutas</t>
  </si>
  <si>
    <t>brokrage conform krvi call ma na padi che brokrage apvani</t>
  </si>
  <si>
    <t>PR-1015</t>
  </si>
  <si>
    <t>Sun Grevitas</t>
  </si>
  <si>
    <t>pravin bhai</t>
  </si>
  <si>
    <t>9624097919</t>
  </si>
  <si>
    <t>PR-1012</t>
  </si>
  <si>
    <t>Shiip serene</t>
  </si>
  <si>
    <t>niraj bhai</t>
  </si>
  <si>
    <t>PR-1011</t>
  </si>
  <si>
    <t>Oryan armonia</t>
  </si>
  <si>
    <t>utkal bhai</t>
  </si>
  <si>
    <t>8469816224</t>
  </si>
  <si>
    <t>PR-1006</t>
  </si>
  <si>
    <t>Sky 100 thaltej</t>
  </si>
  <si>
    <t>Jignasha ba</t>
  </si>
  <si>
    <t>9408297593</t>
  </si>
  <si>
    <t>PR-1003</t>
  </si>
  <si>
    <t>La Habitat</t>
  </si>
  <si>
    <t>GD Maghnani</t>
  </si>
  <si>
    <t>9414394220</t>
  </si>
  <si>
    <t>Total leads we got</t>
  </si>
  <si>
    <t>Requirement leads</t>
  </si>
  <si>
    <t>Listing leads</t>
  </si>
  <si>
    <t xml:space="preserve">From total leads the allocation engine allocated leads </t>
  </si>
  <si>
    <t>Allocated but waiting in queue</t>
  </si>
  <si>
    <t>STAGE 1:HOW MANY LEADS GET IN</t>
  </si>
  <si>
    <t xml:space="preserve">  • Combined number of leads telecaller marked CNR</t>
  </si>
  <si>
    <t xml:space="preserve">  • Interested</t>
  </si>
  <si>
    <t xml:space="preserve">  • Not interested</t>
  </si>
  <si>
    <t xml:space="preserve">  • Rajan Purani</t>
  </si>
  <si>
    <t xml:space="preserve">  • Rakesh Jadav </t>
  </si>
  <si>
    <t xml:space="preserve">  • Somel Rathod </t>
  </si>
  <si>
    <t xml:space="preserve">  • Viral Jadeja </t>
  </si>
  <si>
    <t xml:space="preserve">  • Prexa Vithalapara </t>
  </si>
  <si>
    <t xml:space="preserve">  • Zeel Mudaliyar</t>
  </si>
  <si>
    <t>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</si>
</sst>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\₹#,##0"/>
    <numFmt numFmtId="167" formatCode="0.0%"/>
  </numFmts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E2E8F0"/>
      <name val="Calibri"/>
    </font>
    <font>
      <b/>
      <sz val="10"/>
      <color rgb="FF1E3A8A"/>
      <name val="Calibri"/>
    </font>
    <font>
      <b/>
      <sz val="10"/>
      <color rgb="FF0F172A"/>
      <name val="Calibri"/>
    </font>
    <font>
      <b/>
      <sz val="11"/>
      <color rgb="FF047857"/>
      <name val="Calibri"/>
    </font>
    <font>
      <b/>
      <sz val="9"/>
      <color rgb="FF1E3A8A"/>
      <name val="Calibri"/>
    </font>
    <font>
      <b/>
      <sz val="9"/>
      <color rgb="FF64748B"/>
      <name val="Calibri"/>
    </font>
    <font>
      <i/>
      <sz val="9"/>
      <color rgb="FF475569"/>
      <name val="Calibri"/>
    </font>
    <font>
      <b/>
      <sz val="13"/>
      <color rgb="FF0F172A"/>
      <name val="Calibri"/>
    </font>
    <font>
      <b/>
      <sz val="7"/>
      <color rgb="FF64748B"/>
      <name val="Calibri"/>
    </font>
    <font>
      <b/>
      <sz val="11"/>
      <color rgb="FF1E3A8A"/>
      <name val="Calibri"/>
    </font>
    <font>
      <b/>
      <sz val="10"/>
      <color rgb="FFFFFFFF"/>
      <name val="Calibri"/>
    </font>
    <font>
      <sz val="10"/>
      <color rgb="FF0F172A"/>
      <name val="Calibri"/>
    </font>
    <font>
      <b/>
      <sz val="10"/>
      <color rgb="FF047857"/>
      <name val="Calibri"/>
    </font>
    <font>
      <b/>
      <sz val="15"/>
      <color rgb="FFFFFFFF"/>
      <name val="Calibri"/>
    </font>
    <font>
      <i/>
      <sz val="9"/>
      <color rgb="FFE2E8F0"/>
      <name val="Calibri"/>
    </font>
    <font>
      <b/>
      <sz val="9"/>
      <color rgb="FF475569"/>
      <name val="Calibri"/>
    </font>
    <font>
      <i/>
      <sz val="9"/>
      <color rgb="FF64748B"/>
      <name val="Calibri"/>
    </font>
    <font>
      <sz val="10"/>
      <color rgb="FF334155"/>
      <name val="Calibri"/>
    </font>
    <font>
      <sz val="9"/>
      <color rgb="FF64748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FF6FF"/>
        <bgColor rgb="FFEFF6FF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1E3A8A"/>
        <bgColor rgb="FF1E3A8A"/>
      </patternFill>
    </fill>
    <fill>
      <patternFill patternType="solid">
        <fgColor rgb="FFE2E8F0"/>
        <bgColor rgb="FFE2E8F0"/>
      </patternFill>
    </fill>
    <fill>
      <patternFill patternType="solid">
        <fgColor rgb="FF1E293B"/>
        <bgColor rgb="FF1E293B"/>
      </patternFill>
    </fill>
    <fill>
      <patternFill patternType="solid">
        <fgColor rgb="FFF0F9FF"/>
        <bgColor rgb="FFF0F9FF"/>
      </patternFill>
    </fill>
    <fill>
      <patternFill patternType="solid">
        <fgColor rgb="FFFEF08A"/>
        <bgColor rgb="FFFEF08A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E3A8A"/>
      </top>
      <bottom style="thin">
        <color rgb="FFCBD5E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3" borderId="0" xfId="0" applyFont="1" applyFill="1"/>
    <xf numFmtId="0" fontId="4" fillId="3" borderId="0" xfId="0" applyFont="1" applyFill="1"/>
    <xf numFmtId="164" fontId="5" fillId="3" borderId="1" xfId="0" applyNumberFormat="1" applyFont="1" applyFill="1" applyBorder="1" applyAlignment="1">
      <alignment horizontal="center" vertical="center"/>
    </xf>
    <xf numFmtId="0" fontId="6" fillId="3" borderId="0" xfId="0" applyFont="1" applyFill="1"/>
    <xf numFmtId="0" fontId="7" fillId="3" borderId="0" xfId="0" applyFont="1" applyFill="1"/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0" borderId="0" xfId="0" applyFont="1"/>
    <xf numFmtId="0" fontId="12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3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3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3" fontId="4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right" vertical="center"/>
    </xf>
    <xf numFmtId="166" fontId="13" fillId="5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9" borderId="1" xfId="0" applyFont="1" applyFill="1" applyBorder="1"/>
    <xf numFmtId="164" fontId="5" fillId="9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11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3" fontId="13" fillId="11" borderId="1" xfId="0" applyNumberFormat="1" applyFont="1" applyFill="1" applyBorder="1" applyAlignment="1">
      <alignment horizontal="right" vertical="center"/>
    </xf>
    <xf numFmtId="167" fontId="20" fillId="11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/>
    </xf>
    <xf numFmtId="0" fontId="0" fillId="0" borderId="5" xfId="0" applyBorder="1"/>
    <xf numFmtId="0" fontId="15" fillId="2" borderId="0" xfId="0" applyFont="1" applyFill="1" applyAlignment="1">
      <alignment horizontal="center" vertical="center"/>
    </xf>
    <xf numFmtId="0" fontId="0" fillId="0" borderId="0" xfId="0"/>
    <xf numFmtId="0" fontId="18" fillId="9" borderId="1" xfId="0" applyFont="1" applyFill="1" applyBorder="1"/>
    <xf numFmtId="0" fontId="0" fillId="0" borderId="3" xfId="0" applyBorder="1"/>
    <xf numFmtId="0" fontId="0" fillId="0" borderId="4" xfId="0" applyBorder="1"/>
    <xf numFmtId="0" fontId="1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1"/>
  <sheetViews>
    <sheetView tabSelected="1" workbookViewId="0">
      <selection activeCell="E14" sqref="E14"/>
    </sheetView>
  </sheetViews>
  <sheetFormatPr defaultRowHeight="14.4" x14ac:dyDescent="0.3"/>
  <cols>
    <col min="1" max="1" width="4" customWidth="1"/>
    <col min="2" max="2" width="52" customWidth="1"/>
    <col min="3" max="3" width="22" customWidth="1"/>
    <col min="4" max="4" width="24" customWidth="1"/>
    <col min="5" max="5" width="56" customWidth="1"/>
    <col min="6" max="7" width="13" hidden="1" customWidth="1"/>
  </cols>
  <sheetData>
    <row r="1" spans="2:7" ht="31.95" customHeight="1" x14ac:dyDescent="0.3">
      <c r="B1" s="48" t="s">
        <v>0</v>
      </c>
      <c r="C1" s="49"/>
      <c r="D1" s="49"/>
      <c r="E1" s="49"/>
    </row>
    <row r="2" spans="2:7" ht="18" customHeight="1" x14ac:dyDescent="0.3">
      <c r="B2" s="53" t="s">
        <v>1</v>
      </c>
      <c r="C2" s="49"/>
      <c r="D2" s="49"/>
      <c r="E2" s="49"/>
    </row>
    <row r="3" spans="2:7" ht="24" customHeight="1" x14ac:dyDescent="0.3">
      <c r="B3" s="29" t="s">
        <v>2</v>
      </c>
      <c r="C3" s="30" t="s">
        <v>2510</v>
      </c>
      <c r="D3" s="29" t="s">
        <v>3</v>
      </c>
      <c r="E3" s="31" t="str">
        <f>TEXT(F4, "YYYY-MM-DD") &amp; "  to  " &amp; TEXT(G4, "YYYY-MM-DD")</f>
        <v>2026-09-22  to  2026-09-28</v>
      </c>
    </row>
    <row r="4" spans="2:7" ht="24" customHeight="1" x14ac:dyDescent="0.3">
      <c r="B4" s="32" t="s">
        <v>4</v>
      </c>
      <c r="C4" s="50" t="s">
        <v>5</v>
      </c>
      <c r="D4" s="51"/>
      <c r="E4" s="52"/>
      <c r="F4">
        <f>IF(C3="Today", DATE(2026,9,28), IF(C3="This Week", DATE(2026,9,22), IF(C3="This Month", DATE(2026,9,1), IF(C3="All Time", DATE(2020,1,1), C5))))</f>
        <v>46287</v>
      </c>
      <c r="G4">
        <f>IF(C3="Today", DATE(2026,9,28), IF(C3="This Week", DATE(2026,9,28), IF(C3="This Month", DATE(2026,9,28), IF(C3="All Time", DATE(2030,12,31), E5))))</f>
        <v>46293</v>
      </c>
    </row>
    <row r="5" spans="2:7" ht="24" customHeight="1" x14ac:dyDescent="0.3">
      <c r="B5" s="32" t="s">
        <v>6</v>
      </c>
      <c r="C5" s="33">
        <v>46220</v>
      </c>
      <c r="D5" s="34" t="s">
        <v>7</v>
      </c>
      <c r="E5" s="33">
        <v>46293</v>
      </c>
    </row>
    <row r="7" spans="2:7" ht="25.95" customHeight="1" x14ac:dyDescent="0.3">
      <c r="B7" s="35" t="s">
        <v>8</v>
      </c>
      <c r="C7" s="35" t="s">
        <v>9</v>
      </c>
      <c r="D7" s="35" t="s">
        <v>10</v>
      </c>
      <c r="E7" s="35" t="s">
        <v>11</v>
      </c>
    </row>
    <row r="8" spans="2:7" ht="22.05" customHeight="1" x14ac:dyDescent="0.3">
      <c r="B8" s="46" t="s">
        <v>2500</v>
      </c>
      <c r="C8" s="47"/>
      <c r="D8" s="47"/>
      <c r="E8" s="47"/>
    </row>
    <row r="9" spans="2:7" ht="19.95" customHeight="1" x14ac:dyDescent="0.3">
      <c r="B9" s="36" t="s">
        <v>2495</v>
      </c>
      <c r="C9" s="37">
        <f>COUNTIFS(Requirement!$A:$A, "&gt;="&amp;$F$4, Requirement!$A:$A, "&lt;="&amp;$G$4+1) + COUNTIFS(Listing!$A:$A, "&gt;="&amp;$F$4, Listing!$A:$A, "&lt;="&amp;$G$4+1)</f>
        <v>211</v>
      </c>
      <c r="D9" s="38" t="s">
        <v>12</v>
      </c>
      <c r="E9" s="39" t="s">
        <v>13</v>
      </c>
    </row>
    <row r="10" spans="2:7" ht="19.95" customHeight="1" x14ac:dyDescent="0.3">
      <c r="B10" s="40" t="s">
        <v>2496</v>
      </c>
      <c r="C10" s="41">
        <f>COUNTIFS(Requirement!$A:$A, "&gt;="&amp;$F$4, Requirement!$A:$A, "&lt;="&amp;$G$4+1)</f>
        <v>120</v>
      </c>
      <c r="D10" s="42">
        <f>IF($C$9&gt;0, C10/$C$9, 0)</f>
        <v>0.56872037914691942</v>
      </c>
      <c r="E10" s="43" t="s">
        <v>14</v>
      </c>
    </row>
    <row r="11" spans="2:7" ht="19.95" customHeight="1" x14ac:dyDescent="0.3">
      <c r="B11" s="40" t="s">
        <v>2497</v>
      </c>
      <c r="C11" s="41">
        <f>COUNTIFS(Listing!$A:$A, "&gt;="&amp;$F$4, Listing!$A:$A, "&lt;="&amp;$G$4+1)</f>
        <v>91</v>
      </c>
      <c r="D11" s="42">
        <f>IF($C$9&gt;0, C11/$C$9, 0)</f>
        <v>0.43127962085308058</v>
      </c>
      <c r="E11" s="43" t="s">
        <v>15</v>
      </c>
    </row>
    <row r="12" spans="2:7" ht="22.05" customHeight="1" x14ac:dyDescent="0.3">
      <c r="B12" s="46" t="s">
        <v>16</v>
      </c>
      <c r="C12" s="47"/>
      <c r="D12" s="47"/>
      <c r="E12" s="47"/>
    </row>
    <row r="13" spans="2:7" ht="19.95" customHeight="1" x14ac:dyDescent="0.3">
      <c r="B13" s="36" t="s">
        <v>2498</v>
      </c>
      <c r="C13" s="37">
        <f>C9 - C14</f>
        <v>197</v>
      </c>
      <c r="D13" s="44">
        <f>IF($C$9&gt;0, C13/$C$9, 0)</f>
        <v>0.93364928909952605</v>
      </c>
      <c r="E13" s="39" t="s">
        <v>17</v>
      </c>
    </row>
    <row r="14" spans="2:7" ht="19.95" customHeight="1" x14ac:dyDescent="0.3">
      <c r="B14" s="40" t="s">
        <v>2499</v>
      </c>
      <c r="C14" s="41">
        <f>COUNTIFS(Requirement!$A:$A, "&gt;="&amp;$F$4, Requirement!$A:$A, "&lt;="&amp;$G$4+1, Requirement!$E:$E, "Unassigned") + COUNTIFS(Listing!$A:$A, "&gt;="&amp;$F$4, Listing!$A:$A, "&lt;="&amp;$G$4+1, Listing!$E:$E, "Unassigned")</f>
        <v>14</v>
      </c>
      <c r="D14" s="42">
        <f>IF($C$9&gt;0, C14/$C$9, 0)</f>
        <v>6.6350710900473939E-2</v>
      </c>
      <c r="E14" s="43" t="s">
        <v>18</v>
      </c>
    </row>
    <row r="15" spans="2:7" ht="22.05" customHeight="1" x14ac:dyDescent="0.3">
      <c r="B15" s="46" t="s">
        <v>19</v>
      </c>
      <c r="C15" s="47"/>
      <c r="D15" s="47"/>
      <c r="E15" s="47"/>
    </row>
    <row r="16" spans="2:7" ht="19.95" customHeight="1" x14ac:dyDescent="0.3">
      <c r="B16" s="40" t="s">
        <v>20</v>
      </c>
      <c r="C16" s="41">
        <f>COUNTIFS(Requirement!$A:$A, "&gt;="&amp;$F$4, Requirement!$A:$A, "&lt;="&amp;$G$4+1, Requirement!$F:$F, "New") + COUNTIFS(Listing!$A:$A, "&gt;="&amp;$F$4, Listing!$A:$A, "&lt;="&amp;$G$4+1, Listing!$F:$F, "New")</f>
        <v>131</v>
      </c>
      <c r="D16" s="42">
        <f t="shared" ref="D16:D21" si="0">IF($C$9&gt;0, C16/$C$9, 0)</f>
        <v>0.62085308056872035</v>
      </c>
      <c r="E16" s="43" t="s">
        <v>21</v>
      </c>
    </row>
    <row r="17" spans="2:5" ht="19.95" customHeight="1" x14ac:dyDescent="0.3">
      <c r="B17" s="40" t="s">
        <v>2501</v>
      </c>
      <c r="C17" s="41">
        <f>COUNTIFS(Requirement!$A:$A, "&gt;="&amp;$F$4, Requirement!$A:$A, "&lt;="&amp;$G$4+1, Requirement!$F:$F, "*CNR*") + COUNTIFS(Listing!$A:$A, "&gt;="&amp;$F$4, Listing!$A:$A, "&lt;="&amp;$G$4+1, Listing!$F:$F, "*CNR*")</f>
        <v>10</v>
      </c>
      <c r="D17" s="42">
        <f t="shared" si="0"/>
        <v>4.7393364928909949E-2</v>
      </c>
      <c r="E17" s="43" t="s">
        <v>22</v>
      </c>
    </row>
    <row r="18" spans="2:5" ht="19.95" customHeight="1" x14ac:dyDescent="0.3">
      <c r="B18" s="40" t="s">
        <v>23</v>
      </c>
      <c r="C18" s="41">
        <f>COUNTIFS(Requirement!$A:$A, "&gt;="&amp;$F$4, Requirement!$A:$A, "&lt;="&amp;$G$4+1, Requirement!$F:$F, "*Callback*") + COUNTIFS(Listing!$A:$A, "&gt;="&amp;$F$4, Listing!$A:$A, "&lt;="&amp;$G$4+1, Listing!$F:$F, "*Callback*")</f>
        <v>3</v>
      </c>
      <c r="D18" s="42">
        <f t="shared" si="0"/>
        <v>1.4218009478672985E-2</v>
      </c>
      <c r="E18" s="43" t="s">
        <v>24</v>
      </c>
    </row>
    <row r="19" spans="2:5" ht="19.95" customHeight="1" x14ac:dyDescent="0.3">
      <c r="B19" s="40" t="s">
        <v>2502</v>
      </c>
      <c r="C19" s="41">
        <f>COUNTIFS(Requirement!$A:$A, "&gt;="&amp;$F$4, Requirement!$A:$A, "&lt;="&amp;$G$4+1, Requirement!$F:$F, "Interested") + COUNTIFS(Listing!$A:$A, "&gt;="&amp;$F$4, Listing!$A:$A, "&lt;="&amp;$G$4+1, Listing!$F:$F, "Interested")</f>
        <v>1</v>
      </c>
      <c r="D19" s="42">
        <f t="shared" si="0"/>
        <v>4.7393364928909956E-3</v>
      </c>
      <c r="E19" s="43" t="s">
        <v>25</v>
      </c>
    </row>
    <row r="20" spans="2:5" ht="19.95" customHeight="1" x14ac:dyDescent="0.3">
      <c r="B20" s="40" t="s">
        <v>2503</v>
      </c>
      <c r="C20" s="41">
        <f>COUNTIFS(Requirement!$A:$A, "&gt;="&amp;$F$4, Requirement!$A:$A, "&lt;="&amp;$G$4+1, Requirement!$F:$F, "Rejected*") + COUNTIFS(Requirement!$A:$A, "&gt;="&amp;$F$4, Requirement!$A:$A, "&lt;="&amp;$G$4+1, Requirement!$F:$F, "Archived") + COUNTIFS(Listing!$A:$A, "&gt;="&amp;$F$4, Listing!$A:$A, "&lt;="&amp;$G$4+1, Listing!$F:$F, "Rejected*")</f>
        <v>18</v>
      </c>
      <c r="D20" s="42">
        <f t="shared" si="0"/>
        <v>8.5308056872037921E-2</v>
      </c>
      <c r="E20" s="43" t="s">
        <v>26</v>
      </c>
    </row>
    <row r="21" spans="2:5" ht="19.95" customHeight="1" x14ac:dyDescent="0.3">
      <c r="B21" s="40" t="s">
        <v>27</v>
      </c>
      <c r="C21" s="41">
        <f>COUNTIFS(Listing!$A:$A, "&gt;="&amp;$F$4, Listing!$A:$A, "&lt;="&amp;$G$4+1, Listing!$F:$F, "Listed*")</f>
        <v>17</v>
      </c>
      <c r="D21" s="42">
        <f t="shared" si="0"/>
        <v>8.0568720379146919E-2</v>
      </c>
      <c r="E21" s="43" t="s">
        <v>28</v>
      </c>
    </row>
    <row r="22" spans="2:5" ht="22.05" customHeight="1" x14ac:dyDescent="0.3">
      <c r="B22" s="46" t="s">
        <v>29</v>
      </c>
      <c r="C22" s="47"/>
      <c r="D22" s="47"/>
      <c r="E22" s="47"/>
    </row>
    <row r="23" spans="2:5" ht="19.95" customHeight="1" x14ac:dyDescent="0.3">
      <c r="B23" s="36" t="s">
        <v>30</v>
      </c>
      <c r="C23" s="37">
        <f>COUNTIFS(Requirement!$A:$A, "&gt;="&amp;$F$4, Requirement!$A:$A, "&lt;="&amp;$G$4+1, Requirement!$G:$G, "&lt;&gt;Not Assigned") + COUNTIFS(Listing!$A:$A, "&gt;="&amp;$F$4, Listing!$A:$A, "&lt;="&amp;$G$4+1, Listing!$G:$G, "&lt;&gt;Not Assigned", Listing!$G:$G, "&lt;&gt;PropKart Direct")</f>
        <v>50</v>
      </c>
      <c r="D23" s="44">
        <f>IF($C$9&gt;0, C23/$C$9, 0)</f>
        <v>0.23696682464454977</v>
      </c>
      <c r="E23" s="39" t="s">
        <v>31</v>
      </c>
    </row>
    <row r="24" spans="2:5" ht="19.95" customHeight="1" x14ac:dyDescent="0.3">
      <c r="B24" s="40" t="s">
        <v>2504</v>
      </c>
      <c r="C24" s="41">
        <f>COUNTIFS(Requirement!$A:$A, "&gt;="&amp;$F$4, Requirement!$A:$A, "&lt;="&amp;$G$4+1, Requirement!$G:$G, "Rajan Purani") + COUNTIFS(Listing!$A:$A, "&gt;="&amp;$F$4, Listing!$A:$A, "&lt;="&amp;$G$4+1, Listing!$G:$G, "Rajan Purani")</f>
        <v>8</v>
      </c>
      <c r="D24" s="42">
        <f>IF($C$23&gt;0, C24/$C$23, 0)</f>
        <v>0.16</v>
      </c>
      <c r="E24" s="43" t="s">
        <v>32</v>
      </c>
    </row>
    <row r="25" spans="2:5" ht="19.95" customHeight="1" x14ac:dyDescent="0.3">
      <c r="B25" s="40" t="s">
        <v>2505</v>
      </c>
      <c r="C25" s="41">
        <f>COUNTIFS(Requirement!$A:$A, "&gt;="&amp;$F$4, Requirement!$A:$A, "&lt;="&amp;$G$4+1, Requirement!$G:$G, "Rakesh Jadav") + COUNTIFS(Listing!$A:$A, "&gt;="&amp;$F$4, Listing!$A:$A, "&lt;="&amp;$G$4+1, Listing!$G:$G, "Rakesh Jadav")</f>
        <v>15</v>
      </c>
      <c r="D25" s="42">
        <f>IF($C$23&gt;0, C25/$C$23, 0)</f>
        <v>0.3</v>
      </c>
      <c r="E25" s="43" t="s">
        <v>33</v>
      </c>
    </row>
    <row r="26" spans="2:5" ht="19.95" customHeight="1" x14ac:dyDescent="0.3">
      <c r="B26" s="40" t="s">
        <v>2506</v>
      </c>
      <c r="C26" s="41">
        <f>COUNTIFS(Requirement!$A:$A, "&gt;="&amp;$F$4, Requirement!$A:$A, "&lt;="&amp;$G$4+1, Requirement!$G:$G, "Somel Rathod") + COUNTIFS(Listing!$A:$A, "&gt;="&amp;$F$4, Listing!$A:$A, "&lt;="&amp;$G$4+1, Listing!$G:$G, "Somel Rathod")</f>
        <v>12</v>
      </c>
      <c r="D26" s="42">
        <f>IF($C$23&gt;0, C26/$C$23, 0)</f>
        <v>0.24</v>
      </c>
      <c r="E26" s="43" t="s">
        <v>34</v>
      </c>
    </row>
    <row r="27" spans="2:5" ht="19.95" customHeight="1" x14ac:dyDescent="0.3">
      <c r="B27" s="40" t="s">
        <v>2507</v>
      </c>
      <c r="C27" s="41">
        <f>COUNTIFS(Requirement!$A:$A, "&gt;="&amp;$F$4, Requirement!$A:$A, "&lt;="&amp;$G$4+1, Requirement!$G:$G, "Viral Jadeja") + COUNTIFS(Listing!$A:$A, "&gt;="&amp;$F$4, Listing!$A:$A, "&lt;="&amp;$G$4+1, Listing!$G:$G, "Viral Jadeja")</f>
        <v>9</v>
      </c>
      <c r="D27" s="42">
        <f>IF($C$23&gt;0, C27/$C$23, 0)</f>
        <v>0.18</v>
      </c>
      <c r="E27" s="43" t="s">
        <v>35</v>
      </c>
    </row>
    <row r="28" spans="2:5" ht="19.95" customHeight="1" x14ac:dyDescent="0.3">
      <c r="B28" s="40" t="s">
        <v>2508</v>
      </c>
      <c r="C28" s="41">
        <f>COUNTIFS(Requirement!$A:$A, "&gt;="&amp;$F$4, Requirement!$A:$A, "&lt;="&amp;$G$4+1, Requirement!$E:$E, "Prexa Vithalapara") + COUNTIFS(Listing!$A:$A, "&gt;="&amp;$F$4, Listing!$A:$A, "&lt;="&amp;$G$4+1, Listing!$E:$E, "Prexa Vithalapara")</f>
        <v>38</v>
      </c>
      <c r="D28" s="42">
        <f>IF($C$9&gt;0, C28/$C$9, 0)</f>
        <v>0.18009478672985782</v>
      </c>
      <c r="E28" s="43" t="s">
        <v>36</v>
      </c>
    </row>
    <row r="29" spans="2:5" ht="19.95" customHeight="1" x14ac:dyDescent="0.3">
      <c r="B29" s="40" t="s">
        <v>2509</v>
      </c>
      <c r="C29" s="41">
        <f>COUNTIFS(Requirement!$A:$A, "&gt;="&amp;$F$4, Requirement!$A:$A, "&lt;="&amp;$G$4+1, Requirement!$E:$E, "Zeel Mudaliyar") + COUNTIFS(Listing!$A:$A, "&gt;="&amp;$F$4, Listing!$A:$A, "&lt;="&amp;$G$4+1, Listing!$E:$E, "Zeel Mudaliyar")</f>
        <v>150</v>
      </c>
      <c r="D29" s="42">
        <f>IF($C$9&gt;0, C29/$C$9, 0)</f>
        <v>0.7109004739336493</v>
      </c>
      <c r="E29" s="43" t="s">
        <v>36</v>
      </c>
    </row>
    <row r="30" spans="2:5" ht="19.95" customHeight="1" x14ac:dyDescent="0.3">
      <c r="B30" s="40" t="s">
        <v>37</v>
      </c>
      <c r="C30" s="41">
        <f>COUNTIFS('Inventory (Total Properties)'!$A:$A, "&gt;="&amp;$F$4, 'Inventory (Total Properties)'!$A:$A, "&lt;="&amp;$G$4+1, 'Inventory (Total Properties)'!$Q:$Q, "Propkart Admin")</f>
        <v>16</v>
      </c>
      <c r="D30" s="45" t="s">
        <v>38</v>
      </c>
      <c r="E30" s="43" t="s">
        <v>39</v>
      </c>
    </row>
    <row r="31" spans="2:5" ht="22.05" customHeight="1" x14ac:dyDescent="0.3">
      <c r="B31" s="46" t="s">
        <v>40</v>
      </c>
      <c r="C31" s="47"/>
      <c r="D31" s="47"/>
      <c r="E31" s="47"/>
    </row>
    <row r="32" spans="2:5" ht="19.95" customHeight="1" x14ac:dyDescent="0.3">
      <c r="B32" s="40" t="s">
        <v>41</v>
      </c>
      <c r="C32" s="41">
        <f>COUNTIFS(Requirement!$A:$A, "&gt;="&amp;$F$4, Requirement!$A:$A, "&lt;="&amp;$G$4+1, Requirement!$H:$H, "*Follow*") + COUNTIFS(Requirement!$A:$A, "&gt;="&amp;$F$4, Requirement!$A:$A, "&lt;="&amp;$G$4+1, Requirement!$H:$H, "Interested") + COUNTIFS(Requirement!$A:$A, "&gt;="&amp;$F$4, Requirement!$A:$A, "&lt;="&amp;$G$4+1, Requirement!$H:$H, "Live") + COUNTIFS(Requirement!$A:$A, "&gt;="&amp;$F$4, Requirement!$A:$A, "&lt;="&amp;$G$4+1, Requirement!$H:$H, "Assigned*")</f>
        <v>24</v>
      </c>
      <c r="D32" s="42">
        <f>IF($C$23&gt;0, C32/$C$23, 0)</f>
        <v>0.48</v>
      </c>
      <c r="E32" s="43" t="s">
        <v>42</v>
      </c>
    </row>
    <row r="33" spans="2:5" ht="19.95" customHeight="1" x14ac:dyDescent="0.3">
      <c r="B33" s="40" t="s">
        <v>43</v>
      </c>
      <c r="C33" s="41">
        <f>COUNTIFS(Requirement!$A:$A, "&gt;="&amp;$F$4, Requirement!$A:$A, "&lt;="&amp;$G$4+1, Requirement!$H:$H, "*Visit Scheduled*")</f>
        <v>0</v>
      </c>
      <c r="D33" s="42">
        <f>IF($C$23&gt;0, C33/$C$23, 0)</f>
        <v>0</v>
      </c>
      <c r="E33" s="43" t="s">
        <v>44</v>
      </c>
    </row>
    <row r="34" spans="2:5" ht="19.95" customHeight="1" x14ac:dyDescent="0.3">
      <c r="B34" s="40" t="s">
        <v>45</v>
      </c>
      <c r="C34" s="41">
        <f>COUNTIFS(Requirement!$A:$A, "&gt;="&amp;$F$4, Requirement!$A:$A, "&lt;="&amp;$G$4+1, Requirement!$H:$H, "*Visit Done*")</f>
        <v>1</v>
      </c>
      <c r="D34" s="42">
        <f>IF($C$23&gt;0, C34/$C$23, 0)</f>
        <v>0.02</v>
      </c>
      <c r="E34" s="43" t="s">
        <v>46</v>
      </c>
    </row>
    <row r="35" spans="2:5" ht="19.95" customHeight="1" x14ac:dyDescent="0.3">
      <c r="B35" s="36" t="s">
        <v>47</v>
      </c>
      <c r="C35" s="37">
        <f>COUNTIFS(Requirement!$A:$A, "&gt;="&amp;$F$4, Requirement!$A:$A, "&lt;="&amp;$G$4+1, Requirement!$H:$H, "*Won*")</f>
        <v>0</v>
      </c>
      <c r="D35" s="44">
        <f>IF($C$23&gt;0, C35/$C$23, 0)</f>
        <v>0</v>
      </c>
      <c r="E35" s="39" t="s">
        <v>48</v>
      </c>
    </row>
    <row r="36" spans="2:5" ht="19.95" customHeight="1" x14ac:dyDescent="0.3">
      <c r="B36" s="40" t="s">
        <v>49</v>
      </c>
      <c r="C36" s="41">
        <f>COUNTIFS(Requirement!$A:$A, "&gt;="&amp;$F$4, Requirement!$A:$A, "&lt;="&amp;$G$4+1, Requirement!$H:$H, "Rejected*") + COUNTIFS(Requirement!$A:$A, "&gt;="&amp;$F$4, Requirement!$A:$A, "&lt;="&amp;$G$4+1, Requirement!$H:$H, "Disqualified*")</f>
        <v>12</v>
      </c>
      <c r="D36" s="42">
        <f>IF($C$23&gt;0, C36/$C$23, 0)</f>
        <v>0.24</v>
      </c>
      <c r="E36" s="43" t="s">
        <v>50</v>
      </c>
    </row>
    <row r="37" spans="2:5" ht="22.05" customHeight="1" x14ac:dyDescent="0.3">
      <c r="B37" s="46" t="s">
        <v>51</v>
      </c>
      <c r="C37" s="47"/>
      <c r="D37" s="47"/>
      <c r="E37" s="47"/>
    </row>
    <row r="38" spans="2:5" ht="19.95" customHeight="1" x14ac:dyDescent="0.3">
      <c r="B38" s="36" t="s">
        <v>52</v>
      </c>
      <c r="C38" s="37">
        <f>COUNTIFS('Inventory (Total Properties)'!$A:$A, "&gt;="&amp;$F$4, 'Inventory (Total Properties)'!$A:$A, "&lt;="&amp;$G$4+1)</f>
        <v>28</v>
      </c>
      <c r="D38" s="38" t="s">
        <v>12</v>
      </c>
      <c r="E38" s="39" t="s">
        <v>53</v>
      </c>
    </row>
    <row r="39" spans="2:5" ht="19.95" customHeight="1" x14ac:dyDescent="0.3">
      <c r="B39" s="40" t="s">
        <v>54</v>
      </c>
      <c r="C39" s="41">
        <f>COUNTIFS('Inventory (Total Properties)'!$A:$A, "&gt;="&amp;$F$4, 'Inventory (Total Properties)'!$A:$A, "&lt;="&amp;$G$4+1, 'Inventory (Total Properties)'!$G:$G, "Available")</f>
        <v>24</v>
      </c>
      <c r="D39" s="42">
        <f>IF($C$38&gt;0, C39/$C$38, 0)</f>
        <v>0.8571428571428571</v>
      </c>
      <c r="E39" s="43" t="s">
        <v>55</v>
      </c>
    </row>
    <row r="40" spans="2:5" ht="19.95" customHeight="1" x14ac:dyDescent="0.3">
      <c r="B40" s="40" t="s">
        <v>56</v>
      </c>
      <c r="C40" s="41">
        <f>COUNTIFS('Inventory (Total Properties)'!$A:$A, "&gt;="&amp;$F$4, 'Inventory (Total Properties)'!$A:$A, "&lt;="&amp;$G$4+1, 'Inventory (Total Properties)'!$G:$G, "Rented Out")</f>
        <v>4</v>
      </c>
      <c r="D40" s="42">
        <f>IF($C$38&gt;0, C40/$C$38, 0)</f>
        <v>0.14285714285714285</v>
      </c>
      <c r="E40" s="43" t="s">
        <v>57</v>
      </c>
    </row>
    <row r="41" spans="2:5" ht="19.95" customHeight="1" x14ac:dyDescent="0.3">
      <c r="B41" s="40" t="s">
        <v>58</v>
      </c>
      <c r="C41" s="41">
        <f>COUNTIFS('Inventory (Total Properties)'!$A:$A, "&gt;="&amp;$F$4, 'Inventory (Total Properties)'!$A:$A, "&lt;="&amp;$G$4+1, 'Inventory (Total Properties)'!$G:$G, "Sold Out") + COUNTIFS('Inventory (Total Properties)'!$A:$A, "&gt;="&amp;$F$4, 'Inventory (Total Properties)'!$A:$A, "&lt;="&amp;$G$4+1, 'Inventory (Total Properties)'!$G:$G, "To Be Available")</f>
        <v>0</v>
      </c>
      <c r="D41" s="42">
        <f>IF($C$38&gt;0, C41/$C$38, 0)</f>
        <v>0</v>
      </c>
      <c r="E41" s="43" t="s">
        <v>59</v>
      </c>
    </row>
  </sheetData>
  <mergeCells count="9">
    <mergeCell ref="B37:E37"/>
    <mergeCell ref="B22:E22"/>
    <mergeCell ref="B31:E31"/>
    <mergeCell ref="B1:E1"/>
    <mergeCell ref="B8:E8"/>
    <mergeCell ref="B12:E12"/>
    <mergeCell ref="C4:E4"/>
    <mergeCell ref="B15:E15"/>
    <mergeCell ref="B2:E2"/>
  </mergeCells>
  <dataValidations count="1">
    <dataValidation type="list" sqref="C3" xr:uid="{00000000-0002-0000-0000-000000000000}">
      <formula1>"All Time,Today,This Week,This Month,Custom Range"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workbookViewId="0">
      <selection sqref="A1:I1"/>
    </sheetView>
  </sheetViews>
  <sheetFormatPr defaultRowHeight="14.4" x14ac:dyDescent="0.3"/>
  <cols>
    <col min="1" max="9" width="48" customWidth="1"/>
    <col min="10" max="10" width="26" customWidth="1"/>
  </cols>
  <sheetData>
    <row r="1" spans="1:9" ht="36" customHeight="1" x14ac:dyDescent="0.3">
      <c r="A1" s="54" t="s">
        <v>60</v>
      </c>
      <c r="B1" s="49"/>
      <c r="C1" s="49"/>
      <c r="D1" s="49"/>
      <c r="E1" s="49"/>
      <c r="F1" s="49"/>
      <c r="G1" s="49"/>
      <c r="H1" s="49"/>
      <c r="I1" s="49"/>
    </row>
    <row r="2" spans="1:9" ht="19.95" customHeight="1" x14ac:dyDescent="0.3">
      <c r="A2" s="56" t="s">
        <v>61</v>
      </c>
      <c r="B2" s="49"/>
      <c r="C2" s="49"/>
      <c r="D2" s="49"/>
      <c r="E2" s="49"/>
      <c r="F2" s="49"/>
      <c r="G2" s="49"/>
      <c r="H2" s="49"/>
      <c r="I2" s="49"/>
    </row>
    <row r="4" spans="1:9" ht="24" customHeight="1" x14ac:dyDescent="0.3">
      <c r="A4" s="1" t="s">
        <v>62</v>
      </c>
      <c r="B4" s="2" t="s">
        <v>63</v>
      </c>
      <c r="C4" s="3">
        <v>46220</v>
      </c>
      <c r="D4" s="2" t="s">
        <v>64</v>
      </c>
      <c r="E4" s="3">
        <v>46293</v>
      </c>
      <c r="F4" s="2" t="s">
        <v>65</v>
      </c>
      <c r="G4" s="4" t="s">
        <v>66</v>
      </c>
      <c r="H4" s="4" t="s">
        <v>67</v>
      </c>
      <c r="I4" s="4" t="s">
        <v>68</v>
      </c>
    </row>
    <row r="5" spans="1:9" ht="24" customHeight="1" x14ac:dyDescent="0.3">
      <c r="A5" s="5" t="s">
        <v>69</v>
      </c>
      <c r="B5" s="55" t="s">
        <v>70</v>
      </c>
      <c r="C5" s="49"/>
      <c r="D5" s="49"/>
      <c r="E5" s="49"/>
      <c r="F5" s="49"/>
      <c r="G5" s="49"/>
      <c r="H5" s="49"/>
      <c r="I5" s="49"/>
    </row>
    <row r="7" spans="1:9" ht="28.05" customHeight="1" x14ac:dyDescent="0.3">
      <c r="A7" s="6">
        <f>COUNTIFS(Requirement!$A:$A, "&gt;="&amp;$C$4, Requirement!$A:$A, "&lt;="&amp;$E$4+1) + COUNTIFS(Listing!$A:$A, "&gt;="&amp;$C$4, Listing!$A:$A, "&lt;="&amp;$E$4+1)</f>
        <v>1215</v>
      </c>
      <c r="B7" s="6">
        <f>COUNTIFS(Requirement!$A:$A, "&gt;="&amp;$C$4, Requirement!$A:$A, "&lt;="&amp;$E$4+1)</f>
        <v>735</v>
      </c>
      <c r="C7" s="6">
        <f>COUNTIFS(Listing!$A:$A, "&gt;="&amp;$C$4, Listing!$A:$A, "&lt;="&amp;$E$4+1)</f>
        <v>480</v>
      </c>
      <c r="D7" s="6">
        <f>COUNTIFS('Inventory (Total Properties)'!$A:$A, "&gt;="&amp;$C$4, 'Inventory (Total Properties)'!$A:$A, "&lt;="&amp;$E$4+1)</f>
        <v>144</v>
      </c>
      <c r="E7" s="7">
        <v>1136</v>
      </c>
      <c r="F7" s="7">
        <v>144</v>
      </c>
      <c r="G7" s="7">
        <v>3</v>
      </c>
    </row>
    <row r="8" spans="1:9" ht="18" customHeight="1" x14ac:dyDescent="0.3">
      <c r="A8" s="8" t="s">
        <v>71</v>
      </c>
      <c r="B8" s="8" t="s">
        <v>72</v>
      </c>
      <c r="C8" s="8" t="s">
        <v>73</v>
      </c>
      <c r="D8" s="8" t="s">
        <v>74</v>
      </c>
      <c r="E8" s="8" t="s">
        <v>75</v>
      </c>
      <c r="F8" s="8" t="s">
        <v>76</v>
      </c>
      <c r="G8" s="8" t="s">
        <v>77</v>
      </c>
    </row>
    <row r="10" spans="1:9" ht="24" customHeight="1" x14ac:dyDescent="0.3">
      <c r="A10" s="9" t="s">
        <v>78</v>
      </c>
    </row>
    <row r="11" spans="1:9" ht="24" customHeight="1" x14ac:dyDescent="0.3">
      <c r="A11" s="10" t="s">
        <v>79</v>
      </c>
      <c r="B11" s="10" t="s">
        <v>66</v>
      </c>
      <c r="C11" s="10" t="s">
        <v>80</v>
      </c>
      <c r="D11" s="10" t="s">
        <v>81</v>
      </c>
      <c r="E11" s="10" t="s">
        <v>82</v>
      </c>
      <c r="F11" s="10" t="s">
        <v>83</v>
      </c>
      <c r="G11" s="10" t="s">
        <v>84</v>
      </c>
    </row>
    <row r="12" spans="1:9" ht="19.95" customHeight="1" x14ac:dyDescent="0.3">
      <c r="A12" s="11" t="s">
        <v>85</v>
      </c>
      <c r="B12" s="12">
        <v>16</v>
      </c>
      <c r="C12" s="12">
        <v>252</v>
      </c>
      <c r="D12" s="12">
        <v>1089</v>
      </c>
      <c r="E12" s="12">
        <v>1136</v>
      </c>
      <c r="F12" s="13" t="s">
        <v>12</v>
      </c>
      <c r="G12" s="11" t="s">
        <v>86</v>
      </c>
    </row>
    <row r="13" spans="1:9" ht="19.95" customHeight="1" x14ac:dyDescent="0.3">
      <c r="A13" s="14" t="s">
        <v>87</v>
      </c>
      <c r="B13" s="15">
        <v>12</v>
      </c>
      <c r="C13" s="15">
        <v>185</v>
      </c>
      <c r="D13" s="15">
        <v>798</v>
      </c>
      <c r="E13" s="15">
        <v>831</v>
      </c>
      <c r="F13" s="16" t="s">
        <v>88</v>
      </c>
      <c r="G13" s="14" t="s">
        <v>89</v>
      </c>
    </row>
    <row r="14" spans="1:9" ht="19.95" customHeight="1" x14ac:dyDescent="0.3">
      <c r="A14" s="11" t="s">
        <v>90</v>
      </c>
      <c r="B14" s="12">
        <v>2</v>
      </c>
      <c r="C14" s="12">
        <v>28</v>
      </c>
      <c r="D14" s="12">
        <v>114</v>
      </c>
      <c r="E14" s="12">
        <v>120</v>
      </c>
      <c r="F14" s="13" t="s">
        <v>91</v>
      </c>
      <c r="G14" s="11" t="s">
        <v>92</v>
      </c>
    </row>
    <row r="15" spans="1:9" ht="19.95" customHeight="1" x14ac:dyDescent="0.3">
      <c r="A15" s="14" t="s">
        <v>93</v>
      </c>
      <c r="B15" s="15">
        <v>1</v>
      </c>
      <c r="C15" s="15">
        <v>23</v>
      </c>
      <c r="D15" s="15">
        <v>94</v>
      </c>
      <c r="E15" s="15">
        <v>98</v>
      </c>
      <c r="F15" s="16" t="s">
        <v>94</v>
      </c>
      <c r="G15" s="14" t="s">
        <v>95</v>
      </c>
    </row>
    <row r="16" spans="1:9" ht="19.95" customHeight="1" x14ac:dyDescent="0.3">
      <c r="A16" s="11" t="s">
        <v>96</v>
      </c>
      <c r="B16" s="12">
        <v>1</v>
      </c>
      <c r="C16" s="12">
        <v>16</v>
      </c>
      <c r="D16" s="12">
        <v>83</v>
      </c>
      <c r="E16" s="12">
        <v>86</v>
      </c>
      <c r="F16" s="13" t="s">
        <v>97</v>
      </c>
      <c r="G16" s="11" t="s">
        <v>98</v>
      </c>
    </row>
    <row r="17" spans="1:10" ht="19.95" customHeight="1" x14ac:dyDescent="0.3">
      <c r="A17" s="14" t="s">
        <v>99</v>
      </c>
      <c r="B17" s="15">
        <v>0</v>
      </c>
      <c r="C17" s="15">
        <v>0</v>
      </c>
      <c r="D17" s="15">
        <v>0</v>
      </c>
      <c r="E17" s="15">
        <v>1</v>
      </c>
      <c r="F17" s="16" t="s">
        <v>100</v>
      </c>
      <c r="G17" s="14" t="s">
        <v>101</v>
      </c>
    </row>
    <row r="18" spans="1:10" ht="19.95" customHeight="1" x14ac:dyDescent="0.3">
      <c r="A18" s="11" t="s">
        <v>102</v>
      </c>
      <c r="B18" s="12">
        <v>4</v>
      </c>
      <c r="C18" s="12">
        <v>94</v>
      </c>
      <c r="D18" s="12">
        <v>385</v>
      </c>
      <c r="E18" s="12">
        <v>402</v>
      </c>
      <c r="F18" s="13" t="s">
        <v>103</v>
      </c>
      <c r="G18" s="11" t="s">
        <v>104</v>
      </c>
    </row>
    <row r="19" spans="1:10" ht="19.95" customHeight="1" x14ac:dyDescent="0.3">
      <c r="A19" s="14" t="s">
        <v>105</v>
      </c>
      <c r="B19" s="15">
        <v>12</v>
      </c>
      <c r="C19" s="15">
        <v>158</v>
      </c>
      <c r="D19" s="15">
        <v>704</v>
      </c>
      <c r="E19" s="15">
        <v>734</v>
      </c>
      <c r="F19" s="16" t="s">
        <v>106</v>
      </c>
      <c r="G19" s="14" t="s">
        <v>107</v>
      </c>
    </row>
    <row r="20" spans="1:10" ht="19.95" customHeight="1" x14ac:dyDescent="0.3">
      <c r="A20" s="11" t="s">
        <v>108</v>
      </c>
      <c r="B20" s="12">
        <v>15</v>
      </c>
      <c r="C20" s="12">
        <v>238</v>
      </c>
      <c r="D20" s="12">
        <v>865</v>
      </c>
      <c r="E20" s="12">
        <v>892</v>
      </c>
      <c r="F20" s="13" t="s">
        <v>109</v>
      </c>
      <c r="G20" s="11" t="s">
        <v>110</v>
      </c>
    </row>
    <row r="21" spans="1:10" ht="19.95" customHeight="1" x14ac:dyDescent="0.3">
      <c r="A21" s="14" t="s">
        <v>111</v>
      </c>
      <c r="B21" s="15">
        <v>1</v>
      </c>
      <c r="C21" s="15">
        <v>14</v>
      </c>
      <c r="D21" s="15">
        <v>224</v>
      </c>
      <c r="E21" s="15">
        <v>244</v>
      </c>
      <c r="F21" s="16" t="s">
        <v>112</v>
      </c>
      <c r="G21" s="14" t="s">
        <v>113</v>
      </c>
    </row>
    <row r="22" spans="1:10" ht="19.95" customHeight="1" x14ac:dyDescent="0.3">
      <c r="A22" s="11" t="s">
        <v>114</v>
      </c>
      <c r="B22" s="12">
        <v>2</v>
      </c>
      <c r="C22" s="12">
        <v>43</v>
      </c>
      <c r="D22" s="12">
        <v>225</v>
      </c>
      <c r="E22" s="12">
        <v>274</v>
      </c>
      <c r="F22" s="13" t="s">
        <v>115</v>
      </c>
      <c r="G22" s="11" t="s">
        <v>116</v>
      </c>
    </row>
    <row r="23" spans="1:10" ht="19.95" customHeight="1" x14ac:dyDescent="0.3">
      <c r="A23" s="14" t="s">
        <v>117</v>
      </c>
      <c r="B23" s="15">
        <v>0</v>
      </c>
      <c r="C23" s="15">
        <v>8</v>
      </c>
      <c r="D23" s="15">
        <v>31</v>
      </c>
      <c r="E23" s="15">
        <v>34</v>
      </c>
      <c r="F23" s="16" t="s">
        <v>38</v>
      </c>
      <c r="G23" s="14" t="s">
        <v>118</v>
      </c>
    </row>
    <row r="24" spans="1:10" ht="19.95" customHeight="1" x14ac:dyDescent="0.3">
      <c r="A24" s="11" t="s">
        <v>119</v>
      </c>
      <c r="B24" s="12">
        <v>0</v>
      </c>
      <c r="C24" s="12">
        <v>1</v>
      </c>
      <c r="D24" s="12">
        <v>6</v>
      </c>
      <c r="E24" s="12">
        <v>7</v>
      </c>
      <c r="F24" s="13" t="s">
        <v>120</v>
      </c>
      <c r="G24" s="11" t="s">
        <v>121</v>
      </c>
    </row>
    <row r="25" spans="1:10" ht="19.95" customHeight="1" x14ac:dyDescent="0.3">
      <c r="A25" s="14" t="s">
        <v>122</v>
      </c>
      <c r="B25" s="15">
        <v>0</v>
      </c>
      <c r="C25" s="15">
        <v>0</v>
      </c>
      <c r="D25" s="15">
        <v>3</v>
      </c>
      <c r="E25" s="15">
        <v>3</v>
      </c>
      <c r="F25" s="16" t="s">
        <v>123</v>
      </c>
      <c r="G25" s="14" t="s">
        <v>124</v>
      </c>
    </row>
    <row r="26" spans="1:10" ht="19.95" customHeight="1" x14ac:dyDescent="0.3">
      <c r="A26" s="11" t="s">
        <v>125</v>
      </c>
      <c r="B26" s="12">
        <v>0</v>
      </c>
      <c r="C26" s="12">
        <v>20</v>
      </c>
      <c r="D26" s="12">
        <v>126</v>
      </c>
      <c r="E26" s="12">
        <v>144</v>
      </c>
      <c r="F26" s="13" t="s">
        <v>38</v>
      </c>
      <c r="G26" s="11" t="s">
        <v>126</v>
      </c>
    </row>
    <row r="27" spans="1:10" ht="19.95" customHeight="1" x14ac:dyDescent="0.3">
      <c r="A27" s="17" t="s">
        <v>127</v>
      </c>
      <c r="B27" s="18">
        <v>16</v>
      </c>
      <c r="C27" s="18">
        <v>252</v>
      </c>
      <c r="D27" s="18">
        <v>1089</v>
      </c>
      <c r="E27" s="18">
        <v>1136</v>
      </c>
      <c r="F27" s="19" t="s">
        <v>12</v>
      </c>
      <c r="G27" s="17" t="s">
        <v>128</v>
      </c>
    </row>
    <row r="29" spans="1:10" ht="24" customHeight="1" x14ac:dyDescent="0.3">
      <c r="A29" s="9" t="s">
        <v>129</v>
      </c>
    </row>
    <row r="30" spans="1:10" ht="24" customHeight="1" x14ac:dyDescent="0.3">
      <c r="A30" s="10" t="s">
        <v>130</v>
      </c>
      <c r="B30" s="10" t="s">
        <v>131</v>
      </c>
      <c r="C30" s="10" t="s">
        <v>66</v>
      </c>
      <c r="D30" s="10" t="s">
        <v>132</v>
      </c>
      <c r="E30" s="10" t="s">
        <v>133</v>
      </c>
      <c r="F30" s="10" t="s">
        <v>134</v>
      </c>
      <c r="G30" s="10" t="s">
        <v>135</v>
      </c>
      <c r="H30" s="10" t="s">
        <v>136</v>
      </c>
      <c r="I30" s="10" t="s">
        <v>137</v>
      </c>
      <c r="J30" s="10" t="s">
        <v>138</v>
      </c>
    </row>
    <row r="31" spans="1:10" ht="19.95" customHeight="1" x14ac:dyDescent="0.3">
      <c r="A31" s="11" t="s">
        <v>139</v>
      </c>
      <c r="B31" s="11" t="s">
        <v>140</v>
      </c>
      <c r="C31" s="12">
        <v>1</v>
      </c>
      <c r="D31" s="12">
        <v>10</v>
      </c>
      <c r="E31" s="12">
        <v>21</v>
      </c>
      <c r="F31" s="12">
        <v>21</v>
      </c>
      <c r="G31" s="12">
        <v>19</v>
      </c>
      <c r="H31" s="12">
        <v>2</v>
      </c>
      <c r="I31" s="11" t="s">
        <v>141</v>
      </c>
      <c r="J31" s="12">
        <v>1</v>
      </c>
    </row>
    <row r="32" spans="1:10" ht="19.95" customHeight="1" x14ac:dyDescent="0.3">
      <c r="A32" s="14" t="s">
        <v>142</v>
      </c>
      <c r="B32" s="14" t="s">
        <v>143</v>
      </c>
      <c r="C32" s="15">
        <v>2</v>
      </c>
      <c r="D32" s="15">
        <v>43</v>
      </c>
      <c r="E32" s="15">
        <v>466</v>
      </c>
      <c r="F32" s="15">
        <v>466</v>
      </c>
      <c r="G32" s="15">
        <v>300</v>
      </c>
      <c r="H32" s="15">
        <v>166</v>
      </c>
      <c r="I32" s="14" t="s">
        <v>144</v>
      </c>
      <c r="J32" s="15">
        <v>2</v>
      </c>
    </row>
    <row r="33" spans="1:10" ht="19.95" customHeight="1" x14ac:dyDescent="0.3">
      <c r="A33" s="11" t="s">
        <v>145</v>
      </c>
      <c r="B33" s="11" t="s">
        <v>143</v>
      </c>
      <c r="C33" s="12">
        <v>13</v>
      </c>
      <c r="D33" s="12">
        <v>147</v>
      </c>
      <c r="E33" s="12">
        <v>426</v>
      </c>
      <c r="F33" s="12">
        <v>426</v>
      </c>
      <c r="G33" s="12">
        <v>231</v>
      </c>
      <c r="H33" s="12">
        <v>195</v>
      </c>
      <c r="I33" s="11" t="s">
        <v>146</v>
      </c>
      <c r="J33" s="12">
        <v>6</v>
      </c>
    </row>
    <row r="34" spans="1:10" ht="19.95" customHeight="1" x14ac:dyDescent="0.3">
      <c r="A34" s="14" t="s">
        <v>147</v>
      </c>
      <c r="B34" s="14" t="s">
        <v>148</v>
      </c>
      <c r="C34" s="15">
        <v>0</v>
      </c>
      <c r="D34" s="15">
        <v>12</v>
      </c>
      <c r="E34" s="15">
        <v>50</v>
      </c>
      <c r="F34" s="15">
        <v>59</v>
      </c>
      <c r="G34" s="15">
        <v>55</v>
      </c>
      <c r="H34" s="15">
        <v>4</v>
      </c>
      <c r="I34" s="14" t="s">
        <v>149</v>
      </c>
      <c r="J34" s="15">
        <v>23</v>
      </c>
    </row>
    <row r="35" spans="1:10" ht="19.95" customHeight="1" x14ac:dyDescent="0.3">
      <c r="A35" s="11" t="s">
        <v>150</v>
      </c>
      <c r="B35" s="11" t="s">
        <v>148</v>
      </c>
      <c r="C35" s="12">
        <v>0</v>
      </c>
      <c r="D35" s="12">
        <v>13</v>
      </c>
      <c r="E35" s="12">
        <v>68</v>
      </c>
      <c r="F35" s="12">
        <v>86</v>
      </c>
      <c r="G35" s="12">
        <v>83</v>
      </c>
      <c r="H35" s="12">
        <v>3</v>
      </c>
      <c r="I35" s="11" t="s">
        <v>151</v>
      </c>
      <c r="J35" s="12">
        <v>33</v>
      </c>
    </row>
    <row r="36" spans="1:10" ht="19.95" customHeight="1" x14ac:dyDescent="0.3">
      <c r="A36" s="14" t="s">
        <v>152</v>
      </c>
      <c r="B36" s="14" t="s">
        <v>153</v>
      </c>
      <c r="C36" s="15">
        <v>1</v>
      </c>
      <c r="D36" s="15">
        <v>8</v>
      </c>
      <c r="E36" s="15">
        <v>86</v>
      </c>
      <c r="F36" s="15">
        <v>100</v>
      </c>
      <c r="G36" s="15">
        <v>97</v>
      </c>
      <c r="H36" s="15">
        <v>3</v>
      </c>
      <c r="I36" s="14" t="s">
        <v>154</v>
      </c>
      <c r="J36" s="15">
        <v>23</v>
      </c>
    </row>
    <row r="37" spans="1:10" ht="19.95" customHeight="1" x14ac:dyDescent="0.3">
      <c r="A37" s="11" t="s">
        <v>155</v>
      </c>
      <c r="B37" s="11" t="s">
        <v>156</v>
      </c>
      <c r="C37" s="12">
        <v>0</v>
      </c>
      <c r="D37" s="12">
        <v>0</v>
      </c>
      <c r="E37" s="12">
        <v>32</v>
      </c>
      <c r="F37" s="12">
        <v>64</v>
      </c>
      <c r="G37" s="12">
        <v>64</v>
      </c>
      <c r="H37" s="12">
        <v>0</v>
      </c>
      <c r="I37" s="11" t="s">
        <v>157</v>
      </c>
      <c r="J37" s="12">
        <v>30</v>
      </c>
    </row>
    <row r="38" spans="1:10" ht="19.95" customHeight="1" x14ac:dyDescent="0.3">
      <c r="A38" s="14" t="s">
        <v>158</v>
      </c>
      <c r="B38" s="14" t="s">
        <v>159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4" t="s">
        <v>160</v>
      </c>
      <c r="J38" s="15">
        <v>26</v>
      </c>
    </row>
    <row r="39" spans="1:10" ht="19.95" customHeight="1" x14ac:dyDescent="0.3">
      <c r="A39" s="17" t="s">
        <v>161</v>
      </c>
      <c r="B39" s="17" t="s">
        <v>162</v>
      </c>
      <c r="C39" s="18">
        <v>17</v>
      </c>
      <c r="D39" s="18">
        <v>233</v>
      </c>
      <c r="E39" s="18">
        <v>1149</v>
      </c>
      <c r="F39" s="18">
        <v>1222</v>
      </c>
      <c r="G39" s="18">
        <v>849</v>
      </c>
      <c r="H39" s="18">
        <v>373</v>
      </c>
      <c r="I39" s="17" t="s">
        <v>163</v>
      </c>
      <c r="J39" s="18">
        <v>144</v>
      </c>
    </row>
    <row r="41" spans="1:10" ht="24" customHeight="1" x14ac:dyDescent="0.3">
      <c r="A41" s="9" t="s">
        <v>164</v>
      </c>
    </row>
    <row r="42" spans="1:10" ht="24" customHeight="1" x14ac:dyDescent="0.3">
      <c r="A42" s="10" t="s">
        <v>165</v>
      </c>
      <c r="B42" s="10" t="s">
        <v>166</v>
      </c>
      <c r="C42" s="10" t="s">
        <v>132</v>
      </c>
      <c r="D42" s="10" t="s">
        <v>133</v>
      </c>
      <c r="E42" s="10" t="s">
        <v>134</v>
      </c>
      <c r="F42" s="10" t="s">
        <v>167</v>
      </c>
      <c r="G42" s="10" t="s">
        <v>168</v>
      </c>
      <c r="H42" s="10" t="s">
        <v>169</v>
      </c>
      <c r="I42" s="10" t="s">
        <v>170</v>
      </c>
    </row>
    <row r="43" spans="1:10" ht="19.95" customHeight="1" x14ac:dyDescent="0.3">
      <c r="A43" s="11" t="s">
        <v>171</v>
      </c>
      <c r="B43" s="12">
        <v>10</v>
      </c>
      <c r="C43" s="12">
        <v>122</v>
      </c>
      <c r="D43" s="12">
        <v>356</v>
      </c>
      <c r="E43" s="12">
        <v>380</v>
      </c>
      <c r="F43" s="12">
        <v>204</v>
      </c>
      <c r="G43" s="12">
        <v>176</v>
      </c>
      <c r="H43" s="13" t="s">
        <v>172</v>
      </c>
      <c r="I43" s="11" t="s">
        <v>173</v>
      </c>
    </row>
    <row r="44" spans="1:10" ht="19.95" customHeight="1" x14ac:dyDescent="0.3">
      <c r="A44" s="14" t="s">
        <v>174</v>
      </c>
      <c r="B44" s="15">
        <v>3</v>
      </c>
      <c r="C44" s="15">
        <v>52</v>
      </c>
      <c r="D44" s="15">
        <v>154</v>
      </c>
      <c r="E44" s="15">
        <v>163</v>
      </c>
      <c r="F44" s="15">
        <v>75</v>
      </c>
      <c r="G44" s="15">
        <v>88</v>
      </c>
      <c r="H44" s="16" t="s">
        <v>175</v>
      </c>
      <c r="I44" s="14" t="s">
        <v>176</v>
      </c>
    </row>
    <row r="45" spans="1:10" ht="19.95" customHeight="1" x14ac:dyDescent="0.3">
      <c r="A45" s="11" t="s">
        <v>177</v>
      </c>
      <c r="B45" s="12">
        <v>1</v>
      </c>
      <c r="C45" s="12">
        <v>7</v>
      </c>
      <c r="D45" s="12">
        <v>24</v>
      </c>
      <c r="E45" s="12">
        <v>26</v>
      </c>
      <c r="F45" s="12">
        <v>16</v>
      </c>
      <c r="G45" s="12">
        <v>10</v>
      </c>
      <c r="H45" s="13" t="s">
        <v>178</v>
      </c>
      <c r="I45" s="11" t="s">
        <v>179</v>
      </c>
    </row>
    <row r="46" spans="1:10" ht="19.95" customHeight="1" x14ac:dyDescent="0.3">
      <c r="A46" s="14" t="s">
        <v>180</v>
      </c>
      <c r="B46" s="15">
        <v>1</v>
      </c>
      <c r="C46" s="15">
        <v>38</v>
      </c>
      <c r="D46" s="15">
        <v>149</v>
      </c>
      <c r="E46" s="15">
        <v>158</v>
      </c>
      <c r="F46" s="15">
        <v>43</v>
      </c>
      <c r="G46" s="15">
        <v>115</v>
      </c>
      <c r="H46" s="16" t="s">
        <v>181</v>
      </c>
      <c r="I46" s="14" t="s">
        <v>182</v>
      </c>
    </row>
    <row r="47" spans="1:10" ht="19.95" customHeight="1" x14ac:dyDescent="0.3">
      <c r="A47" s="11" t="s">
        <v>183</v>
      </c>
      <c r="B47" s="12">
        <v>1</v>
      </c>
      <c r="C47" s="12">
        <v>29</v>
      </c>
      <c r="D47" s="12">
        <v>144</v>
      </c>
      <c r="E47" s="12">
        <v>152</v>
      </c>
      <c r="F47" s="12">
        <v>10</v>
      </c>
      <c r="G47" s="12">
        <v>142</v>
      </c>
      <c r="H47" s="13" t="s">
        <v>184</v>
      </c>
      <c r="I47" s="11" t="s">
        <v>185</v>
      </c>
    </row>
    <row r="48" spans="1:10" ht="19.95" customHeight="1" x14ac:dyDescent="0.3">
      <c r="A48" s="14" t="s">
        <v>186</v>
      </c>
      <c r="B48" s="15">
        <v>0</v>
      </c>
      <c r="C48" s="15">
        <v>4</v>
      </c>
      <c r="D48" s="15">
        <v>19</v>
      </c>
      <c r="E48" s="15">
        <v>21</v>
      </c>
      <c r="F48" s="15">
        <v>21</v>
      </c>
      <c r="G48" s="15">
        <v>0</v>
      </c>
      <c r="H48" s="16" t="s">
        <v>187</v>
      </c>
      <c r="I48" s="14" t="s">
        <v>188</v>
      </c>
    </row>
    <row r="49" spans="1:9" ht="19.95" customHeight="1" x14ac:dyDescent="0.3">
      <c r="A49" s="11" t="s">
        <v>189</v>
      </c>
      <c r="B49" s="12">
        <v>0</v>
      </c>
      <c r="C49" s="12">
        <v>43</v>
      </c>
      <c r="D49" s="12">
        <v>237</v>
      </c>
      <c r="E49" s="12">
        <v>278</v>
      </c>
      <c r="F49" s="12">
        <v>46</v>
      </c>
      <c r="G49" s="12">
        <v>232</v>
      </c>
      <c r="H49" s="13" t="s">
        <v>190</v>
      </c>
      <c r="I49" s="11" t="s">
        <v>191</v>
      </c>
    </row>
    <row r="50" spans="1:9" ht="19.95" customHeight="1" x14ac:dyDescent="0.3">
      <c r="A50" s="17" t="s">
        <v>192</v>
      </c>
      <c r="B50" s="18">
        <v>16</v>
      </c>
      <c r="C50" s="18">
        <v>252</v>
      </c>
      <c r="D50" s="18">
        <v>1089</v>
      </c>
      <c r="E50" s="18">
        <v>1136</v>
      </c>
      <c r="F50" s="18">
        <v>402</v>
      </c>
      <c r="G50" s="18">
        <v>734</v>
      </c>
      <c r="H50" s="19" t="s">
        <v>12</v>
      </c>
      <c r="I50" s="17" t="s">
        <v>193</v>
      </c>
    </row>
    <row r="52" spans="1:9" ht="24" customHeight="1" x14ac:dyDescent="0.3">
      <c r="A52" s="9" t="s">
        <v>194</v>
      </c>
    </row>
    <row r="53" spans="1:9" ht="24" customHeight="1" x14ac:dyDescent="0.3">
      <c r="A53" s="10" t="s">
        <v>195</v>
      </c>
      <c r="B53" s="10" t="s">
        <v>166</v>
      </c>
      <c r="C53" s="10" t="s">
        <v>132</v>
      </c>
      <c r="D53" s="10" t="s">
        <v>133</v>
      </c>
      <c r="E53" s="10" t="s">
        <v>134</v>
      </c>
      <c r="F53" s="10" t="s">
        <v>196</v>
      </c>
      <c r="G53" s="10" t="s">
        <v>197</v>
      </c>
      <c r="H53" s="10" t="s">
        <v>198</v>
      </c>
    </row>
    <row r="54" spans="1:9" ht="19.95" customHeight="1" x14ac:dyDescent="0.3">
      <c r="A54" s="11" t="s">
        <v>199</v>
      </c>
      <c r="B54" s="12">
        <v>1</v>
      </c>
      <c r="C54" s="12">
        <v>8</v>
      </c>
      <c r="D54" s="12">
        <v>28</v>
      </c>
      <c r="E54" s="12">
        <v>32</v>
      </c>
      <c r="F54" s="11" t="s">
        <v>200</v>
      </c>
      <c r="G54" s="13" t="s">
        <v>201</v>
      </c>
      <c r="H54" s="11" t="s">
        <v>202</v>
      </c>
    </row>
    <row r="55" spans="1:9" ht="19.95" customHeight="1" x14ac:dyDescent="0.3">
      <c r="A55" s="14" t="s">
        <v>203</v>
      </c>
      <c r="B55" s="15">
        <v>0</v>
      </c>
      <c r="C55" s="15">
        <v>3</v>
      </c>
      <c r="D55" s="15">
        <v>10</v>
      </c>
      <c r="E55" s="15">
        <v>12</v>
      </c>
      <c r="F55" s="14" t="s">
        <v>204</v>
      </c>
      <c r="G55" s="16" t="s">
        <v>205</v>
      </c>
      <c r="H55" s="14" t="s">
        <v>206</v>
      </c>
    </row>
    <row r="56" spans="1:9" ht="19.95" customHeight="1" x14ac:dyDescent="0.3">
      <c r="A56" s="11" t="s">
        <v>207</v>
      </c>
      <c r="B56" s="12">
        <v>0</v>
      </c>
      <c r="C56" s="12">
        <v>6</v>
      </c>
      <c r="D56" s="12">
        <v>26</v>
      </c>
      <c r="E56" s="12">
        <v>31</v>
      </c>
      <c r="F56" s="11" t="s">
        <v>204</v>
      </c>
      <c r="G56" s="13" t="s">
        <v>208</v>
      </c>
      <c r="H56" s="11" t="s">
        <v>209</v>
      </c>
    </row>
    <row r="57" spans="1:9" ht="19.95" customHeight="1" x14ac:dyDescent="0.3">
      <c r="A57" s="14" t="s">
        <v>210</v>
      </c>
      <c r="B57" s="15">
        <v>1</v>
      </c>
      <c r="C57" s="15">
        <v>4</v>
      </c>
      <c r="D57" s="15">
        <v>14</v>
      </c>
      <c r="E57" s="15">
        <v>16</v>
      </c>
      <c r="F57" s="14" t="s">
        <v>211</v>
      </c>
      <c r="G57" s="16" t="s">
        <v>212</v>
      </c>
      <c r="H57" s="14" t="s">
        <v>213</v>
      </c>
    </row>
    <row r="58" spans="1:9" ht="19.95" customHeight="1" x14ac:dyDescent="0.3">
      <c r="A58" s="11" t="s">
        <v>214</v>
      </c>
      <c r="B58" s="12">
        <v>0</v>
      </c>
      <c r="C58" s="12">
        <v>1</v>
      </c>
      <c r="D58" s="12">
        <v>5</v>
      </c>
      <c r="E58" s="12">
        <v>6</v>
      </c>
      <c r="F58" s="11" t="s">
        <v>211</v>
      </c>
      <c r="G58" s="13" t="s">
        <v>215</v>
      </c>
      <c r="H58" s="11" t="s">
        <v>216</v>
      </c>
    </row>
    <row r="59" spans="1:9" ht="19.95" customHeight="1" x14ac:dyDescent="0.3">
      <c r="A59" s="14" t="s">
        <v>217</v>
      </c>
      <c r="B59" s="15">
        <v>0</v>
      </c>
      <c r="C59" s="15">
        <v>8</v>
      </c>
      <c r="D59" s="15">
        <v>31</v>
      </c>
      <c r="E59" s="15">
        <v>34</v>
      </c>
      <c r="F59" s="14" t="s">
        <v>218</v>
      </c>
      <c r="G59" s="16" t="s">
        <v>38</v>
      </c>
      <c r="H59" s="14" t="s">
        <v>219</v>
      </c>
    </row>
    <row r="60" spans="1:9" ht="19.95" customHeight="1" x14ac:dyDescent="0.3">
      <c r="A60" s="11" t="s">
        <v>220</v>
      </c>
      <c r="B60" s="12">
        <v>0</v>
      </c>
      <c r="C60" s="12">
        <v>1</v>
      </c>
      <c r="D60" s="12">
        <v>6</v>
      </c>
      <c r="E60" s="12">
        <v>7</v>
      </c>
      <c r="F60" s="11" t="s">
        <v>218</v>
      </c>
      <c r="G60" s="13" t="s">
        <v>120</v>
      </c>
      <c r="H60" s="11" t="s">
        <v>221</v>
      </c>
    </row>
    <row r="61" spans="1:9" ht="19.95" customHeight="1" x14ac:dyDescent="0.3">
      <c r="A61" s="14" t="s">
        <v>222</v>
      </c>
      <c r="B61" s="15">
        <v>0</v>
      </c>
      <c r="C61" s="15">
        <v>0</v>
      </c>
      <c r="D61" s="15">
        <v>3</v>
      </c>
      <c r="E61" s="15">
        <v>3</v>
      </c>
      <c r="F61" s="14" t="s">
        <v>223</v>
      </c>
      <c r="G61" s="16" t="s">
        <v>123</v>
      </c>
      <c r="H61" s="14" t="s">
        <v>224</v>
      </c>
    </row>
    <row r="62" spans="1:9" ht="19.95" customHeight="1" x14ac:dyDescent="0.3">
      <c r="A62" s="11" t="s">
        <v>225</v>
      </c>
      <c r="B62" s="12">
        <v>0</v>
      </c>
      <c r="C62" s="12">
        <v>12</v>
      </c>
      <c r="D62" s="12">
        <v>69</v>
      </c>
      <c r="E62" s="12">
        <v>82</v>
      </c>
      <c r="F62" s="11" t="s">
        <v>226</v>
      </c>
      <c r="G62" s="13" t="s">
        <v>227</v>
      </c>
      <c r="H62" s="11" t="s">
        <v>228</v>
      </c>
    </row>
    <row r="63" spans="1:9" ht="19.95" customHeight="1" x14ac:dyDescent="0.3">
      <c r="A63" s="14" t="s">
        <v>229</v>
      </c>
      <c r="B63" s="15">
        <v>0</v>
      </c>
      <c r="C63" s="15">
        <v>1</v>
      </c>
      <c r="D63" s="15">
        <v>8</v>
      </c>
      <c r="E63" s="15">
        <v>9</v>
      </c>
      <c r="F63" s="14" t="s">
        <v>200</v>
      </c>
      <c r="G63" s="16" t="s">
        <v>230</v>
      </c>
      <c r="H63" s="14" t="s">
        <v>231</v>
      </c>
    </row>
    <row r="64" spans="1:9" ht="19.95" customHeight="1" x14ac:dyDescent="0.3">
      <c r="A64" s="17" t="s">
        <v>232</v>
      </c>
      <c r="B64" s="18">
        <v>2</v>
      </c>
      <c r="C64" s="18">
        <v>43</v>
      </c>
      <c r="D64" s="18">
        <v>225</v>
      </c>
      <c r="E64" s="18">
        <v>274</v>
      </c>
      <c r="F64" s="17" t="s">
        <v>233</v>
      </c>
      <c r="G64" s="19" t="s">
        <v>12</v>
      </c>
      <c r="H64" s="17" t="s">
        <v>234</v>
      </c>
    </row>
    <row r="66" spans="1:8" ht="24" customHeight="1" x14ac:dyDescent="0.3">
      <c r="A66" s="9" t="s">
        <v>235</v>
      </c>
    </row>
    <row r="67" spans="1:8" ht="24" customHeight="1" x14ac:dyDescent="0.3">
      <c r="A67" s="10" t="s">
        <v>236</v>
      </c>
      <c r="B67" s="10" t="s">
        <v>237</v>
      </c>
      <c r="C67" s="10" t="s">
        <v>238</v>
      </c>
      <c r="D67" s="10" t="s">
        <v>239</v>
      </c>
      <c r="E67" s="10" t="s">
        <v>240</v>
      </c>
      <c r="F67" s="10" t="s">
        <v>241</v>
      </c>
    </row>
    <row r="68" spans="1:8" ht="19.95" customHeight="1" x14ac:dyDescent="0.3">
      <c r="A68" s="11" t="s">
        <v>242</v>
      </c>
      <c r="B68" s="12">
        <v>18</v>
      </c>
      <c r="C68" s="13" t="s">
        <v>243</v>
      </c>
      <c r="D68" s="11" t="s">
        <v>244</v>
      </c>
      <c r="E68" s="11" t="s">
        <v>245</v>
      </c>
      <c r="F68" s="11" t="s">
        <v>246</v>
      </c>
    </row>
    <row r="69" spans="1:8" ht="19.95" customHeight="1" x14ac:dyDescent="0.3">
      <c r="A69" s="14" t="s">
        <v>247</v>
      </c>
      <c r="B69" s="15">
        <v>17</v>
      </c>
      <c r="C69" s="16" t="s">
        <v>248</v>
      </c>
      <c r="D69" s="14" t="s">
        <v>249</v>
      </c>
      <c r="E69" s="14" t="s">
        <v>250</v>
      </c>
      <c r="F69" s="14" t="s">
        <v>251</v>
      </c>
    </row>
    <row r="70" spans="1:8" ht="19.95" customHeight="1" x14ac:dyDescent="0.3">
      <c r="A70" s="11" t="s">
        <v>252</v>
      </c>
      <c r="B70" s="12">
        <v>11</v>
      </c>
      <c r="C70" s="13" t="s">
        <v>184</v>
      </c>
      <c r="D70" s="11" t="s">
        <v>253</v>
      </c>
      <c r="E70" s="11" t="s">
        <v>254</v>
      </c>
      <c r="F70" s="11" t="s">
        <v>255</v>
      </c>
    </row>
    <row r="71" spans="1:8" ht="19.95" customHeight="1" x14ac:dyDescent="0.3">
      <c r="A71" s="14" t="s">
        <v>256</v>
      </c>
      <c r="B71" s="15">
        <v>10</v>
      </c>
      <c r="C71" s="16" t="s">
        <v>257</v>
      </c>
      <c r="D71" s="14" t="s">
        <v>258</v>
      </c>
      <c r="E71" s="14" t="s">
        <v>259</v>
      </c>
      <c r="F71" s="14" t="s">
        <v>260</v>
      </c>
    </row>
    <row r="72" spans="1:8" ht="19.95" customHeight="1" x14ac:dyDescent="0.3">
      <c r="A72" s="11" t="s">
        <v>261</v>
      </c>
      <c r="B72" s="12">
        <v>4</v>
      </c>
      <c r="C72" s="13" t="s">
        <v>262</v>
      </c>
      <c r="D72" s="11" t="s">
        <v>263</v>
      </c>
      <c r="E72" s="11" t="s">
        <v>264</v>
      </c>
      <c r="F72" s="11" t="s">
        <v>265</v>
      </c>
    </row>
    <row r="73" spans="1:8" ht="19.95" customHeight="1" x14ac:dyDescent="0.3">
      <c r="A73" s="14" t="s">
        <v>266</v>
      </c>
      <c r="B73" s="15">
        <v>2</v>
      </c>
      <c r="C73" s="16" t="s">
        <v>267</v>
      </c>
      <c r="D73" s="14" t="s">
        <v>268</v>
      </c>
      <c r="E73" s="14" t="s">
        <v>269</v>
      </c>
      <c r="F73" s="14" t="s">
        <v>270</v>
      </c>
    </row>
    <row r="74" spans="1:8" ht="19.95" customHeight="1" x14ac:dyDescent="0.3">
      <c r="A74" s="11" t="s">
        <v>271</v>
      </c>
      <c r="B74" s="12">
        <v>1</v>
      </c>
      <c r="C74" s="13" t="s">
        <v>272</v>
      </c>
      <c r="D74" s="11" t="s">
        <v>273</v>
      </c>
      <c r="E74" s="11" t="s">
        <v>274</v>
      </c>
      <c r="F74" s="11" t="s">
        <v>275</v>
      </c>
    </row>
    <row r="75" spans="1:8" ht="19.95" customHeight="1" x14ac:dyDescent="0.3">
      <c r="A75" s="14" t="s">
        <v>276</v>
      </c>
      <c r="B75" s="15">
        <v>19</v>
      </c>
      <c r="C75" s="16" t="s">
        <v>277</v>
      </c>
      <c r="D75" s="14" t="s">
        <v>278</v>
      </c>
      <c r="E75" s="14" t="s">
        <v>279</v>
      </c>
      <c r="F75" s="14" t="s">
        <v>280</v>
      </c>
    </row>
    <row r="76" spans="1:8" ht="19.95" customHeight="1" x14ac:dyDescent="0.3">
      <c r="A76" s="17" t="s">
        <v>281</v>
      </c>
      <c r="B76" s="18">
        <v>82</v>
      </c>
      <c r="C76" s="19" t="s">
        <v>12</v>
      </c>
      <c r="D76" s="17" t="s">
        <v>282</v>
      </c>
      <c r="E76" s="17" t="s">
        <v>283</v>
      </c>
      <c r="F76" s="17" t="s">
        <v>284</v>
      </c>
    </row>
    <row r="78" spans="1:8" ht="24" customHeight="1" x14ac:dyDescent="0.3">
      <c r="A78" s="9" t="s">
        <v>285</v>
      </c>
    </row>
    <row r="79" spans="1:8" ht="24" customHeight="1" x14ac:dyDescent="0.3">
      <c r="A79" s="10" t="s">
        <v>286</v>
      </c>
      <c r="B79" s="10" t="s">
        <v>287</v>
      </c>
      <c r="C79" s="10" t="s">
        <v>166</v>
      </c>
      <c r="D79" s="10" t="s">
        <v>132</v>
      </c>
      <c r="E79" s="10" t="s">
        <v>133</v>
      </c>
      <c r="F79" s="10" t="s">
        <v>288</v>
      </c>
      <c r="G79" s="10" t="s">
        <v>169</v>
      </c>
      <c r="H79" s="10" t="s">
        <v>289</v>
      </c>
    </row>
    <row r="80" spans="1:8" ht="19.95" customHeight="1" x14ac:dyDescent="0.3">
      <c r="A80" s="11" t="s">
        <v>290</v>
      </c>
      <c r="B80" s="12">
        <v>127</v>
      </c>
      <c r="C80" s="12">
        <v>0</v>
      </c>
      <c r="D80" s="12">
        <v>18</v>
      </c>
      <c r="E80" s="12">
        <v>111</v>
      </c>
      <c r="F80" s="12">
        <v>127</v>
      </c>
      <c r="G80" s="13" t="s">
        <v>291</v>
      </c>
      <c r="H80" s="11" t="s">
        <v>292</v>
      </c>
    </row>
    <row r="81" spans="1:8" ht="19.95" customHeight="1" x14ac:dyDescent="0.3">
      <c r="A81" s="14" t="s">
        <v>293</v>
      </c>
      <c r="B81" s="15">
        <v>14</v>
      </c>
      <c r="C81" s="15">
        <v>0</v>
      </c>
      <c r="D81" s="15">
        <v>1</v>
      </c>
      <c r="E81" s="15">
        <v>13</v>
      </c>
      <c r="F81" s="15">
        <v>14</v>
      </c>
      <c r="G81" s="16" t="s">
        <v>294</v>
      </c>
      <c r="H81" s="14" t="s">
        <v>295</v>
      </c>
    </row>
    <row r="82" spans="1:8" ht="19.95" customHeight="1" x14ac:dyDescent="0.3">
      <c r="A82" s="11" t="s">
        <v>296</v>
      </c>
      <c r="B82" s="12">
        <v>2</v>
      </c>
      <c r="C82" s="12">
        <v>0</v>
      </c>
      <c r="D82" s="12">
        <v>1</v>
      </c>
      <c r="E82" s="12">
        <v>1</v>
      </c>
      <c r="F82" s="12">
        <v>2</v>
      </c>
      <c r="G82" s="13" t="s">
        <v>297</v>
      </c>
      <c r="H82" s="11" t="s">
        <v>298</v>
      </c>
    </row>
    <row r="83" spans="1:8" ht="19.95" customHeight="1" x14ac:dyDescent="0.3">
      <c r="A83" s="14" t="s">
        <v>299</v>
      </c>
      <c r="B83" s="15">
        <v>1</v>
      </c>
      <c r="C83" s="15">
        <v>0</v>
      </c>
      <c r="D83" s="15">
        <v>0</v>
      </c>
      <c r="E83" s="15">
        <v>1</v>
      </c>
      <c r="F83" s="15">
        <v>1</v>
      </c>
      <c r="G83" s="16" t="s">
        <v>300</v>
      </c>
      <c r="H83" s="14" t="s">
        <v>301</v>
      </c>
    </row>
    <row r="84" spans="1:8" ht="19.95" customHeight="1" x14ac:dyDescent="0.3">
      <c r="A84" s="11" t="s">
        <v>302</v>
      </c>
      <c r="B84" s="12">
        <v>112</v>
      </c>
      <c r="C84" s="12">
        <v>0</v>
      </c>
      <c r="D84" s="12">
        <v>16</v>
      </c>
      <c r="E84" s="12">
        <v>98</v>
      </c>
      <c r="F84" s="12">
        <v>112</v>
      </c>
      <c r="G84" s="13" t="s">
        <v>303</v>
      </c>
      <c r="H84" s="11" t="s">
        <v>304</v>
      </c>
    </row>
    <row r="85" spans="1:8" ht="19.95" customHeight="1" x14ac:dyDescent="0.3">
      <c r="A85" s="14" t="s">
        <v>305</v>
      </c>
      <c r="B85" s="15">
        <v>16</v>
      </c>
      <c r="C85" s="15">
        <v>0</v>
      </c>
      <c r="D85" s="15">
        <v>2</v>
      </c>
      <c r="E85" s="15">
        <v>14</v>
      </c>
      <c r="F85" s="15">
        <v>16</v>
      </c>
      <c r="G85" s="16" t="s">
        <v>306</v>
      </c>
      <c r="H85" s="14" t="s">
        <v>307</v>
      </c>
    </row>
    <row r="86" spans="1:8" ht="19.95" customHeight="1" x14ac:dyDescent="0.3">
      <c r="A86" s="11" t="s">
        <v>308</v>
      </c>
      <c r="B86" s="12">
        <v>8</v>
      </c>
      <c r="C86" s="12">
        <v>0</v>
      </c>
      <c r="D86" s="12">
        <v>1</v>
      </c>
      <c r="E86" s="12">
        <v>7</v>
      </c>
      <c r="F86" s="12">
        <v>8</v>
      </c>
      <c r="G86" s="13" t="s">
        <v>309</v>
      </c>
      <c r="H86" s="11" t="s">
        <v>310</v>
      </c>
    </row>
    <row r="87" spans="1:8" ht="19.95" customHeight="1" x14ac:dyDescent="0.3">
      <c r="A87" s="14" t="s">
        <v>311</v>
      </c>
      <c r="B87" s="15">
        <v>5</v>
      </c>
      <c r="C87" s="15">
        <v>0</v>
      </c>
      <c r="D87" s="15">
        <v>1</v>
      </c>
      <c r="E87" s="15">
        <v>4</v>
      </c>
      <c r="F87" s="15">
        <v>5</v>
      </c>
      <c r="G87" s="16" t="s">
        <v>312</v>
      </c>
      <c r="H87" s="14" t="s">
        <v>313</v>
      </c>
    </row>
    <row r="88" spans="1:8" ht="19.95" customHeight="1" x14ac:dyDescent="0.3">
      <c r="A88" s="11" t="s">
        <v>314</v>
      </c>
      <c r="B88" s="12">
        <v>3</v>
      </c>
      <c r="C88" s="12">
        <v>0</v>
      </c>
      <c r="D88" s="12">
        <v>0</v>
      </c>
      <c r="E88" s="12">
        <v>3</v>
      </c>
      <c r="F88" s="12">
        <v>3</v>
      </c>
      <c r="G88" s="13" t="s">
        <v>315</v>
      </c>
      <c r="H88" s="11" t="s">
        <v>316</v>
      </c>
    </row>
    <row r="89" spans="1:8" ht="19.95" customHeight="1" x14ac:dyDescent="0.3">
      <c r="A89" s="14" t="s">
        <v>317</v>
      </c>
      <c r="B89" s="15">
        <v>142</v>
      </c>
      <c r="C89" s="15">
        <v>0</v>
      </c>
      <c r="D89" s="15">
        <v>20</v>
      </c>
      <c r="E89" s="15">
        <v>124</v>
      </c>
      <c r="F89" s="15">
        <v>142</v>
      </c>
      <c r="G89" s="16" t="s">
        <v>318</v>
      </c>
      <c r="H89" s="14" t="s">
        <v>319</v>
      </c>
    </row>
    <row r="90" spans="1:8" ht="19.95" customHeight="1" x14ac:dyDescent="0.3">
      <c r="A90" s="11" t="s">
        <v>320</v>
      </c>
      <c r="B90" s="12">
        <v>2</v>
      </c>
      <c r="C90" s="12">
        <v>0</v>
      </c>
      <c r="D90" s="12">
        <v>0</v>
      </c>
      <c r="E90" s="12">
        <v>2</v>
      </c>
      <c r="F90" s="12">
        <v>2</v>
      </c>
      <c r="G90" s="13" t="s">
        <v>297</v>
      </c>
      <c r="H90" s="11" t="s">
        <v>321</v>
      </c>
    </row>
    <row r="91" spans="1:8" ht="19.95" customHeight="1" x14ac:dyDescent="0.3">
      <c r="A91" s="14" t="s">
        <v>322</v>
      </c>
      <c r="B91" s="15">
        <v>33</v>
      </c>
      <c r="C91" s="15">
        <v>0</v>
      </c>
      <c r="D91" s="15">
        <v>2</v>
      </c>
      <c r="E91" s="15">
        <v>6</v>
      </c>
      <c r="F91" s="15">
        <v>33</v>
      </c>
      <c r="G91" s="16" t="s">
        <v>323</v>
      </c>
      <c r="H91" s="14" t="s">
        <v>324</v>
      </c>
    </row>
    <row r="92" spans="1:8" ht="19.95" customHeight="1" x14ac:dyDescent="0.3">
      <c r="A92" s="11" t="s">
        <v>325</v>
      </c>
      <c r="B92" s="12">
        <v>30</v>
      </c>
      <c r="C92" s="12">
        <v>0</v>
      </c>
      <c r="D92" s="12">
        <v>17</v>
      </c>
      <c r="E92" s="12">
        <v>28</v>
      </c>
      <c r="F92" s="12">
        <v>30</v>
      </c>
      <c r="G92" s="13" t="s">
        <v>326</v>
      </c>
      <c r="H92" s="11" t="s">
        <v>327</v>
      </c>
    </row>
    <row r="93" spans="1:8" ht="19.95" customHeight="1" x14ac:dyDescent="0.3">
      <c r="A93" s="14" t="s">
        <v>328</v>
      </c>
      <c r="B93" s="15">
        <v>26</v>
      </c>
      <c r="C93" s="15">
        <v>0</v>
      </c>
      <c r="D93" s="15">
        <v>14</v>
      </c>
      <c r="E93" s="15">
        <v>26</v>
      </c>
      <c r="F93" s="15">
        <v>26</v>
      </c>
      <c r="G93" s="16" t="s">
        <v>329</v>
      </c>
      <c r="H93" s="14" t="s">
        <v>330</v>
      </c>
    </row>
    <row r="94" spans="1:8" ht="19.95" customHeight="1" x14ac:dyDescent="0.3">
      <c r="A94" s="11" t="s">
        <v>331</v>
      </c>
      <c r="B94" s="12">
        <v>23</v>
      </c>
      <c r="C94" s="12">
        <v>0</v>
      </c>
      <c r="D94" s="12">
        <v>1</v>
      </c>
      <c r="E94" s="12">
        <v>5</v>
      </c>
      <c r="F94" s="12">
        <v>23</v>
      </c>
      <c r="G94" s="13" t="s">
        <v>332</v>
      </c>
      <c r="H94" s="11" t="s">
        <v>333</v>
      </c>
    </row>
    <row r="95" spans="1:8" ht="19.95" customHeight="1" x14ac:dyDescent="0.3">
      <c r="A95" s="14" t="s">
        <v>334</v>
      </c>
      <c r="B95" s="15">
        <v>23</v>
      </c>
      <c r="C95" s="15">
        <v>0</v>
      </c>
      <c r="D95" s="15">
        <v>0</v>
      </c>
      <c r="E95" s="15">
        <v>5</v>
      </c>
      <c r="F95" s="15">
        <v>23</v>
      </c>
      <c r="G95" s="16" t="s">
        <v>332</v>
      </c>
      <c r="H95" s="14" t="s">
        <v>324</v>
      </c>
    </row>
    <row r="96" spans="1:8" ht="19.95" customHeight="1" x14ac:dyDescent="0.3">
      <c r="A96" s="11" t="s">
        <v>335</v>
      </c>
      <c r="B96" s="12">
        <v>6</v>
      </c>
      <c r="C96" s="12">
        <v>0</v>
      </c>
      <c r="D96" s="12">
        <v>2</v>
      </c>
      <c r="E96" s="12">
        <v>6</v>
      </c>
      <c r="F96" s="12">
        <v>6</v>
      </c>
      <c r="G96" s="13" t="s">
        <v>336</v>
      </c>
      <c r="H96" s="11" t="s">
        <v>337</v>
      </c>
    </row>
    <row r="97" spans="1:8" ht="19.95" customHeight="1" x14ac:dyDescent="0.3">
      <c r="A97" s="14" t="s">
        <v>338</v>
      </c>
      <c r="B97" s="15">
        <v>2</v>
      </c>
      <c r="C97" s="15">
        <v>0</v>
      </c>
      <c r="D97" s="15">
        <v>1</v>
      </c>
      <c r="E97" s="15">
        <v>2</v>
      </c>
      <c r="F97" s="15">
        <v>2</v>
      </c>
      <c r="G97" s="16" t="s">
        <v>297</v>
      </c>
      <c r="H97" s="14" t="s">
        <v>337</v>
      </c>
    </row>
    <row r="98" spans="1:8" ht="19.95" customHeight="1" x14ac:dyDescent="0.3">
      <c r="A98" s="11" t="s">
        <v>339</v>
      </c>
      <c r="B98" s="12">
        <v>1</v>
      </c>
      <c r="C98" s="12">
        <v>0</v>
      </c>
      <c r="D98" s="12">
        <v>0</v>
      </c>
      <c r="E98" s="12">
        <v>1</v>
      </c>
      <c r="F98" s="12">
        <v>1</v>
      </c>
      <c r="G98" s="13" t="s">
        <v>300</v>
      </c>
      <c r="H98" s="11" t="s">
        <v>340</v>
      </c>
    </row>
    <row r="99" spans="1:8" ht="19.95" customHeight="1" x14ac:dyDescent="0.3">
      <c r="A99" s="17" t="s">
        <v>341</v>
      </c>
      <c r="B99" s="18">
        <v>144</v>
      </c>
      <c r="C99" s="18">
        <v>0</v>
      </c>
      <c r="D99" s="18">
        <v>20</v>
      </c>
      <c r="E99" s="18">
        <v>126</v>
      </c>
      <c r="F99" s="18">
        <v>144</v>
      </c>
      <c r="G99" s="19" t="s">
        <v>12</v>
      </c>
      <c r="H99" s="17" t="s">
        <v>342</v>
      </c>
    </row>
  </sheetData>
  <mergeCells count="3">
    <mergeCell ref="A1:I1"/>
    <mergeCell ref="B5:I5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1"/>
  <sheetViews>
    <sheetView workbookViewId="0">
      <pane ySplit="1" topLeftCell="A473" activePane="bottomLeft" state="frozen"/>
      <selection pane="bottomLeft" activeCell="G78" sqref="G78"/>
    </sheetView>
  </sheetViews>
  <sheetFormatPr defaultRowHeight="14.4" x14ac:dyDescent="0.3"/>
  <cols>
    <col min="1" max="1" width="22" customWidth="1"/>
    <col min="2" max="2" width="25" customWidth="1"/>
    <col min="3" max="4" width="42" customWidth="1"/>
    <col min="5" max="5" width="23" customWidth="1"/>
    <col min="6" max="6" width="39" customWidth="1"/>
    <col min="7" max="7" width="33" customWidth="1"/>
    <col min="8" max="8" width="36" customWidth="1"/>
    <col min="9" max="9" width="65" customWidth="1"/>
  </cols>
  <sheetData>
    <row r="1" spans="1:9" ht="28.05" customHeight="1" x14ac:dyDescent="0.3">
      <c r="A1" s="20" t="s">
        <v>343</v>
      </c>
      <c r="B1" s="20" t="s">
        <v>344</v>
      </c>
      <c r="C1" s="20" t="s">
        <v>345</v>
      </c>
      <c r="D1" s="20" t="s">
        <v>346</v>
      </c>
      <c r="E1" s="20" t="s">
        <v>347</v>
      </c>
      <c r="F1" s="20" t="s">
        <v>348</v>
      </c>
      <c r="G1" s="20" t="s">
        <v>349</v>
      </c>
      <c r="H1" s="20" t="s">
        <v>350</v>
      </c>
      <c r="I1" s="20" t="s">
        <v>351</v>
      </c>
    </row>
    <row r="2" spans="1:9" ht="19.95" customHeight="1" x14ac:dyDescent="0.3">
      <c r="A2" s="21">
        <v>46293.653224571761</v>
      </c>
      <c r="B2" s="22" t="s">
        <v>352</v>
      </c>
      <c r="C2" s="11" t="s">
        <v>353</v>
      </c>
      <c r="D2" s="11" t="s">
        <v>354</v>
      </c>
      <c r="E2" s="11" t="s">
        <v>145</v>
      </c>
      <c r="F2" s="11" t="s">
        <v>355</v>
      </c>
      <c r="G2" s="11" t="s">
        <v>356</v>
      </c>
      <c r="H2" s="11" t="s">
        <v>357</v>
      </c>
      <c r="I2" s="11" t="s">
        <v>38</v>
      </c>
    </row>
    <row r="3" spans="1:9" ht="19.95" customHeight="1" x14ac:dyDescent="0.3">
      <c r="A3" s="23">
        <v>46293.486591747693</v>
      </c>
      <c r="B3" s="24" t="s">
        <v>352</v>
      </c>
      <c r="C3" s="14" t="s">
        <v>353</v>
      </c>
      <c r="D3" s="14" t="s">
        <v>358</v>
      </c>
      <c r="E3" s="14" t="s">
        <v>145</v>
      </c>
      <c r="F3" s="14" t="s">
        <v>355</v>
      </c>
      <c r="G3" s="14" t="s">
        <v>356</v>
      </c>
      <c r="H3" s="14" t="s">
        <v>357</v>
      </c>
      <c r="I3" s="14" t="s">
        <v>38</v>
      </c>
    </row>
    <row r="4" spans="1:9" ht="19.95" customHeight="1" x14ac:dyDescent="0.3">
      <c r="A4" s="21">
        <v>46293.485984143517</v>
      </c>
      <c r="B4" s="22" t="s">
        <v>352</v>
      </c>
      <c r="C4" s="11" t="s">
        <v>359</v>
      </c>
      <c r="D4" s="11" t="s">
        <v>358</v>
      </c>
      <c r="E4" s="11" t="s">
        <v>145</v>
      </c>
      <c r="F4" s="11" t="s">
        <v>355</v>
      </c>
      <c r="G4" s="11" t="s">
        <v>356</v>
      </c>
      <c r="H4" s="11" t="s">
        <v>357</v>
      </c>
      <c r="I4" s="11" t="s">
        <v>38</v>
      </c>
    </row>
    <row r="5" spans="1:9" ht="19.95" customHeight="1" x14ac:dyDescent="0.3">
      <c r="A5" s="23">
        <v>46293.32060363426</v>
      </c>
      <c r="B5" s="24" t="s">
        <v>352</v>
      </c>
      <c r="C5" s="14" t="s">
        <v>353</v>
      </c>
      <c r="D5" s="14" t="s">
        <v>360</v>
      </c>
      <c r="E5" s="14" t="s">
        <v>361</v>
      </c>
      <c r="F5" s="14" t="s">
        <v>362</v>
      </c>
      <c r="G5" s="14" t="s">
        <v>356</v>
      </c>
      <c r="H5" s="14" t="s">
        <v>357</v>
      </c>
      <c r="I5" s="14" t="s">
        <v>38</v>
      </c>
    </row>
    <row r="6" spans="1:9" ht="19.95" customHeight="1" x14ac:dyDescent="0.3">
      <c r="A6" s="21">
        <v>46293.320107418978</v>
      </c>
      <c r="B6" s="22" t="s">
        <v>352</v>
      </c>
      <c r="C6" s="11" t="s">
        <v>359</v>
      </c>
      <c r="D6" s="11" t="s">
        <v>360</v>
      </c>
      <c r="E6" s="11" t="s">
        <v>145</v>
      </c>
      <c r="F6" s="11" t="s">
        <v>362</v>
      </c>
      <c r="G6" s="11" t="s">
        <v>356</v>
      </c>
      <c r="H6" s="11" t="s">
        <v>357</v>
      </c>
      <c r="I6" s="11" t="s">
        <v>38</v>
      </c>
    </row>
    <row r="7" spans="1:9" ht="19.95" customHeight="1" x14ac:dyDescent="0.3">
      <c r="A7" s="23">
        <v>46292.921193043992</v>
      </c>
      <c r="B7" s="25" t="s">
        <v>363</v>
      </c>
      <c r="C7" s="14" t="s">
        <v>364</v>
      </c>
      <c r="D7" s="14" t="s">
        <v>365</v>
      </c>
      <c r="E7" s="14" t="s">
        <v>145</v>
      </c>
      <c r="F7" s="14" t="s">
        <v>355</v>
      </c>
      <c r="G7" s="14" t="s">
        <v>356</v>
      </c>
      <c r="H7" s="14" t="s">
        <v>357</v>
      </c>
      <c r="I7" s="14" t="s">
        <v>38</v>
      </c>
    </row>
    <row r="8" spans="1:9" ht="19.95" customHeight="1" x14ac:dyDescent="0.3">
      <c r="A8" s="21">
        <v>46292.815658402767</v>
      </c>
      <c r="B8" s="26" t="s">
        <v>363</v>
      </c>
      <c r="C8" s="11" t="s">
        <v>353</v>
      </c>
      <c r="D8" s="11" t="s">
        <v>366</v>
      </c>
      <c r="E8" s="11" t="s">
        <v>145</v>
      </c>
      <c r="F8" s="11" t="s">
        <v>355</v>
      </c>
      <c r="G8" s="11" t="s">
        <v>356</v>
      </c>
      <c r="H8" s="11" t="s">
        <v>357</v>
      </c>
      <c r="I8" s="11" t="s">
        <v>38</v>
      </c>
    </row>
    <row r="9" spans="1:9" ht="19.95" customHeight="1" x14ac:dyDescent="0.3">
      <c r="A9" s="23">
        <v>46292.815179490739</v>
      </c>
      <c r="B9" s="25" t="s">
        <v>363</v>
      </c>
      <c r="C9" s="14" t="s">
        <v>359</v>
      </c>
      <c r="D9" s="14" t="s">
        <v>366</v>
      </c>
      <c r="E9" s="14" t="s">
        <v>142</v>
      </c>
      <c r="F9" s="14" t="s">
        <v>355</v>
      </c>
      <c r="G9" s="14" t="s">
        <v>356</v>
      </c>
      <c r="H9" s="14" t="s">
        <v>357</v>
      </c>
      <c r="I9" s="14" t="s">
        <v>38</v>
      </c>
    </row>
    <row r="10" spans="1:9" ht="19.95" customHeight="1" x14ac:dyDescent="0.3">
      <c r="A10" s="21">
        <v>46292.787553703703</v>
      </c>
      <c r="B10" s="26" t="s">
        <v>363</v>
      </c>
      <c r="C10" s="11" t="s">
        <v>359</v>
      </c>
      <c r="D10" s="11" t="s">
        <v>367</v>
      </c>
      <c r="E10" s="11" t="s">
        <v>145</v>
      </c>
      <c r="F10" s="11" t="s">
        <v>355</v>
      </c>
      <c r="G10" s="11" t="s">
        <v>356</v>
      </c>
      <c r="H10" s="11" t="s">
        <v>357</v>
      </c>
      <c r="I10" s="11" t="s">
        <v>38</v>
      </c>
    </row>
    <row r="11" spans="1:9" ht="19.95" customHeight="1" x14ac:dyDescent="0.3">
      <c r="A11" s="23">
        <v>46292.721195891201</v>
      </c>
      <c r="B11" s="25" t="s">
        <v>363</v>
      </c>
      <c r="C11" s="14" t="s">
        <v>353</v>
      </c>
      <c r="D11" s="14" t="s">
        <v>368</v>
      </c>
      <c r="E11" s="14" t="s">
        <v>145</v>
      </c>
      <c r="F11" s="14" t="s">
        <v>355</v>
      </c>
      <c r="G11" s="14" t="s">
        <v>356</v>
      </c>
      <c r="H11" s="14" t="s">
        <v>357</v>
      </c>
      <c r="I11" s="14" t="s">
        <v>38</v>
      </c>
    </row>
    <row r="12" spans="1:9" ht="19.95" customHeight="1" x14ac:dyDescent="0.3">
      <c r="A12" s="21">
        <v>46292.720656516212</v>
      </c>
      <c r="B12" s="26" t="s">
        <v>363</v>
      </c>
      <c r="C12" s="11" t="s">
        <v>359</v>
      </c>
      <c r="D12" s="11" t="s">
        <v>368</v>
      </c>
      <c r="E12" s="11" t="s">
        <v>145</v>
      </c>
      <c r="F12" s="11" t="s">
        <v>355</v>
      </c>
      <c r="G12" s="11" t="s">
        <v>356</v>
      </c>
      <c r="H12" s="11" t="s">
        <v>357</v>
      </c>
      <c r="I12" s="11" t="s">
        <v>38</v>
      </c>
    </row>
    <row r="13" spans="1:9" ht="19.95" customHeight="1" x14ac:dyDescent="0.3">
      <c r="A13" s="23">
        <v>46292.449017002313</v>
      </c>
      <c r="B13" s="25" t="s">
        <v>363</v>
      </c>
      <c r="C13" s="14" t="s">
        <v>359</v>
      </c>
      <c r="D13" s="14" t="s">
        <v>369</v>
      </c>
      <c r="E13" s="14" t="s">
        <v>145</v>
      </c>
      <c r="F13" s="14" t="s">
        <v>355</v>
      </c>
      <c r="G13" s="14" t="s">
        <v>356</v>
      </c>
      <c r="H13" s="14" t="s">
        <v>357</v>
      </c>
      <c r="I13" s="14" t="s">
        <v>38</v>
      </c>
    </row>
    <row r="14" spans="1:9" ht="19.95" customHeight="1" x14ac:dyDescent="0.3">
      <c r="A14" s="21">
        <v>46292.448965914351</v>
      </c>
      <c r="B14" s="26" t="s">
        <v>363</v>
      </c>
      <c r="C14" s="11" t="s">
        <v>353</v>
      </c>
      <c r="D14" s="11" t="s">
        <v>369</v>
      </c>
      <c r="E14" s="11" t="s">
        <v>145</v>
      </c>
      <c r="F14" s="11" t="s">
        <v>355</v>
      </c>
      <c r="G14" s="11" t="s">
        <v>356</v>
      </c>
      <c r="H14" s="11" t="s">
        <v>357</v>
      </c>
      <c r="I14" s="11" t="s">
        <v>38</v>
      </c>
    </row>
    <row r="15" spans="1:9" ht="19.95" customHeight="1" x14ac:dyDescent="0.3">
      <c r="A15" s="23">
        <v>46292.383677025457</v>
      </c>
      <c r="B15" s="25" t="s">
        <v>363</v>
      </c>
      <c r="C15" s="14" t="s">
        <v>353</v>
      </c>
      <c r="D15" s="14" t="s">
        <v>370</v>
      </c>
      <c r="E15" s="14" t="s">
        <v>145</v>
      </c>
      <c r="F15" s="14" t="s">
        <v>362</v>
      </c>
      <c r="G15" s="14" t="s">
        <v>356</v>
      </c>
      <c r="H15" s="14" t="s">
        <v>357</v>
      </c>
      <c r="I15" s="14" t="s">
        <v>38</v>
      </c>
    </row>
    <row r="16" spans="1:9" ht="19.95" customHeight="1" x14ac:dyDescent="0.3">
      <c r="A16" s="21">
        <v>46292.383237731483</v>
      </c>
      <c r="B16" s="26" t="s">
        <v>363</v>
      </c>
      <c r="C16" s="11" t="s">
        <v>359</v>
      </c>
      <c r="D16" s="11" t="s">
        <v>370</v>
      </c>
      <c r="E16" s="11" t="s">
        <v>145</v>
      </c>
      <c r="F16" s="11" t="s">
        <v>362</v>
      </c>
      <c r="G16" s="11" t="s">
        <v>356</v>
      </c>
      <c r="H16" s="11" t="s">
        <v>357</v>
      </c>
      <c r="I16" s="11" t="s">
        <v>38</v>
      </c>
    </row>
    <row r="17" spans="1:9" ht="19.95" customHeight="1" x14ac:dyDescent="0.3">
      <c r="A17" s="23">
        <v>46292.169063425928</v>
      </c>
      <c r="B17" s="25" t="s">
        <v>363</v>
      </c>
      <c r="C17" s="14" t="s">
        <v>353</v>
      </c>
      <c r="D17" s="14" t="s">
        <v>371</v>
      </c>
      <c r="E17" s="14" t="s">
        <v>142</v>
      </c>
      <c r="F17" s="14" t="s">
        <v>355</v>
      </c>
      <c r="G17" s="14" t="s">
        <v>356</v>
      </c>
      <c r="H17" s="14" t="s">
        <v>357</v>
      </c>
      <c r="I17" s="14" t="s">
        <v>38</v>
      </c>
    </row>
    <row r="18" spans="1:9" ht="19.95" customHeight="1" x14ac:dyDescent="0.3">
      <c r="A18" s="21">
        <v>46292.169040034722</v>
      </c>
      <c r="B18" s="26" t="s">
        <v>363</v>
      </c>
      <c r="C18" s="11" t="s">
        <v>359</v>
      </c>
      <c r="D18" s="11" t="s">
        <v>371</v>
      </c>
      <c r="E18" s="11" t="s">
        <v>142</v>
      </c>
      <c r="F18" s="11" t="s">
        <v>355</v>
      </c>
      <c r="G18" s="11" t="s">
        <v>356</v>
      </c>
      <c r="H18" s="11" t="s">
        <v>357</v>
      </c>
      <c r="I18" s="11" t="s">
        <v>38</v>
      </c>
    </row>
    <row r="19" spans="1:9" ht="19.95" customHeight="1" x14ac:dyDescent="0.3">
      <c r="A19" s="23">
        <v>46291.995411053242</v>
      </c>
      <c r="B19" s="25" t="s">
        <v>363</v>
      </c>
      <c r="C19" s="14" t="s">
        <v>353</v>
      </c>
      <c r="D19" s="14" t="s">
        <v>372</v>
      </c>
      <c r="E19" s="14" t="s">
        <v>145</v>
      </c>
      <c r="F19" s="14" t="s">
        <v>362</v>
      </c>
      <c r="G19" s="14" t="s">
        <v>356</v>
      </c>
      <c r="H19" s="14" t="s">
        <v>357</v>
      </c>
      <c r="I19" s="14" t="s">
        <v>38</v>
      </c>
    </row>
    <row r="20" spans="1:9" ht="19.95" customHeight="1" x14ac:dyDescent="0.3">
      <c r="A20" s="21">
        <v>46291.995400555563</v>
      </c>
      <c r="B20" s="26" t="s">
        <v>363</v>
      </c>
      <c r="C20" s="11" t="s">
        <v>359</v>
      </c>
      <c r="D20" s="11" t="s">
        <v>372</v>
      </c>
      <c r="E20" s="11" t="s">
        <v>145</v>
      </c>
      <c r="F20" s="11" t="s">
        <v>355</v>
      </c>
      <c r="G20" s="11" t="s">
        <v>356</v>
      </c>
      <c r="H20" s="11" t="s">
        <v>357</v>
      </c>
      <c r="I20" s="11" t="s">
        <v>38</v>
      </c>
    </row>
    <row r="21" spans="1:9" ht="19.95" customHeight="1" x14ac:dyDescent="0.3">
      <c r="A21" s="23">
        <v>46291.734974722232</v>
      </c>
      <c r="B21" s="25" t="s">
        <v>363</v>
      </c>
      <c r="C21" s="14" t="s">
        <v>353</v>
      </c>
      <c r="D21" s="14" t="s">
        <v>373</v>
      </c>
      <c r="E21" s="14" t="s">
        <v>145</v>
      </c>
      <c r="F21" s="14" t="s">
        <v>355</v>
      </c>
      <c r="G21" s="14" t="s">
        <v>356</v>
      </c>
      <c r="H21" s="14" t="s">
        <v>357</v>
      </c>
      <c r="I21" s="14" t="s">
        <v>38</v>
      </c>
    </row>
    <row r="22" spans="1:9" ht="19.95" customHeight="1" x14ac:dyDescent="0.3">
      <c r="A22" s="21">
        <v>46291.734706805553</v>
      </c>
      <c r="B22" s="26" t="s">
        <v>363</v>
      </c>
      <c r="C22" s="11" t="s">
        <v>359</v>
      </c>
      <c r="D22" s="11" t="s">
        <v>373</v>
      </c>
      <c r="E22" s="11" t="s">
        <v>145</v>
      </c>
      <c r="F22" s="11" t="s">
        <v>355</v>
      </c>
      <c r="G22" s="11" t="s">
        <v>356</v>
      </c>
      <c r="H22" s="11" t="s">
        <v>357</v>
      </c>
      <c r="I22" s="11" t="s">
        <v>38</v>
      </c>
    </row>
    <row r="23" spans="1:9" ht="19.95" customHeight="1" x14ac:dyDescent="0.3">
      <c r="A23" s="23">
        <v>46291.730127187497</v>
      </c>
      <c r="B23" s="25" t="s">
        <v>363</v>
      </c>
      <c r="C23" s="14" t="s">
        <v>353</v>
      </c>
      <c r="D23" s="14" t="s">
        <v>374</v>
      </c>
      <c r="E23" s="14" t="s">
        <v>145</v>
      </c>
      <c r="F23" s="14" t="s">
        <v>355</v>
      </c>
      <c r="G23" s="14" t="s">
        <v>356</v>
      </c>
      <c r="H23" s="14" t="s">
        <v>357</v>
      </c>
      <c r="I23" s="14" t="s">
        <v>38</v>
      </c>
    </row>
    <row r="24" spans="1:9" ht="19.95" customHeight="1" x14ac:dyDescent="0.3">
      <c r="A24" s="21">
        <v>46291.729584502318</v>
      </c>
      <c r="B24" s="26" t="s">
        <v>363</v>
      </c>
      <c r="C24" s="11" t="s">
        <v>359</v>
      </c>
      <c r="D24" s="11" t="s">
        <v>374</v>
      </c>
      <c r="E24" s="11" t="s">
        <v>142</v>
      </c>
      <c r="F24" s="11" t="s">
        <v>355</v>
      </c>
      <c r="G24" s="11" t="s">
        <v>356</v>
      </c>
      <c r="H24" s="11" t="s">
        <v>357</v>
      </c>
      <c r="I24" s="11" t="s">
        <v>375</v>
      </c>
    </row>
    <row r="25" spans="1:9" ht="19.95" customHeight="1" x14ac:dyDescent="0.3">
      <c r="A25" s="23">
        <v>46291.728720937499</v>
      </c>
      <c r="B25" s="25" t="s">
        <v>363</v>
      </c>
      <c r="C25" s="14" t="s">
        <v>353</v>
      </c>
      <c r="D25" s="14" t="s">
        <v>376</v>
      </c>
      <c r="E25" s="14" t="s">
        <v>142</v>
      </c>
      <c r="F25" s="14" t="s">
        <v>355</v>
      </c>
      <c r="G25" s="14" t="s">
        <v>356</v>
      </c>
      <c r="H25" s="14" t="s">
        <v>357</v>
      </c>
      <c r="I25" s="14" t="s">
        <v>38</v>
      </c>
    </row>
    <row r="26" spans="1:9" ht="19.95" customHeight="1" x14ac:dyDescent="0.3">
      <c r="A26" s="21">
        <v>46291.728521481476</v>
      </c>
      <c r="B26" s="26" t="s">
        <v>363</v>
      </c>
      <c r="C26" s="11" t="s">
        <v>359</v>
      </c>
      <c r="D26" s="11" t="s">
        <v>376</v>
      </c>
      <c r="E26" s="11" t="s">
        <v>145</v>
      </c>
      <c r="F26" s="11" t="s">
        <v>362</v>
      </c>
      <c r="G26" s="11" t="s">
        <v>356</v>
      </c>
      <c r="H26" s="11" t="s">
        <v>357</v>
      </c>
      <c r="I26" s="11" t="s">
        <v>38</v>
      </c>
    </row>
    <row r="27" spans="1:9" ht="19.95" customHeight="1" x14ac:dyDescent="0.3">
      <c r="A27" s="23">
        <v>46291.593990601847</v>
      </c>
      <c r="B27" s="25" t="s">
        <v>363</v>
      </c>
      <c r="C27" s="14" t="s">
        <v>359</v>
      </c>
      <c r="D27" s="14" t="s">
        <v>377</v>
      </c>
      <c r="E27" s="14" t="s">
        <v>145</v>
      </c>
      <c r="F27" s="14" t="s">
        <v>355</v>
      </c>
      <c r="G27" s="14" t="s">
        <v>356</v>
      </c>
      <c r="H27" s="14" t="s">
        <v>357</v>
      </c>
      <c r="I27" s="14" t="s">
        <v>38</v>
      </c>
    </row>
    <row r="28" spans="1:9" ht="19.95" customHeight="1" x14ac:dyDescent="0.3">
      <c r="A28" s="21">
        <v>46291.593988171298</v>
      </c>
      <c r="B28" s="26" t="s">
        <v>363</v>
      </c>
      <c r="C28" s="11" t="s">
        <v>353</v>
      </c>
      <c r="D28" s="11" t="s">
        <v>377</v>
      </c>
      <c r="E28" s="11" t="s">
        <v>145</v>
      </c>
      <c r="F28" s="11" t="s">
        <v>355</v>
      </c>
      <c r="G28" s="11" t="s">
        <v>356</v>
      </c>
      <c r="H28" s="11" t="s">
        <v>357</v>
      </c>
      <c r="I28" s="11" t="s">
        <v>38</v>
      </c>
    </row>
    <row r="29" spans="1:9" ht="19.95" customHeight="1" x14ac:dyDescent="0.3">
      <c r="A29" s="23">
        <v>46291.573161944441</v>
      </c>
      <c r="B29" s="25" t="s">
        <v>363</v>
      </c>
      <c r="C29" s="14" t="s">
        <v>353</v>
      </c>
      <c r="D29" s="14" t="s">
        <v>378</v>
      </c>
      <c r="E29" s="14" t="s">
        <v>145</v>
      </c>
      <c r="F29" s="14" t="s">
        <v>355</v>
      </c>
      <c r="G29" s="14" t="s">
        <v>356</v>
      </c>
      <c r="H29" s="14" t="s">
        <v>357</v>
      </c>
      <c r="I29" s="14" t="s">
        <v>38</v>
      </c>
    </row>
    <row r="30" spans="1:9" ht="19.95" customHeight="1" x14ac:dyDescent="0.3">
      <c r="A30" s="21">
        <v>46291.572566574083</v>
      </c>
      <c r="B30" s="26" t="s">
        <v>363</v>
      </c>
      <c r="C30" s="11" t="s">
        <v>359</v>
      </c>
      <c r="D30" s="11" t="s">
        <v>378</v>
      </c>
      <c r="E30" s="11" t="s">
        <v>145</v>
      </c>
      <c r="F30" s="11" t="s">
        <v>355</v>
      </c>
      <c r="G30" s="11" t="s">
        <v>356</v>
      </c>
      <c r="H30" s="11" t="s">
        <v>357</v>
      </c>
      <c r="I30" s="11" t="s">
        <v>38</v>
      </c>
    </row>
    <row r="31" spans="1:9" ht="19.95" customHeight="1" x14ac:dyDescent="0.3">
      <c r="A31" s="23">
        <v>46291.463427083327</v>
      </c>
      <c r="B31" s="25" t="s">
        <v>363</v>
      </c>
      <c r="C31" s="14" t="s">
        <v>353</v>
      </c>
      <c r="D31" s="14" t="s">
        <v>379</v>
      </c>
      <c r="E31" s="14" t="s">
        <v>145</v>
      </c>
      <c r="F31" s="14" t="s">
        <v>355</v>
      </c>
      <c r="G31" s="14" t="s">
        <v>356</v>
      </c>
      <c r="H31" s="14" t="s">
        <v>357</v>
      </c>
      <c r="I31" s="14" t="s">
        <v>38</v>
      </c>
    </row>
    <row r="32" spans="1:9" ht="19.95" customHeight="1" x14ac:dyDescent="0.3">
      <c r="A32" s="21">
        <v>46291.463209513888</v>
      </c>
      <c r="B32" s="26" t="s">
        <v>363</v>
      </c>
      <c r="C32" s="11" t="s">
        <v>359</v>
      </c>
      <c r="D32" s="11" t="s">
        <v>379</v>
      </c>
      <c r="E32" s="11" t="s">
        <v>145</v>
      </c>
      <c r="F32" s="11" t="s">
        <v>380</v>
      </c>
      <c r="G32" s="11" t="s">
        <v>147</v>
      </c>
      <c r="H32" s="11" t="s">
        <v>381</v>
      </c>
      <c r="I32" s="11" t="s">
        <v>382</v>
      </c>
    </row>
    <row r="33" spans="1:9" ht="19.95" customHeight="1" x14ac:dyDescent="0.3">
      <c r="A33" s="23">
        <v>46291.397442800917</v>
      </c>
      <c r="B33" s="25" t="s">
        <v>363</v>
      </c>
      <c r="C33" s="14" t="s">
        <v>353</v>
      </c>
      <c r="D33" s="14" t="s">
        <v>383</v>
      </c>
      <c r="E33" s="14" t="s">
        <v>145</v>
      </c>
      <c r="F33" s="14" t="s">
        <v>362</v>
      </c>
      <c r="G33" s="14" t="s">
        <v>356</v>
      </c>
      <c r="H33" s="14" t="s">
        <v>357</v>
      </c>
      <c r="I33" s="14" t="s">
        <v>38</v>
      </c>
    </row>
    <row r="34" spans="1:9" ht="19.95" customHeight="1" x14ac:dyDescent="0.3">
      <c r="A34" s="21">
        <v>46291.397298842603</v>
      </c>
      <c r="B34" s="26" t="s">
        <v>363</v>
      </c>
      <c r="C34" s="11" t="s">
        <v>359</v>
      </c>
      <c r="D34" s="11" t="s">
        <v>383</v>
      </c>
      <c r="E34" s="11" t="s">
        <v>145</v>
      </c>
      <c r="F34" s="11" t="s">
        <v>362</v>
      </c>
      <c r="G34" s="11" t="s">
        <v>356</v>
      </c>
      <c r="H34" s="11" t="s">
        <v>357</v>
      </c>
      <c r="I34" s="11" t="s">
        <v>38</v>
      </c>
    </row>
    <row r="35" spans="1:9" ht="19.95" customHeight="1" x14ac:dyDescent="0.3">
      <c r="A35" s="23">
        <v>46291.067530115739</v>
      </c>
      <c r="B35" s="25" t="s">
        <v>363</v>
      </c>
      <c r="C35" s="14" t="s">
        <v>353</v>
      </c>
      <c r="D35" s="14" t="s">
        <v>384</v>
      </c>
      <c r="E35" s="14" t="s">
        <v>142</v>
      </c>
      <c r="F35" s="14" t="s">
        <v>355</v>
      </c>
      <c r="G35" s="14" t="s">
        <v>356</v>
      </c>
      <c r="H35" s="14" t="s">
        <v>357</v>
      </c>
      <c r="I35" s="14" t="s">
        <v>38</v>
      </c>
    </row>
    <row r="36" spans="1:9" ht="19.95" customHeight="1" x14ac:dyDescent="0.3">
      <c r="A36" s="21">
        <v>46291.067123368062</v>
      </c>
      <c r="B36" s="26" t="s">
        <v>363</v>
      </c>
      <c r="C36" s="11" t="s">
        <v>359</v>
      </c>
      <c r="D36" s="11" t="s">
        <v>384</v>
      </c>
      <c r="E36" s="11" t="s">
        <v>145</v>
      </c>
      <c r="F36" s="11" t="s">
        <v>355</v>
      </c>
      <c r="G36" s="11" t="s">
        <v>356</v>
      </c>
      <c r="H36" s="11" t="s">
        <v>357</v>
      </c>
      <c r="I36" s="11" t="s">
        <v>38</v>
      </c>
    </row>
    <row r="37" spans="1:9" ht="19.95" customHeight="1" x14ac:dyDescent="0.3">
      <c r="A37" s="23">
        <v>46291.061281180548</v>
      </c>
      <c r="B37" s="25" t="s">
        <v>363</v>
      </c>
      <c r="C37" s="14" t="s">
        <v>353</v>
      </c>
      <c r="D37" s="14" t="s">
        <v>385</v>
      </c>
      <c r="E37" s="14" t="s">
        <v>142</v>
      </c>
      <c r="F37" s="14" t="s">
        <v>355</v>
      </c>
      <c r="G37" s="14" t="s">
        <v>356</v>
      </c>
      <c r="H37" s="14" t="s">
        <v>357</v>
      </c>
      <c r="I37" s="14" t="s">
        <v>38</v>
      </c>
    </row>
    <row r="38" spans="1:9" ht="19.95" customHeight="1" x14ac:dyDescent="0.3">
      <c r="A38" s="21">
        <v>46291.061180879631</v>
      </c>
      <c r="B38" s="26" t="s">
        <v>363</v>
      </c>
      <c r="C38" s="11" t="s">
        <v>359</v>
      </c>
      <c r="D38" s="11" t="s">
        <v>385</v>
      </c>
      <c r="E38" s="11" t="s">
        <v>145</v>
      </c>
      <c r="F38" s="11" t="s">
        <v>355</v>
      </c>
      <c r="G38" s="11" t="s">
        <v>356</v>
      </c>
      <c r="H38" s="11" t="s">
        <v>357</v>
      </c>
      <c r="I38" s="11" t="s">
        <v>38</v>
      </c>
    </row>
    <row r="39" spans="1:9" ht="19.95" customHeight="1" x14ac:dyDescent="0.3">
      <c r="A39" s="23">
        <v>46290.952933379631</v>
      </c>
      <c r="B39" s="25" t="s">
        <v>363</v>
      </c>
      <c r="C39" s="14" t="s">
        <v>353</v>
      </c>
      <c r="D39" s="14" t="s">
        <v>386</v>
      </c>
      <c r="E39" s="14" t="s">
        <v>145</v>
      </c>
      <c r="F39" s="14" t="s">
        <v>355</v>
      </c>
      <c r="G39" s="14" t="s">
        <v>356</v>
      </c>
      <c r="H39" s="14" t="s">
        <v>357</v>
      </c>
      <c r="I39" s="14" t="s">
        <v>38</v>
      </c>
    </row>
    <row r="40" spans="1:9" ht="19.95" customHeight="1" x14ac:dyDescent="0.3">
      <c r="A40" s="21">
        <v>46290.952877141201</v>
      </c>
      <c r="B40" s="26" t="s">
        <v>363</v>
      </c>
      <c r="C40" s="11" t="s">
        <v>359</v>
      </c>
      <c r="D40" s="11" t="s">
        <v>386</v>
      </c>
      <c r="E40" s="11" t="s">
        <v>145</v>
      </c>
      <c r="F40" s="11" t="s">
        <v>355</v>
      </c>
      <c r="G40" s="11" t="s">
        <v>356</v>
      </c>
      <c r="H40" s="11" t="s">
        <v>357</v>
      </c>
      <c r="I40" s="11" t="s">
        <v>38</v>
      </c>
    </row>
    <row r="41" spans="1:9" ht="19.95" customHeight="1" x14ac:dyDescent="0.3">
      <c r="A41" s="23">
        <v>46290.845705844913</v>
      </c>
      <c r="B41" s="25" t="s">
        <v>363</v>
      </c>
      <c r="C41" s="14" t="s">
        <v>359</v>
      </c>
      <c r="D41" s="14" t="s">
        <v>387</v>
      </c>
      <c r="E41" s="14" t="s">
        <v>145</v>
      </c>
      <c r="F41" s="14" t="s">
        <v>355</v>
      </c>
      <c r="G41" s="14" t="s">
        <v>356</v>
      </c>
      <c r="H41" s="14" t="s">
        <v>357</v>
      </c>
      <c r="I41" s="14" t="s">
        <v>38</v>
      </c>
    </row>
    <row r="42" spans="1:9" ht="19.95" customHeight="1" x14ac:dyDescent="0.3">
      <c r="A42" s="21">
        <v>46290.84035515046</v>
      </c>
      <c r="B42" s="26" t="s">
        <v>363</v>
      </c>
      <c r="C42" s="11" t="s">
        <v>359</v>
      </c>
      <c r="D42" s="11" t="s">
        <v>388</v>
      </c>
      <c r="E42" s="11" t="s">
        <v>145</v>
      </c>
      <c r="F42" s="11" t="s">
        <v>355</v>
      </c>
      <c r="G42" s="11" t="s">
        <v>356</v>
      </c>
      <c r="H42" s="11" t="s">
        <v>357</v>
      </c>
      <c r="I42" s="11" t="s">
        <v>38</v>
      </c>
    </row>
    <row r="43" spans="1:9" ht="19.95" customHeight="1" x14ac:dyDescent="0.3">
      <c r="A43" s="23">
        <v>46290.680257719912</v>
      </c>
      <c r="B43" s="25" t="s">
        <v>363</v>
      </c>
      <c r="C43" s="14" t="s">
        <v>389</v>
      </c>
      <c r="D43" s="14" t="s">
        <v>390</v>
      </c>
      <c r="E43" s="14" t="s">
        <v>145</v>
      </c>
      <c r="F43" s="14" t="s">
        <v>355</v>
      </c>
      <c r="G43" s="14" t="s">
        <v>356</v>
      </c>
      <c r="H43" s="14" t="s">
        <v>357</v>
      </c>
      <c r="I43" s="14" t="s">
        <v>391</v>
      </c>
    </row>
    <row r="44" spans="1:9" ht="19.95" customHeight="1" x14ac:dyDescent="0.3">
      <c r="A44" s="21">
        <v>46290.675583564807</v>
      </c>
      <c r="B44" s="26" t="s">
        <v>363</v>
      </c>
      <c r="C44" s="11" t="s">
        <v>359</v>
      </c>
      <c r="D44" s="11" t="s">
        <v>392</v>
      </c>
      <c r="E44" s="11" t="s">
        <v>361</v>
      </c>
      <c r="F44" s="11" t="s">
        <v>355</v>
      </c>
      <c r="G44" s="11" t="s">
        <v>356</v>
      </c>
      <c r="H44" s="11" t="s">
        <v>357</v>
      </c>
      <c r="I44" s="11" t="s">
        <v>38</v>
      </c>
    </row>
    <row r="45" spans="1:9" ht="19.95" customHeight="1" x14ac:dyDescent="0.3">
      <c r="A45" s="23">
        <v>46290.675559166673</v>
      </c>
      <c r="B45" s="25" t="s">
        <v>363</v>
      </c>
      <c r="C45" s="14" t="s">
        <v>353</v>
      </c>
      <c r="D45" s="14" t="s">
        <v>392</v>
      </c>
      <c r="E45" s="14" t="s">
        <v>145</v>
      </c>
      <c r="F45" s="14" t="s">
        <v>355</v>
      </c>
      <c r="G45" s="14" t="s">
        <v>356</v>
      </c>
      <c r="H45" s="14" t="s">
        <v>357</v>
      </c>
      <c r="I45" s="14" t="s">
        <v>38</v>
      </c>
    </row>
    <row r="46" spans="1:9" ht="19.95" customHeight="1" x14ac:dyDescent="0.3">
      <c r="A46" s="21">
        <v>46290.634144525473</v>
      </c>
      <c r="B46" s="26" t="s">
        <v>363</v>
      </c>
      <c r="C46" s="11" t="s">
        <v>359</v>
      </c>
      <c r="D46" s="11" t="s">
        <v>393</v>
      </c>
      <c r="E46" s="11" t="s">
        <v>145</v>
      </c>
      <c r="F46" s="11" t="s">
        <v>355</v>
      </c>
      <c r="G46" s="11" t="s">
        <v>356</v>
      </c>
      <c r="H46" s="11" t="s">
        <v>357</v>
      </c>
      <c r="I46" s="11" t="s">
        <v>38</v>
      </c>
    </row>
    <row r="47" spans="1:9" ht="19.95" customHeight="1" x14ac:dyDescent="0.3">
      <c r="A47" s="23">
        <v>46290.634122777781</v>
      </c>
      <c r="B47" s="25" t="s">
        <v>363</v>
      </c>
      <c r="C47" s="14" t="s">
        <v>353</v>
      </c>
      <c r="D47" s="14" t="s">
        <v>393</v>
      </c>
      <c r="E47" s="14" t="s">
        <v>145</v>
      </c>
      <c r="F47" s="14" t="s">
        <v>355</v>
      </c>
      <c r="G47" s="14" t="s">
        <v>356</v>
      </c>
      <c r="H47" s="14" t="s">
        <v>357</v>
      </c>
      <c r="I47" s="14" t="s">
        <v>38</v>
      </c>
    </row>
    <row r="48" spans="1:9" ht="19.95" customHeight="1" x14ac:dyDescent="0.3">
      <c r="A48" s="21">
        <v>46288.788280439818</v>
      </c>
      <c r="B48" s="26" t="s">
        <v>363</v>
      </c>
      <c r="C48" s="11" t="s">
        <v>353</v>
      </c>
      <c r="D48" s="11" t="s">
        <v>394</v>
      </c>
      <c r="E48" s="11" t="s">
        <v>145</v>
      </c>
      <c r="F48" s="11" t="s">
        <v>355</v>
      </c>
      <c r="G48" s="11" t="s">
        <v>356</v>
      </c>
      <c r="H48" s="11" t="s">
        <v>357</v>
      </c>
      <c r="I48" s="11" t="s">
        <v>38</v>
      </c>
    </row>
    <row r="49" spans="1:9" ht="19.95" customHeight="1" x14ac:dyDescent="0.3">
      <c r="A49" s="23">
        <v>46288.788279629633</v>
      </c>
      <c r="B49" s="25" t="s">
        <v>363</v>
      </c>
      <c r="C49" s="14" t="s">
        <v>353</v>
      </c>
      <c r="D49" s="14" t="s">
        <v>395</v>
      </c>
      <c r="E49" s="14" t="s">
        <v>145</v>
      </c>
      <c r="F49" s="14" t="s">
        <v>355</v>
      </c>
      <c r="G49" s="14" t="s">
        <v>356</v>
      </c>
      <c r="H49" s="14" t="s">
        <v>357</v>
      </c>
      <c r="I49" s="14" t="s">
        <v>38</v>
      </c>
    </row>
    <row r="50" spans="1:9" ht="19.95" customHeight="1" x14ac:dyDescent="0.3">
      <c r="A50" s="21">
        <v>46288.788278692133</v>
      </c>
      <c r="B50" s="26" t="s">
        <v>363</v>
      </c>
      <c r="C50" s="11" t="s">
        <v>353</v>
      </c>
      <c r="D50" s="11" t="s">
        <v>396</v>
      </c>
      <c r="E50" s="11" t="s">
        <v>142</v>
      </c>
      <c r="F50" s="11" t="s">
        <v>355</v>
      </c>
      <c r="G50" s="11" t="s">
        <v>356</v>
      </c>
      <c r="H50" s="11" t="s">
        <v>357</v>
      </c>
      <c r="I50" s="11" t="s">
        <v>38</v>
      </c>
    </row>
    <row r="51" spans="1:9" ht="19.95" customHeight="1" x14ac:dyDescent="0.3">
      <c r="A51" s="23">
        <v>46288.78827798611</v>
      </c>
      <c r="B51" s="25" t="s">
        <v>363</v>
      </c>
      <c r="C51" s="14" t="s">
        <v>353</v>
      </c>
      <c r="D51" s="14" t="s">
        <v>397</v>
      </c>
      <c r="E51" s="14" t="s">
        <v>145</v>
      </c>
      <c r="F51" s="14" t="s">
        <v>355</v>
      </c>
      <c r="G51" s="14" t="s">
        <v>356</v>
      </c>
      <c r="H51" s="14" t="s">
        <v>357</v>
      </c>
      <c r="I51" s="14" t="s">
        <v>38</v>
      </c>
    </row>
    <row r="52" spans="1:9" ht="19.95" customHeight="1" x14ac:dyDescent="0.3">
      <c r="A52" s="21">
        <v>46288.788276979169</v>
      </c>
      <c r="B52" s="26" t="s">
        <v>363</v>
      </c>
      <c r="C52" s="11" t="s">
        <v>353</v>
      </c>
      <c r="D52" s="11" t="s">
        <v>398</v>
      </c>
      <c r="E52" s="11" t="s">
        <v>145</v>
      </c>
      <c r="F52" s="11" t="s">
        <v>355</v>
      </c>
      <c r="G52" s="11" t="s">
        <v>356</v>
      </c>
      <c r="H52" s="11" t="s">
        <v>357</v>
      </c>
      <c r="I52" s="11" t="s">
        <v>38</v>
      </c>
    </row>
    <row r="53" spans="1:9" ht="19.95" customHeight="1" x14ac:dyDescent="0.3">
      <c r="A53" s="23">
        <v>46288.788276053237</v>
      </c>
      <c r="B53" s="25" t="s">
        <v>363</v>
      </c>
      <c r="C53" s="14" t="s">
        <v>353</v>
      </c>
      <c r="D53" s="14" t="s">
        <v>399</v>
      </c>
      <c r="E53" s="14" t="s">
        <v>145</v>
      </c>
      <c r="F53" s="14" t="s">
        <v>355</v>
      </c>
      <c r="G53" s="14" t="s">
        <v>356</v>
      </c>
      <c r="H53" s="14" t="s">
        <v>357</v>
      </c>
      <c r="I53" s="14" t="s">
        <v>38</v>
      </c>
    </row>
    <row r="54" spans="1:9" ht="19.95" customHeight="1" x14ac:dyDescent="0.3">
      <c r="A54" s="21">
        <v>46288.788274583327</v>
      </c>
      <c r="B54" s="26" t="s">
        <v>363</v>
      </c>
      <c r="C54" s="11" t="s">
        <v>353</v>
      </c>
      <c r="D54" s="11" t="s">
        <v>400</v>
      </c>
      <c r="E54" s="11" t="s">
        <v>145</v>
      </c>
      <c r="F54" s="11" t="s">
        <v>355</v>
      </c>
      <c r="G54" s="11" t="s">
        <v>356</v>
      </c>
      <c r="H54" s="11" t="s">
        <v>357</v>
      </c>
      <c r="I54" s="11" t="s">
        <v>38</v>
      </c>
    </row>
    <row r="55" spans="1:9" ht="19.95" customHeight="1" x14ac:dyDescent="0.3">
      <c r="A55" s="23">
        <v>46288.788273611113</v>
      </c>
      <c r="B55" s="25" t="s">
        <v>363</v>
      </c>
      <c r="C55" s="14" t="s">
        <v>353</v>
      </c>
      <c r="D55" s="14" t="s">
        <v>401</v>
      </c>
      <c r="E55" s="14" t="s">
        <v>145</v>
      </c>
      <c r="F55" s="14" t="s">
        <v>355</v>
      </c>
      <c r="G55" s="14" t="s">
        <v>356</v>
      </c>
      <c r="H55" s="14" t="s">
        <v>357</v>
      </c>
      <c r="I55" s="14" t="s">
        <v>38</v>
      </c>
    </row>
    <row r="56" spans="1:9" ht="19.95" customHeight="1" x14ac:dyDescent="0.3">
      <c r="A56" s="21">
        <v>46288.788272662037</v>
      </c>
      <c r="B56" s="26" t="s">
        <v>363</v>
      </c>
      <c r="C56" s="11" t="s">
        <v>353</v>
      </c>
      <c r="D56" s="11" t="s">
        <v>402</v>
      </c>
      <c r="E56" s="11" t="s">
        <v>145</v>
      </c>
      <c r="F56" s="11" t="s">
        <v>355</v>
      </c>
      <c r="G56" s="11" t="s">
        <v>356</v>
      </c>
      <c r="H56" s="11" t="s">
        <v>357</v>
      </c>
      <c r="I56" s="11" t="s">
        <v>38</v>
      </c>
    </row>
    <row r="57" spans="1:9" ht="19.95" customHeight="1" x14ac:dyDescent="0.3">
      <c r="A57" s="23">
        <v>46288.788271342593</v>
      </c>
      <c r="B57" s="25" t="s">
        <v>363</v>
      </c>
      <c r="C57" s="14" t="s">
        <v>353</v>
      </c>
      <c r="D57" s="14" t="s">
        <v>403</v>
      </c>
      <c r="E57" s="14" t="s">
        <v>145</v>
      </c>
      <c r="F57" s="14" t="s">
        <v>355</v>
      </c>
      <c r="G57" s="14" t="s">
        <v>356</v>
      </c>
      <c r="H57" s="14" t="s">
        <v>357</v>
      </c>
      <c r="I57" s="14" t="s">
        <v>38</v>
      </c>
    </row>
    <row r="58" spans="1:9" ht="19.95" customHeight="1" x14ac:dyDescent="0.3">
      <c r="A58" s="21">
        <v>46288.788270486111</v>
      </c>
      <c r="B58" s="26" t="s">
        <v>363</v>
      </c>
      <c r="C58" s="11" t="s">
        <v>353</v>
      </c>
      <c r="D58" s="11" t="s">
        <v>404</v>
      </c>
      <c r="E58" s="11" t="s">
        <v>145</v>
      </c>
      <c r="F58" s="11" t="s">
        <v>355</v>
      </c>
      <c r="G58" s="11" t="s">
        <v>356</v>
      </c>
      <c r="H58" s="11" t="s">
        <v>357</v>
      </c>
      <c r="I58" s="11" t="s">
        <v>38</v>
      </c>
    </row>
    <row r="59" spans="1:9" ht="19.95" customHeight="1" x14ac:dyDescent="0.3">
      <c r="A59" s="23">
        <v>46288.788269386583</v>
      </c>
      <c r="B59" s="25" t="s">
        <v>363</v>
      </c>
      <c r="C59" s="14" t="s">
        <v>353</v>
      </c>
      <c r="D59" s="14" t="s">
        <v>405</v>
      </c>
      <c r="E59" s="14" t="s">
        <v>145</v>
      </c>
      <c r="F59" s="14" t="s">
        <v>355</v>
      </c>
      <c r="G59" s="14" t="s">
        <v>356</v>
      </c>
      <c r="H59" s="14" t="s">
        <v>357</v>
      </c>
      <c r="I59" s="14" t="s">
        <v>38</v>
      </c>
    </row>
    <row r="60" spans="1:9" ht="19.95" customHeight="1" x14ac:dyDescent="0.3">
      <c r="A60" s="21">
        <v>46288.78826833333</v>
      </c>
      <c r="B60" s="26" t="s">
        <v>363</v>
      </c>
      <c r="C60" s="11" t="s">
        <v>353</v>
      </c>
      <c r="D60" s="11" t="s">
        <v>406</v>
      </c>
      <c r="E60" s="11" t="s">
        <v>142</v>
      </c>
      <c r="F60" s="11" t="s">
        <v>355</v>
      </c>
      <c r="G60" s="11" t="s">
        <v>356</v>
      </c>
      <c r="H60" s="11" t="s">
        <v>357</v>
      </c>
      <c r="I60" s="11" t="s">
        <v>38</v>
      </c>
    </row>
    <row r="61" spans="1:9" ht="19.95" customHeight="1" x14ac:dyDescent="0.3">
      <c r="A61" s="23">
        <v>46288.78826695602</v>
      </c>
      <c r="B61" s="25" t="s">
        <v>363</v>
      </c>
      <c r="C61" s="14" t="s">
        <v>353</v>
      </c>
      <c r="D61" s="14" t="s">
        <v>407</v>
      </c>
      <c r="E61" s="14" t="s">
        <v>145</v>
      </c>
      <c r="F61" s="14" t="s">
        <v>355</v>
      </c>
      <c r="G61" s="14" t="s">
        <v>356</v>
      </c>
      <c r="H61" s="14" t="s">
        <v>357</v>
      </c>
      <c r="I61" s="14" t="s">
        <v>38</v>
      </c>
    </row>
    <row r="62" spans="1:9" ht="19.95" customHeight="1" x14ac:dyDescent="0.3">
      <c r="A62" s="21">
        <v>46288.788265497693</v>
      </c>
      <c r="B62" s="26" t="s">
        <v>363</v>
      </c>
      <c r="C62" s="11" t="s">
        <v>353</v>
      </c>
      <c r="D62" s="11" t="s">
        <v>408</v>
      </c>
      <c r="E62" s="11" t="s">
        <v>142</v>
      </c>
      <c r="F62" s="11" t="s">
        <v>355</v>
      </c>
      <c r="G62" s="11" t="s">
        <v>356</v>
      </c>
      <c r="H62" s="11" t="s">
        <v>357</v>
      </c>
      <c r="I62" s="11" t="s">
        <v>38</v>
      </c>
    </row>
    <row r="63" spans="1:9" ht="19.95" customHeight="1" x14ac:dyDescent="0.3">
      <c r="A63" s="23">
        <v>46288.788264363429</v>
      </c>
      <c r="B63" s="25" t="s">
        <v>363</v>
      </c>
      <c r="C63" s="14" t="s">
        <v>353</v>
      </c>
      <c r="D63" s="14" t="s">
        <v>409</v>
      </c>
      <c r="E63" s="14" t="s">
        <v>145</v>
      </c>
      <c r="F63" s="14" t="s">
        <v>355</v>
      </c>
      <c r="G63" s="14" t="s">
        <v>356</v>
      </c>
      <c r="H63" s="14" t="s">
        <v>357</v>
      </c>
      <c r="I63" s="14" t="s">
        <v>38</v>
      </c>
    </row>
    <row r="64" spans="1:9" ht="19.95" customHeight="1" x14ac:dyDescent="0.3">
      <c r="A64" s="21">
        <v>46288.788262939823</v>
      </c>
      <c r="B64" s="26" t="s">
        <v>363</v>
      </c>
      <c r="C64" s="11" t="s">
        <v>353</v>
      </c>
      <c r="D64" s="11" t="s">
        <v>410</v>
      </c>
      <c r="E64" s="11" t="s">
        <v>142</v>
      </c>
      <c r="F64" s="11" t="s">
        <v>355</v>
      </c>
      <c r="G64" s="11" t="s">
        <v>356</v>
      </c>
      <c r="H64" s="11" t="s">
        <v>357</v>
      </c>
      <c r="I64" s="11" t="s">
        <v>38</v>
      </c>
    </row>
    <row r="65" spans="1:9" ht="19.95" customHeight="1" x14ac:dyDescent="0.3">
      <c r="A65" s="23">
        <v>46288.788261932867</v>
      </c>
      <c r="B65" s="25" t="s">
        <v>363</v>
      </c>
      <c r="C65" s="14" t="s">
        <v>353</v>
      </c>
      <c r="D65" s="14" t="s">
        <v>411</v>
      </c>
      <c r="E65" s="14" t="s">
        <v>142</v>
      </c>
      <c r="F65" s="14" t="s">
        <v>355</v>
      </c>
      <c r="G65" s="14" t="s">
        <v>356</v>
      </c>
      <c r="H65" s="14" t="s">
        <v>357</v>
      </c>
      <c r="I65" s="14" t="s">
        <v>38</v>
      </c>
    </row>
    <row r="66" spans="1:9" ht="19.95" customHeight="1" x14ac:dyDescent="0.3">
      <c r="A66" s="21">
        <v>46288.788261180547</v>
      </c>
      <c r="B66" s="26" t="s">
        <v>363</v>
      </c>
      <c r="C66" s="11" t="s">
        <v>353</v>
      </c>
      <c r="D66" s="11" t="s">
        <v>412</v>
      </c>
      <c r="E66" s="11" t="s">
        <v>145</v>
      </c>
      <c r="F66" s="11" t="s">
        <v>355</v>
      </c>
      <c r="G66" s="11" t="s">
        <v>356</v>
      </c>
      <c r="H66" s="11" t="s">
        <v>357</v>
      </c>
      <c r="I66" s="11" t="s">
        <v>38</v>
      </c>
    </row>
    <row r="67" spans="1:9" ht="19.95" customHeight="1" x14ac:dyDescent="0.3">
      <c r="A67" s="23">
        <v>46288.788260208326</v>
      </c>
      <c r="B67" s="25" t="s">
        <v>363</v>
      </c>
      <c r="C67" s="14" t="s">
        <v>353</v>
      </c>
      <c r="D67" s="14" t="s">
        <v>413</v>
      </c>
      <c r="E67" s="14" t="s">
        <v>142</v>
      </c>
      <c r="F67" s="14" t="s">
        <v>355</v>
      </c>
      <c r="G67" s="14" t="s">
        <v>356</v>
      </c>
      <c r="H67" s="14" t="s">
        <v>357</v>
      </c>
      <c r="I67" s="14" t="s">
        <v>38</v>
      </c>
    </row>
    <row r="68" spans="1:9" ht="19.95" customHeight="1" x14ac:dyDescent="0.3">
      <c r="A68" s="21">
        <v>46288.788259201392</v>
      </c>
      <c r="B68" s="26" t="s">
        <v>363</v>
      </c>
      <c r="C68" s="11" t="s">
        <v>353</v>
      </c>
      <c r="D68" s="11" t="s">
        <v>414</v>
      </c>
      <c r="E68" s="11" t="s">
        <v>145</v>
      </c>
      <c r="F68" s="11" t="s">
        <v>355</v>
      </c>
      <c r="G68" s="11" t="s">
        <v>356</v>
      </c>
      <c r="H68" s="11" t="s">
        <v>357</v>
      </c>
      <c r="I68" s="11" t="s">
        <v>38</v>
      </c>
    </row>
    <row r="69" spans="1:9" ht="19.95" customHeight="1" x14ac:dyDescent="0.3">
      <c r="A69" s="23">
        <v>46288.788258252323</v>
      </c>
      <c r="B69" s="25" t="s">
        <v>363</v>
      </c>
      <c r="C69" s="14" t="s">
        <v>353</v>
      </c>
      <c r="D69" s="14" t="s">
        <v>415</v>
      </c>
      <c r="E69" s="14" t="s">
        <v>142</v>
      </c>
      <c r="F69" s="14" t="s">
        <v>355</v>
      </c>
      <c r="G69" s="14" t="s">
        <v>356</v>
      </c>
      <c r="H69" s="14" t="s">
        <v>357</v>
      </c>
      <c r="I69" s="14" t="s">
        <v>38</v>
      </c>
    </row>
    <row r="70" spans="1:9" ht="19.95" customHeight="1" x14ac:dyDescent="0.3">
      <c r="A70" s="21">
        <v>46288.788257118053</v>
      </c>
      <c r="B70" s="26" t="s">
        <v>363</v>
      </c>
      <c r="C70" s="11" t="s">
        <v>353</v>
      </c>
      <c r="D70" s="11" t="s">
        <v>416</v>
      </c>
      <c r="E70" s="11" t="s">
        <v>145</v>
      </c>
      <c r="F70" s="11" t="s">
        <v>355</v>
      </c>
      <c r="G70" s="11" t="s">
        <v>356</v>
      </c>
      <c r="H70" s="11" t="s">
        <v>357</v>
      </c>
      <c r="I70" s="11" t="s">
        <v>38</v>
      </c>
    </row>
    <row r="71" spans="1:9" ht="19.95" customHeight="1" x14ac:dyDescent="0.3">
      <c r="A71" s="23">
        <v>46288.788256053238</v>
      </c>
      <c r="B71" s="25" t="s">
        <v>363</v>
      </c>
      <c r="C71" s="14" t="s">
        <v>353</v>
      </c>
      <c r="D71" s="14" t="s">
        <v>417</v>
      </c>
      <c r="E71" s="14" t="s">
        <v>145</v>
      </c>
      <c r="F71" s="14" t="s">
        <v>355</v>
      </c>
      <c r="G71" s="14" t="s">
        <v>356</v>
      </c>
      <c r="H71" s="14" t="s">
        <v>357</v>
      </c>
      <c r="I71" s="14" t="s">
        <v>38</v>
      </c>
    </row>
    <row r="72" spans="1:9" ht="19.95" customHeight="1" x14ac:dyDescent="0.3">
      <c r="A72" s="21">
        <v>46288.754169375003</v>
      </c>
      <c r="B72" s="26" t="s">
        <v>363</v>
      </c>
      <c r="C72" s="11" t="s">
        <v>353</v>
      </c>
      <c r="D72" s="11" t="s">
        <v>418</v>
      </c>
      <c r="E72" s="11" t="s">
        <v>145</v>
      </c>
      <c r="F72" s="11" t="s">
        <v>355</v>
      </c>
      <c r="G72" s="11" t="s">
        <v>356</v>
      </c>
      <c r="H72" s="11" t="s">
        <v>357</v>
      </c>
      <c r="I72" s="11" t="s">
        <v>38</v>
      </c>
    </row>
    <row r="73" spans="1:9" ht="19.95" customHeight="1" x14ac:dyDescent="0.3">
      <c r="A73" s="23">
        <v>46288.733598136583</v>
      </c>
      <c r="B73" s="25" t="s">
        <v>363</v>
      </c>
      <c r="C73" s="14" t="s">
        <v>419</v>
      </c>
      <c r="D73" s="14" t="s">
        <v>420</v>
      </c>
      <c r="E73" s="14" t="s">
        <v>145</v>
      </c>
      <c r="F73" s="14" t="s">
        <v>177</v>
      </c>
      <c r="G73" s="14" t="s">
        <v>356</v>
      </c>
      <c r="H73" s="14" t="s">
        <v>357</v>
      </c>
      <c r="I73" s="14" t="s">
        <v>421</v>
      </c>
    </row>
    <row r="74" spans="1:9" ht="19.95" customHeight="1" x14ac:dyDescent="0.3">
      <c r="A74" s="21">
        <v>46288.496272708333</v>
      </c>
      <c r="B74" s="26" t="s">
        <v>363</v>
      </c>
      <c r="C74" s="11" t="s">
        <v>422</v>
      </c>
      <c r="D74" s="11" t="s">
        <v>423</v>
      </c>
      <c r="E74" s="11" t="s">
        <v>145</v>
      </c>
      <c r="F74" s="11" t="s">
        <v>424</v>
      </c>
      <c r="G74" s="11" t="s">
        <v>147</v>
      </c>
      <c r="H74" s="11" t="s">
        <v>425</v>
      </c>
      <c r="I74" s="11" t="s">
        <v>426</v>
      </c>
    </row>
    <row r="75" spans="1:9" ht="19.95" customHeight="1" x14ac:dyDescent="0.3">
      <c r="A75" s="23">
        <v>46288.471759074077</v>
      </c>
      <c r="B75" s="25" t="s">
        <v>363</v>
      </c>
      <c r="C75" s="14" t="s">
        <v>427</v>
      </c>
      <c r="D75" s="14" t="s">
        <v>399</v>
      </c>
      <c r="E75" s="14" t="s">
        <v>145</v>
      </c>
      <c r="F75" s="14" t="s">
        <v>428</v>
      </c>
      <c r="G75" s="14" t="s">
        <v>356</v>
      </c>
      <c r="H75" s="14" t="s">
        <v>357</v>
      </c>
      <c r="I75" s="14" t="s">
        <v>429</v>
      </c>
    </row>
    <row r="76" spans="1:9" ht="19.95" customHeight="1" x14ac:dyDescent="0.3">
      <c r="A76" s="21">
        <v>46288.364701516213</v>
      </c>
      <c r="B76" s="26" t="s">
        <v>363</v>
      </c>
      <c r="C76" s="11" t="s">
        <v>430</v>
      </c>
      <c r="D76" s="11" t="s">
        <v>431</v>
      </c>
      <c r="E76" s="11" t="s">
        <v>145</v>
      </c>
      <c r="F76" s="11" t="s">
        <v>432</v>
      </c>
      <c r="G76" s="11" t="s">
        <v>356</v>
      </c>
      <c r="H76" s="11" t="s">
        <v>357</v>
      </c>
      <c r="I76" s="11" t="s">
        <v>433</v>
      </c>
    </row>
    <row r="77" spans="1:9" ht="19.95" customHeight="1" x14ac:dyDescent="0.3">
      <c r="A77" s="23">
        <v>46287.802195648153</v>
      </c>
      <c r="B77" s="25" t="s">
        <v>363</v>
      </c>
      <c r="C77" s="14" t="s">
        <v>434</v>
      </c>
      <c r="D77" s="14" t="s">
        <v>423</v>
      </c>
      <c r="E77" s="14" t="s">
        <v>145</v>
      </c>
      <c r="F77" s="14" t="s">
        <v>380</v>
      </c>
      <c r="G77" s="14" t="s">
        <v>147</v>
      </c>
      <c r="H77" s="14" t="s">
        <v>425</v>
      </c>
      <c r="I77" s="14" t="s">
        <v>435</v>
      </c>
    </row>
    <row r="78" spans="1:9" ht="19.95" customHeight="1" x14ac:dyDescent="0.3">
      <c r="A78" s="21">
        <v>46287.582481412042</v>
      </c>
      <c r="B78" s="26" t="s">
        <v>363</v>
      </c>
      <c r="C78" s="11" t="s">
        <v>359</v>
      </c>
      <c r="D78" s="11" t="s">
        <v>417</v>
      </c>
      <c r="E78" s="11" t="s">
        <v>145</v>
      </c>
      <c r="F78" s="11" t="s">
        <v>432</v>
      </c>
      <c r="G78" s="11" t="s">
        <v>356</v>
      </c>
      <c r="H78" s="11" t="s">
        <v>357</v>
      </c>
      <c r="I78" s="11" t="s">
        <v>38</v>
      </c>
    </row>
    <row r="79" spans="1:9" ht="19.95" customHeight="1" x14ac:dyDescent="0.3">
      <c r="A79" s="23">
        <v>46287.580341319437</v>
      </c>
      <c r="B79" s="25" t="s">
        <v>363</v>
      </c>
      <c r="C79" s="14" t="s">
        <v>359</v>
      </c>
      <c r="D79" s="14" t="s">
        <v>416</v>
      </c>
      <c r="E79" s="14" t="s">
        <v>142</v>
      </c>
      <c r="F79" s="14" t="s">
        <v>432</v>
      </c>
      <c r="G79" s="14" t="s">
        <v>356</v>
      </c>
      <c r="H79" s="14" t="s">
        <v>357</v>
      </c>
      <c r="I79" s="14" t="s">
        <v>38</v>
      </c>
    </row>
    <row r="80" spans="1:9" ht="19.95" customHeight="1" x14ac:dyDescent="0.3">
      <c r="A80" s="21">
        <v>46287.55485359954</v>
      </c>
      <c r="B80" s="26" t="s">
        <v>363</v>
      </c>
      <c r="C80" s="11" t="s">
        <v>359</v>
      </c>
      <c r="D80" s="11" t="s">
        <v>415</v>
      </c>
      <c r="E80" s="11" t="s">
        <v>145</v>
      </c>
      <c r="F80" s="11" t="s">
        <v>428</v>
      </c>
      <c r="G80" s="11" t="s">
        <v>356</v>
      </c>
      <c r="H80" s="11" t="s">
        <v>357</v>
      </c>
      <c r="I80" s="11" t="s">
        <v>436</v>
      </c>
    </row>
    <row r="81" spans="1:9" ht="19.95" customHeight="1" x14ac:dyDescent="0.3">
      <c r="A81" s="23">
        <v>46287.464966782412</v>
      </c>
      <c r="B81" s="25" t="s">
        <v>363</v>
      </c>
      <c r="C81" s="14" t="s">
        <v>359</v>
      </c>
      <c r="D81" s="14" t="s">
        <v>414</v>
      </c>
      <c r="E81" s="14" t="s">
        <v>145</v>
      </c>
      <c r="F81" s="14" t="s">
        <v>424</v>
      </c>
      <c r="G81" s="14" t="s">
        <v>356</v>
      </c>
      <c r="H81" s="14" t="s">
        <v>357</v>
      </c>
      <c r="I81" s="14" t="s">
        <v>38</v>
      </c>
    </row>
    <row r="82" spans="1:9" ht="19.95" customHeight="1" x14ac:dyDescent="0.3">
      <c r="A82" s="21">
        <v>46287.44185909722</v>
      </c>
      <c r="B82" s="26" t="s">
        <v>363</v>
      </c>
      <c r="C82" s="11" t="s">
        <v>359</v>
      </c>
      <c r="D82" s="11" t="s">
        <v>413</v>
      </c>
      <c r="E82" s="11" t="s">
        <v>145</v>
      </c>
      <c r="F82" s="11" t="s">
        <v>432</v>
      </c>
      <c r="G82" s="11" t="s">
        <v>356</v>
      </c>
      <c r="H82" s="11" t="s">
        <v>357</v>
      </c>
      <c r="I82" s="11" t="s">
        <v>38</v>
      </c>
    </row>
    <row r="83" spans="1:9" ht="19.95" customHeight="1" x14ac:dyDescent="0.3">
      <c r="A83" s="23">
        <v>46287.003435891202</v>
      </c>
      <c r="B83" s="25" t="s">
        <v>363</v>
      </c>
      <c r="C83" s="14" t="s">
        <v>359</v>
      </c>
      <c r="D83" s="14" t="s">
        <v>412</v>
      </c>
      <c r="E83" s="14" t="s">
        <v>142</v>
      </c>
      <c r="F83" s="14" t="s">
        <v>432</v>
      </c>
      <c r="G83" s="14" t="s">
        <v>356</v>
      </c>
      <c r="H83" s="14" t="s">
        <v>357</v>
      </c>
      <c r="I83" s="14" t="s">
        <v>437</v>
      </c>
    </row>
    <row r="84" spans="1:9" ht="19.95" customHeight="1" x14ac:dyDescent="0.3">
      <c r="A84" s="21">
        <v>46286.917524918979</v>
      </c>
      <c r="B84" s="26" t="s">
        <v>363</v>
      </c>
      <c r="C84" s="11" t="s">
        <v>359</v>
      </c>
      <c r="D84" s="11" t="s">
        <v>411</v>
      </c>
      <c r="E84" s="11" t="s">
        <v>142</v>
      </c>
      <c r="F84" s="11" t="s">
        <v>380</v>
      </c>
      <c r="G84" s="11" t="s">
        <v>139</v>
      </c>
      <c r="H84" s="11" t="s">
        <v>381</v>
      </c>
      <c r="I84" s="11" t="s">
        <v>438</v>
      </c>
    </row>
    <row r="85" spans="1:9" ht="19.95" customHeight="1" x14ac:dyDescent="0.3">
      <c r="A85" s="23">
        <v>46286.877600462962</v>
      </c>
      <c r="B85" s="25" t="s">
        <v>363</v>
      </c>
      <c r="C85" s="14" t="s">
        <v>359</v>
      </c>
      <c r="D85" s="14" t="s">
        <v>409</v>
      </c>
      <c r="E85" s="14" t="s">
        <v>142</v>
      </c>
      <c r="F85" s="14" t="s">
        <v>355</v>
      </c>
      <c r="G85" s="14" t="s">
        <v>356</v>
      </c>
      <c r="H85" s="14" t="s">
        <v>357</v>
      </c>
      <c r="I85" s="14" t="s">
        <v>439</v>
      </c>
    </row>
    <row r="86" spans="1:9" ht="19.95" customHeight="1" x14ac:dyDescent="0.3">
      <c r="A86" s="21">
        <v>46286.752211168983</v>
      </c>
      <c r="B86" s="13" t="s">
        <v>440</v>
      </c>
      <c r="C86" s="11" t="s">
        <v>359</v>
      </c>
      <c r="D86" s="11" t="s">
        <v>408</v>
      </c>
      <c r="E86" s="11" t="s">
        <v>142</v>
      </c>
      <c r="F86" s="11" t="s">
        <v>424</v>
      </c>
      <c r="G86" s="11" t="s">
        <v>356</v>
      </c>
      <c r="H86" s="11" t="s">
        <v>357</v>
      </c>
      <c r="I86" s="11" t="s">
        <v>38</v>
      </c>
    </row>
    <row r="87" spans="1:9" ht="19.95" customHeight="1" x14ac:dyDescent="0.3">
      <c r="A87" s="23">
        <v>46286.708153125001</v>
      </c>
      <c r="B87" s="16" t="s">
        <v>440</v>
      </c>
      <c r="C87" s="14" t="s">
        <v>441</v>
      </c>
      <c r="D87" s="14" t="s">
        <v>442</v>
      </c>
      <c r="E87" s="14" t="s">
        <v>145</v>
      </c>
      <c r="F87" s="14" t="s">
        <v>380</v>
      </c>
      <c r="G87" s="14" t="s">
        <v>150</v>
      </c>
      <c r="H87" s="14" t="s">
        <v>443</v>
      </c>
      <c r="I87" s="14" t="s">
        <v>444</v>
      </c>
    </row>
    <row r="88" spans="1:9" ht="19.95" customHeight="1" x14ac:dyDescent="0.3">
      <c r="A88" s="21">
        <v>46286.641681064822</v>
      </c>
      <c r="B88" s="13" t="s">
        <v>440</v>
      </c>
      <c r="C88" s="11" t="s">
        <v>353</v>
      </c>
      <c r="D88" s="11" t="s">
        <v>400</v>
      </c>
      <c r="E88" s="11" t="s">
        <v>145</v>
      </c>
      <c r="F88" s="11" t="s">
        <v>380</v>
      </c>
      <c r="G88" s="11" t="s">
        <v>152</v>
      </c>
      <c r="H88" s="11" t="s">
        <v>256</v>
      </c>
      <c r="I88" s="11" t="s">
        <v>445</v>
      </c>
    </row>
    <row r="89" spans="1:9" ht="19.95" customHeight="1" x14ac:dyDescent="0.3">
      <c r="A89" s="23">
        <v>46286.598281597217</v>
      </c>
      <c r="B89" s="16" t="s">
        <v>440</v>
      </c>
      <c r="C89" s="14" t="s">
        <v>359</v>
      </c>
      <c r="D89" s="14" t="s">
        <v>407</v>
      </c>
      <c r="E89" s="14" t="s">
        <v>142</v>
      </c>
      <c r="F89" s="14" t="s">
        <v>177</v>
      </c>
      <c r="G89" s="14" t="s">
        <v>356</v>
      </c>
      <c r="H89" s="14" t="s">
        <v>357</v>
      </c>
      <c r="I89" s="14" t="s">
        <v>421</v>
      </c>
    </row>
    <row r="90" spans="1:9" ht="19.95" customHeight="1" x14ac:dyDescent="0.3">
      <c r="A90" s="21">
        <v>46286.576799988427</v>
      </c>
      <c r="B90" s="13" t="s">
        <v>440</v>
      </c>
      <c r="C90" s="11" t="s">
        <v>359</v>
      </c>
      <c r="D90" s="11" t="s">
        <v>406</v>
      </c>
      <c r="E90" s="11" t="s">
        <v>142</v>
      </c>
      <c r="F90" s="11" t="s">
        <v>446</v>
      </c>
      <c r="G90" s="11" t="s">
        <v>356</v>
      </c>
      <c r="H90" s="11" t="s">
        <v>357</v>
      </c>
      <c r="I90" s="11" t="s">
        <v>38</v>
      </c>
    </row>
    <row r="91" spans="1:9" ht="19.95" customHeight="1" x14ac:dyDescent="0.3">
      <c r="A91" s="23">
        <v>46286.576312696758</v>
      </c>
      <c r="B91" s="16" t="s">
        <v>440</v>
      </c>
      <c r="C91" s="14" t="s">
        <v>359</v>
      </c>
      <c r="D91" s="14" t="s">
        <v>405</v>
      </c>
      <c r="E91" s="14" t="s">
        <v>142</v>
      </c>
      <c r="F91" s="14" t="s">
        <v>177</v>
      </c>
      <c r="G91" s="14" t="s">
        <v>356</v>
      </c>
      <c r="H91" s="14" t="s">
        <v>357</v>
      </c>
      <c r="I91" s="14" t="s">
        <v>421</v>
      </c>
    </row>
    <row r="92" spans="1:9" ht="19.95" customHeight="1" x14ac:dyDescent="0.3">
      <c r="A92" s="21">
        <v>46286.554372534723</v>
      </c>
      <c r="B92" s="13" t="s">
        <v>440</v>
      </c>
      <c r="C92" s="11" t="s">
        <v>359</v>
      </c>
      <c r="D92" s="11" t="s">
        <v>404</v>
      </c>
      <c r="E92" s="11" t="s">
        <v>142</v>
      </c>
      <c r="F92" s="11" t="s">
        <v>432</v>
      </c>
      <c r="G92" s="11" t="s">
        <v>356</v>
      </c>
      <c r="H92" s="11" t="s">
        <v>357</v>
      </c>
      <c r="I92" s="11" t="s">
        <v>447</v>
      </c>
    </row>
    <row r="93" spans="1:9" ht="19.95" customHeight="1" x14ac:dyDescent="0.3">
      <c r="A93" s="23">
        <v>46286.47091935185</v>
      </c>
      <c r="B93" s="16" t="s">
        <v>440</v>
      </c>
      <c r="C93" s="14" t="s">
        <v>359</v>
      </c>
      <c r="D93" s="14" t="s">
        <v>403</v>
      </c>
      <c r="E93" s="14" t="s">
        <v>142</v>
      </c>
      <c r="F93" s="14" t="s">
        <v>446</v>
      </c>
      <c r="G93" s="14" t="s">
        <v>356</v>
      </c>
      <c r="H93" s="14" t="s">
        <v>357</v>
      </c>
      <c r="I93" s="14" t="s">
        <v>38</v>
      </c>
    </row>
    <row r="94" spans="1:9" ht="19.95" customHeight="1" x14ac:dyDescent="0.3">
      <c r="A94" s="21">
        <v>46286.389773738418</v>
      </c>
      <c r="B94" s="13" t="s">
        <v>440</v>
      </c>
      <c r="C94" s="11" t="s">
        <v>359</v>
      </c>
      <c r="D94" s="11" t="s">
        <v>402</v>
      </c>
      <c r="E94" s="11" t="s">
        <v>145</v>
      </c>
      <c r="F94" s="11" t="s">
        <v>424</v>
      </c>
      <c r="G94" s="11" t="s">
        <v>356</v>
      </c>
      <c r="H94" s="11" t="s">
        <v>357</v>
      </c>
      <c r="I94" s="11" t="s">
        <v>38</v>
      </c>
    </row>
    <row r="95" spans="1:9" ht="19.95" customHeight="1" x14ac:dyDescent="0.3">
      <c r="A95" s="23">
        <v>46286.352003356478</v>
      </c>
      <c r="B95" s="16" t="s">
        <v>440</v>
      </c>
      <c r="C95" s="14" t="s">
        <v>359</v>
      </c>
      <c r="D95" s="14" t="s">
        <v>401</v>
      </c>
      <c r="E95" s="14" t="s">
        <v>145</v>
      </c>
      <c r="F95" s="14" t="s">
        <v>432</v>
      </c>
      <c r="G95" s="14" t="s">
        <v>356</v>
      </c>
      <c r="H95" s="14" t="s">
        <v>357</v>
      </c>
      <c r="I95" s="14" t="s">
        <v>38</v>
      </c>
    </row>
    <row r="96" spans="1:9" ht="19.95" customHeight="1" x14ac:dyDescent="0.3">
      <c r="A96" s="21">
        <v>46286.244877939818</v>
      </c>
      <c r="B96" s="13" t="s">
        <v>440</v>
      </c>
      <c r="C96" s="11" t="s">
        <v>359</v>
      </c>
      <c r="D96" s="11" t="s">
        <v>400</v>
      </c>
      <c r="E96" s="11" t="s">
        <v>145</v>
      </c>
      <c r="F96" s="11" t="s">
        <v>380</v>
      </c>
      <c r="G96" s="11" t="s">
        <v>152</v>
      </c>
      <c r="H96" s="11" t="s">
        <v>256</v>
      </c>
      <c r="I96" s="11" t="s">
        <v>448</v>
      </c>
    </row>
    <row r="97" spans="1:9" ht="19.95" customHeight="1" x14ac:dyDescent="0.3">
      <c r="A97" s="23">
        <v>46285.960258969913</v>
      </c>
      <c r="B97" s="16" t="s">
        <v>440</v>
      </c>
      <c r="C97" s="14" t="s">
        <v>359</v>
      </c>
      <c r="D97" s="14" t="s">
        <v>399</v>
      </c>
      <c r="E97" s="14" t="s">
        <v>145</v>
      </c>
      <c r="F97" s="14" t="s">
        <v>432</v>
      </c>
      <c r="G97" s="14" t="s">
        <v>356</v>
      </c>
      <c r="H97" s="14" t="s">
        <v>357</v>
      </c>
      <c r="I97" s="14" t="s">
        <v>38</v>
      </c>
    </row>
    <row r="98" spans="1:9" ht="19.95" customHeight="1" x14ac:dyDescent="0.3">
      <c r="A98" s="21">
        <v>46285.948265960651</v>
      </c>
      <c r="B98" s="13" t="s">
        <v>440</v>
      </c>
      <c r="C98" s="11" t="s">
        <v>359</v>
      </c>
      <c r="D98" s="11" t="s">
        <v>397</v>
      </c>
      <c r="E98" s="11" t="s">
        <v>145</v>
      </c>
      <c r="F98" s="11" t="s">
        <v>432</v>
      </c>
      <c r="G98" s="11" t="s">
        <v>356</v>
      </c>
      <c r="H98" s="11" t="s">
        <v>357</v>
      </c>
      <c r="I98" s="11" t="s">
        <v>38</v>
      </c>
    </row>
    <row r="99" spans="1:9" ht="19.95" customHeight="1" x14ac:dyDescent="0.3">
      <c r="A99" s="23">
        <v>46285.948170752323</v>
      </c>
      <c r="B99" s="16" t="s">
        <v>440</v>
      </c>
      <c r="C99" s="14" t="s">
        <v>359</v>
      </c>
      <c r="D99" s="14" t="s">
        <v>398</v>
      </c>
      <c r="E99" s="14" t="s">
        <v>145</v>
      </c>
      <c r="F99" s="14" t="s">
        <v>362</v>
      </c>
      <c r="G99" s="14" t="s">
        <v>356</v>
      </c>
      <c r="H99" s="14" t="s">
        <v>357</v>
      </c>
      <c r="I99" s="14" t="s">
        <v>38</v>
      </c>
    </row>
    <row r="100" spans="1:9" ht="19.95" customHeight="1" x14ac:dyDescent="0.3">
      <c r="A100" s="21">
        <v>46285.732822442129</v>
      </c>
      <c r="B100" s="13" t="s">
        <v>440</v>
      </c>
      <c r="C100" s="11" t="s">
        <v>359</v>
      </c>
      <c r="D100" s="11" t="s">
        <v>396</v>
      </c>
      <c r="E100" s="11" t="s">
        <v>145</v>
      </c>
      <c r="F100" s="11" t="s">
        <v>432</v>
      </c>
      <c r="G100" s="11" t="s">
        <v>356</v>
      </c>
      <c r="H100" s="11" t="s">
        <v>357</v>
      </c>
      <c r="I100" s="11" t="s">
        <v>38</v>
      </c>
    </row>
    <row r="101" spans="1:9" ht="19.95" customHeight="1" x14ac:dyDescent="0.3">
      <c r="A101" s="23">
        <v>46285.710561701388</v>
      </c>
      <c r="B101" s="16" t="s">
        <v>440</v>
      </c>
      <c r="C101" s="14" t="s">
        <v>359</v>
      </c>
      <c r="D101" s="14" t="s">
        <v>395</v>
      </c>
      <c r="E101" s="14" t="s">
        <v>145</v>
      </c>
      <c r="F101" s="14" t="s">
        <v>424</v>
      </c>
      <c r="G101" s="14" t="s">
        <v>356</v>
      </c>
      <c r="H101" s="14" t="s">
        <v>357</v>
      </c>
      <c r="I101" s="14" t="s">
        <v>38</v>
      </c>
    </row>
    <row r="102" spans="1:9" ht="19.95" customHeight="1" x14ac:dyDescent="0.3">
      <c r="A102" s="21">
        <v>46285.58711803241</v>
      </c>
      <c r="B102" s="13" t="s">
        <v>440</v>
      </c>
      <c r="C102" s="11" t="s">
        <v>359</v>
      </c>
      <c r="D102" s="11" t="s">
        <v>394</v>
      </c>
      <c r="E102" s="11" t="s">
        <v>145</v>
      </c>
      <c r="F102" s="11" t="s">
        <v>432</v>
      </c>
      <c r="G102" s="11" t="s">
        <v>356</v>
      </c>
      <c r="H102" s="11" t="s">
        <v>357</v>
      </c>
      <c r="I102" s="11" t="s">
        <v>38</v>
      </c>
    </row>
    <row r="103" spans="1:9" ht="19.95" customHeight="1" x14ac:dyDescent="0.3">
      <c r="A103" s="23">
        <v>46285.450540868063</v>
      </c>
      <c r="B103" s="16" t="s">
        <v>440</v>
      </c>
      <c r="C103" s="14" t="s">
        <v>359</v>
      </c>
      <c r="D103" s="14" t="s">
        <v>449</v>
      </c>
      <c r="E103" s="14" t="s">
        <v>145</v>
      </c>
      <c r="F103" s="14" t="s">
        <v>424</v>
      </c>
      <c r="G103" s="14" t="s">
        <v>356</v>
      </c>
      <c r="H103" s="14" t="s">
        <v>357</v>
      </c>
      <c r="I103" s="14" t="s">
        <v>38</v>
      </c>
    </row>
    <row r="104" spans="1:9" ht="19.95" customHeight="1" x14ac:dyDescent="0.3">
      <c r="A104" s="21">
        <v>46285.393331342602</v>
      </c>
      <c r="B104" s="13" t="s">
        <v>440</v>
      </c>
      <c r="C104" s="11" t="s">
        <v>359</v>
      </c>
      <c r="D104" s="11" t="s">
        <v>450</v>
      </c>
      <c r="E104" s="11" t="s">
        <v>145</v>
      </c>
      <c r="F104" s="11" t="s">
        <v>428</v>
      </c>
      <c r="G104" s="11" t="s">
        <v>356</v>
      </c>
      <c r="H104" s="11" t="s">
        <v>357</v>
      </c>
      <c r="I104" s="11" t="s">
        <v>451</v>
      </c>
    </row>
    <row r="105" spans="1:9" ht="19.95" customHeight="1" x14ac:dyDescent="0.3">
      <c r="A105" s="23">
        <v>46285.387891481478</v>
      </c>
      <c r="B105" s="16" t="s">
        <v>440</v>
      </c>
      <c r="C105" s="14" t="s">
        <v>359</v>
      </c>
      <c r="D105" s="14" t="s">
        <v>452</v>
      </c>
      <c r="E105" s="14" t="s">
        <v>145</v>
      </c>
      <c r="F105" s="14" t="s">
        <v>432</v>
      </c>
      <c r="G105" s="14" t="s">
        <v>356</v>
      </c>
      <c r="H105" s="14" t="s">
        <v>357</v>
      </c>
      <c r="I105" s="14" t="s">
        <v>38</v>
      </c>
    </row>
    <row r="106" spans="1:9" ht="19.95" customHeight="1" x14ac:dyDescent="0.3">
      <c r="A106" s="21">
        <v>46285.045926087972</v>
      </c>
      <c r="B106" s="13" t="s">
        <v>440</v>
      </c>
      <c r="C106" s="11" t="s">
        <v>359</v>
      </c>
      <c r="D106" s="11" t="s">
        <v>453</v>
      </c>
      <c r="E106" s="11" t="s">
        <v>145</v>
      </c>
      <c r="F106" s="11" t="s">
        <v>432</v>
      </c>
      <c r="G106" s="11" t="s">
        <v>356</v>
      </c>
      <c r="H106" s="11" t="s">
        <v>357</v>
      </c>
      <c r="I106" s="11" t="s">
        <v>38</v>
      </c>
    </row>
    <row r="107" spans="1:9" ht="19.95" customHeight="1" x14ac:dyDescent="0.3">
      <c r="A107" s="23">
        <v>46284.94396084491</v>
      </c>
      <c r="B107" s="16" t="s">
        <v>440</v>
      </c>
      <c r="C107" s="14" t="s">
        <v>359</v>
      </c>
      <c r="D107" s="14" t="s">
        <v>454</v>
      </c>
      <c r="E107" s="14" t="s">
        <v>142</v>
      </c>
      <c r="F107" s="14" t="s">
        <v>428</v>
      </c>
      <c r="G107" s="14" t="s">
        <v>356</v>
      </c>
      <c r="H107" s="14" t="s">
        <v>357</v>
      </c>
      <c r="I107" s="14" t="s">
        <v>455</v>
      </c>
    </row>
    <row r="108" spans="1:9" ht="19.95" customHeight="1" x14ac:dyDescent="0.3">
      <c r="A108" s="21">
        <v>46284.929513194453</v>
      </c>
      <c r="B108" s="13" t="s">
        <v>440</v>
      </c>
      <c r="C108" s="11" t="s">
        <v>359</v>
      </c>
      <c r="D108" s="11" t="s">
        <v>456</v>
      </c>
      <c r="E108" s="11" t="s">
        <v>145</v>
      </c>
      <c r="F108" s="11" t="s">
        <v>424</v>
      </c>
      <c r="G108" s="11" t="s">
        <v>356</v>
      </c>
      <c r="H108" s="11" t="s">
        <v>357</v>
      </c>
      <c r="I108" s="11" t="s">
        <v>38</v>
      </c>
    </row>
    <row r="109" spans="1:9" ht="19.95" customHeight="1" x14ac:dyDescent="0.3">
      <c r="A109" s="23">
        <v>46284.851248611107</v>
      </c>
      <c r="B109" s="16" t="s">
        <v>440</v>
      </c>
      <c r="C109" s="14" t="s">
        <v>359</v>
      </c>
      <c r="D109" s="14" t="s">
        <v>457</v>
      </c>
      <c r="E109" s="14" t="s">
        <v>145</v>
      </c>
      <c r="F109" s="14" t="s">
        <v>362</v>
      </c>
      <c r="G109" s="14" t="s">
        <v>356</v>
      </c>
      <c r="H109" s="14" t="s">
        <v>357</v>
      </c>
      <c r="I109" s="14" t="s">
        <v>38</v>
      </c>
    </row>
    <row r="110" spans="1:9" ht="19.95" customHeight="1" x14ac:dyDescent="0.3">
      <c r="A110" s="21">
        <v>46284.847705138891</v>
      </c>
      <c r="B110" s="13" t="s">
        <v>440</v>
      </c>
      <c r="C110" s="11" t="s">
        <v>359</v>
      </c>
      <c r="D110" s="11" t="s">
        <v>458</v>
      </c>
      <c r="E110" s="11" t="s">
        <v>145</v>
      </c>
      <c r="F110" s="11" t="s">
        <v>380</v>
      </c>
      <c r="G110" s="11" t="s">
        <v>147</v>
      </c>
      <c r="H110" s="11" t="s">
        <v>459</v>
      </c>
      <c r="I110" s="11" t="s">
        <v>460</v>
      </c>
    </row>
    <row r="111" spans="1:9" ht="19.95" customHeight="1" x14ac:dyDescent="0.3">
      <c r="A111" s="23">
        <v>46284.839969780092</v>
      </c>
      <c r="B111" s="16" t="s">
        <v>440</v>
      </c>
      <c r="C111" s="14" t="s">
        <v>359</v>
      </c>
      <c r="D111" s="14" t="s">
        <v>461</v>
      </c>
      <c r="E111" s="14" t="s">
        <v>142</v>
      </c>
      <c r="F111" s="14" t="s">
        <v>432</v>
      </c>
      <c r="G111" s="14" t="s">
        <v>356</v>
      </c>
      <c r="H111" s="14" t="s">
        <v>357</v>
      </c>
      <c r="I111" s="14" t="s">
        <v>38</v>
      </c>
    </row>
    <row r="112" spans="1:9" ht="19.95" customHeight="1" x14ac:dyDescent="0.3">
      <c r="A112" s="21">
        <v>46284.823014317131</v>
      </c>
      <c r="B112" s="13" t="s">
        <v>440</v>
      </c>
      <c r="C112" s="11" t="s">
        <v>462</v>
      </c>
      <c r="D112" s="11" t="s">
        <v>463</v>
      </c>
      <c r="E112" s="11" t="s">
        <v>145</v>
      </c>
      <c r="F112" s="11" t="s">
        <v>432</v>
      </c>
      <c r="G112" s="11" t="s">
        <v>356</v>
      </c>
      <c r="H112" s="11" t="s">
        <v>357</v>
      </c>
      <c r="I112" s="11" t="s">
        <v>38</v>
      </c>
    </row>
    <row r="113" spans="1:9" ht="19.95" customHeight="1" x14ac:dyDescent="0.3">
      <c r="A113" s="23">
        <v>46284.729592905103</v>
      </c>
      <c r="B113" s="16" t="s">
        <v>440</v>
      </c>
      <c r="C113" s="14" t="s">
        <v>359</v>
      </c>
      <c r="D113" s="14" t="s">
        <v>464</v>
      </c>
      <c r="E113" s="14" t="s">
        <v>145</v>
      </c>
      <c r="F113" s="14" t="s">
        <v>432</v>
      </c>
      <c r="G113" s="14" t="s">
        <v>356</v>
      </c>
      <c r="H113" s="14" t="s">
        <v>357</v>
      </c>
      <c r="I113" s="14" t="s">
        <v>38</v>
      </c>
    </row>
    <row r="114" spans="1:9" ht="19.95" customHeight="1" x14ac:dyDescent="0.3">
      <c r="A114" s="21">
        <v>46284.676577442129</v>
      </c>
      <c r="B114" s="13" t="s">
        <v>440</v>
      </c>
      <c r="C114" s="11" t="s">
        <v>359</v>
      </c>
      <c r="D114" s="11" t="s">
        <v>465</v>
      </c>
      <c r="E114" s="11" t="s">
        <v>142</v>
      </c>
      <c r="F114" s="11" t="s">
        <v>432</v>
      </c>
      <c r="G114" s="11" t="s">
        <v>356</v>
      </c>
      <c r="H114" s="11" t="s">
        <v>357</v>
      </c>
      <c r="I114" s="11" t="s">
        <v>433</v>
      </c>
    </row>
    <row r="115" spans="1:9" ht="19.95" customHeight="1" x14ac:dyDescent="0.3">
      <c r="A115" s="23">
        <v>46284.6384071875</v>
      </c>
      <c r="B115" s="16" t="s">
        <v>440</v>
      </c>
      <c r="C115" s="14" t="s">
        <v>466</v>
      </c>
      <c r="D115" s="14" t="s">
        <v>442</v>
      </c>
      <c r="E115" s="14" t="s">
        <v>145</v>
      </c>
      <c r="F115" s="14" t="s">
        <v>380</v>
      </c>
      <c r="G115" s="14" t="s">
        <v>150</v>
      </c>
      <c r="H115" s="14" t="s">
        <v>443</v>
      </c>
      <c r="I115" s="14" t="s">
        <v>467</v>
      </c>
    </row>
    <row r="116" spans="1:9" ht="19.95" customHeight="1" x14ac:dyDescent="0.3">
      <c r="A116" s="21">
        <v>46284.601828842591</v>
      </c>
      <c r="B116" s="13" t="s">
        <v>440</v>
      </c>
      <c r="C116" s="11" t="s">
        <v>359</v>
      </c>
      <c r="D116" s="11" t="s">
        <v>468</v>
      </c>
      <c r="E116" s="11" t="s">
        <v>145</v>
      </c>
      <c r="F116" s="11" t="s">
        <v>424</v>
      </c>
      <c r="G116" s="11" t="s">
        <v>356</v>
      </c>
      <c r="H116" s="11" t="s">
        <v>357</v>
      </c>
      <c r="I116" s="11" t="s">
        <v>38</v>
      </c>
    </row>
    <row r="117" spans="1:9" ht="19.95" customHeight="1" x14ac:dyDescent="0.3">
      <c r="A117" s="23">
        <v>46284.493531840279</v>
      </c>
      <c r="B117" s="16" t="s">
        <v>440</v>
      </c>
      <c r="C117" s="14" t="s">
        <v>359</v>
      </c>
      <c r="D117" s="14" t="s">
        <v>469</v>
      </c>
      <c r="E117" s="14" t="s">
        <v>145</v>
      </c>
      <c r="F117" s="14" t="s">
        <v>432</v>
      </c>
      <c r="G117" s="14" t="s">
        <v>356</v>
      </c>
      <c r="H117" s="14" t="s">
        <v>357</v>
      </c>
      <c r="I117" s="14" t="s">
        <v>433</v>
      </c>
    </row>
    <row r="118" spans="1:9" ht="19.95" customHeight="1" x14ac:dyDescent="0.3">
      <c r="A118" s="21">
        <v>46284.474355555547</v>
      </c>
      <c r="B118" s="13" t="s">
        <v>440</v>
      </c>
      <c r="C118" s="11" t="s">
        <v>359</v>
      </c>
      <c r="D118" s="11" t="s">
        <v>470</v>
      </c>
      <c r="E118" s="11" t="s">
        <v>142</v>
      </c>
      <c r="F118" s="11" t="s">
        <v>432</v>
      </c>
      <c r="G118" s="11" t="s">
        <v>356</v>
      </c>
      <c r="H118" s="11" t="s">
        <v>357</v>
      </c>
      <c r="I118" s="11" t="s">
        <v>38</v>
      </c>
    </row>
    <row r="119" spans="1:9" ht="19.95" customHeight="1" x14ac:dyDescent="0.3">
      <c r="A119" s="23">
        <v>46284.377834039347</v>
      </c>
      <c r="B119" s="16" t="s">
        <v>440</v>
      </c>
      <c r="C119" s="14" t="s">
        <v>359</v>
      </c>
      <c r="D119" s="14" t="s">
        <v>471</v>
      </c>
      <c r="E119" s="14" t="s">
        <v>145</v>
      </c>
      <c r="F119" s="14" t="s">
        <v>446</v>
      </c>
      <c r="G119" s="14" t="s">
        <v>356</v>
      </c>
      <c r="H119" s="14" t="s">
        <v>357</v>
      </c>
      <c r="I119" s="14" t="s">
        <v>433</v>
      </c>
    </row>
    <row r="120" spans="1:9" ht="19.95" customHeight="1" x14ac:dyDescent="0.3">
      <c r="A120" s="21">
        <v>46284.36755141204</v>
      </c>
      <c r="B120" s="13" t="s">
        <v>440</v>
      </c>
      <c r="C120" s="11" t="s">
        <v>359</v>
      </c>
      <c r="D120" s="11" t="s">
        <v>472</v>
      </c>
      <c r="E120" s="11" t="s">
        <v>361</v>
      </c>
      <c r="F120" s="11" t="s">
        <v>432</v>
      </c>
      <c r="G120" s="11" t="s">
        <v>356</v>
      </c>
      <c r="H120" s="11" t="s">
        <v>357</v>
      </c>
      <c r="I120" s="11" t="s">
        <v>38</v>
      </c>
    </row>
    <row r="121" spans="1:9" ht="19.95" customHeight="1" x14ac:dyDescent="0.3">
      <c r="A121" s="23">
        <v>46284.284792812497</v>
      </c>
      <c r="B121" s="16" t="s">
        <v>440</v>
      </c>
      <c r="C121" s="14" t="s">
        <v>359</v>
      </c>
      <c r="D121" s="14" t="s">
        <v>473</v>
      </c>
      <c r="E121" s="14" t="s">
        <v>145</v>
      </c>
      <c r="F121" s="14" t="s">
        <v>446</v>
      </c>
      <c r="G121" s="14" t="s">
        <v>356</v>
      </c>
      <c r="H121" s="14" t="s">
        <v>357</v>
      </c>
      <c r="I121" s="14" t="s">
        <v>474</v>
      </c>
    </row>
    <row r="122" spans="1:9" ht="19.95" customHeight="1" x14ac:dyDescent="0.3">
      <c r="A122" s="21">
        <v>46284.056652627318</v>
      </c>
      <c r="B122" s="13" t="s">
        <v>440</v>
      </c>
      <c r="C122" s="11" t="s">
        <v>359</v>
      </c>
      <c r="D122" s="11" t="s">
        <v>475</v>
      </c>
      <c r="E122" s="11" t="s">
        <v>142</v>
      </c>
      <c r="F122" s="11" t="s">
        <v>446</v>
      </c>
      <c r="G122" s="11" t="s">
        <v>356</v>
      </c>
      <c r="H122" s="11" t="s">
        <v>357</v>
      </c>
      <c r="I122" s="11" t="s">
        <v>38</v>
      </c>
    </row>
    <row r="123" spans="1:9" ht="19.95" customHeight="1" x14ac:dyDescent="0.3">
      <c r="A123" s="23">
        <v>46284.008653576391</v>
      </c>
      <c r="B123" s="16" t="s">
        <v>440</v>
      </c>
      <c r="C123" s="14" t="s">
        <v>359</v>
      </c>
      <c r="D123" s="14" t="s">
        <v>476</v>
      </c>
      <c r="E123" s="14" t="s">
        <v>142</v>
      </c>
      <c r="F123" s="14" t="s">
        <v>446</v>
      </c>
      <c r="G123" s="14" t="s">
        <v>356</v>
      </c>
      <c r="H123" s="14" t="s">
        <v>357</v>
      </c>
      <c r="I123" s="14" t="s">
        <v>433</v>
      </c>
    </row>
    <row r="124" spans="1:9" ht="19.95" customHeight="1" x14ac:dyDescent="0.3">
      <c r="A124" s="21">
        <v>46283.867092395827</v>
      </c>
      <c r="B124" s="13" t="s">
        <v>440</v>
      </c>
      <c r="C124" s="11" t="s">
        <v>359</v>
      </c>
      <c r="D124" s="11" t="s">
        <v>477</v>
      </c>
      <c r="E124" s="11" t="s">
        <v>145</v>
      </c>
      <c r="F124" s="11" t="s">
        <v>428</v>
      </c>
      <c r="G124" s="11" t="s">
        <v>356</v>
      </c>
      <c r="H124" s="11" t="s">
        <v>357</v>
      </c>
      <c r="I124" s="11" t="s">
        <v>478</v>
      </c>
    </row>
    <row r="125" spans="1:9" ht="19.95" customHeight="1" x14ac:dyDescent="0.3">
      <c r="A125" s="23">
        <v>46283.823412199083</v>
      </c>
      <c r="B125" s="16" t="s">
        <v>440</v>
      </c>
      <c r="C125" s="14" t="s">
        <v>359</v>
      </c>
      <c r="D125" s="14" t="s">
        <v>479</v>
      </c>
      <c r="E125" s="14" t="s">
        <v>361</v>
      </c>
      <c r="F125" s="14" t="s">
        <v>432</v>
      </c>
      <c r="G125" s="14" t="s">
        <v>356</v>
      </c>
      <c r="H125" s="14" t="s">
        <v>357</v>
      </c>
      <c r="I125" s="14" t="s">
        <v>38</v>
      </c>
    </row>
    <row r="126" spans="1:9" ht="19.95" customHeight="1" x14ac:dyDescent="0.3">
      <c r="A126" s="21">
        <v>46283.818714374996</v>
      </c>
      <c r="B126" s="13" t="s">
        <v>440</v>
      </c>
      <c r="C126" s="11" t="s">
        <v>359</v>
      </c>
      <c r="D126" s="11" t="s">
        <v>480</v>
      </c>
      <c r="E126" s="11" t="s">
        <v>142</v>
      </c>
      <c r="F126" s="11" t="s">
        <v>362</v>
      </c>
      <c r="G126" s="11" t="s">
        <v>356</v>
      </c>
      <c r="H126" s="11" t="s">
        <v>357</v>
      </c>
      <c r="I126" s="11" t="s">
        <v>481</v>
      </c>
    </row>
    <row r="127" spans="1:9" ht="19.95" customHeight="1" x14ac:dyDescent="0.3">
      <c r="A127" s="23">
        <v>46283.658915671287</v>
      </c>
      <c r="B127" s="16" t="s">
        <v>440</v>
      </c>
      <c r="C127" s="14" t="s">
        <v>359</v>
      </c>
      <c r="D127" s="14" t="s">
        <v>482</v>
      </c>
      <c r="E127" s="14" t="s">
        <v>142</v>
      </c>
      <c r="F127" s="14" t="s">
        <v>446</v>
      </c>
      <c r="G127" s="14" t="s">
        <v>356</v>
      </c>
      <c r="H127" s="14" t="s">
        <v>357</v>
      </c>
      <c r="I127" s="14" t="s">
        <v>483</v>
      </c>
    </row>
    <row r="128" spans="1:9" ht="19.95" customHeight="1" x14ac:dyDescent="0.3">
      <c r="A128" s="21">
        <v>46283.620555243047</v>
      </c>
      <c r="B128" s="13" t="s">
        <v>440</v>
      </c>
      <c r="C128" s="11" t="s">
        <v>484</v>
      </c>
      <c r="D128" s="11" t="s">
        <v>485</v>
      </c>
      <c r="E128" s="11" t="s">
        <v>145</v>
      </c>
      <c r="F128" s="11" t="s">
        <v>428</v>
      </c>
      <c r="G128" s="11" t="s">
        <v>356</v>
      </c>
      <c r="H128" s="11" t="s">
        <v>357</v>
      </c>
      <c r="I128" s="11" t="s">
        <v>486</v>
      </c>
    </row>
    <row r="129" spans="1:9" ht="19.95" customHeight="1" x14ac:dyDescent="0.3">
      <c r="A129" s="23">
        <v>46283.620507962973</v>
      </c>
      <c r="B129" s="16" t="s">
        <v>440</v>
      </c>
      <c r="C129" s="14" t="s">
        <v>487</v>
      </c>
      <c r="D129" s="14" t="s">
        <v>488</v>
      </c>
      <c r="E129" s="14" t="s">
        <v>145</v>
      </c>
      <c r="F129" s="14" t="s">
        <v>177</v>
      </c>
      <c r="G129" s="14" t="s">
        <v>356</v>
      </c>
      <c r="H129" s="14" t="s">
        <v>357</v>
      </c>
      <c r="I129" s="14" t="s">
        <v>489</v>
      </c>
    </row>
    <row r="130" spans="1:9" ht="19.95" customHeight="1" x14ac:dyDescent="0.3">
      <c r="A130" s="21">
        <v>46283.620484421299</v>
      </c>
      <c r="B130" s="13" t="s">
        <v>440</v>
      </c>
      <c r="C130" s="11" t="s">
        <v>364</v>
      </c>
      <c r="D130" s="11" t="s">
        <v>490</v>
      </c>
      <c r="E130" s="11" t="s">
        <v>145</v>
      </c>
      <c r="F130" s="11" t="s">
        <v>177</v>
      </c>
      <c r="G130" s="11" t="s">
        <v>356</v>
      </c>
      <c r="H130" s="11" t="s">
        <v>357</v>
      </c>
      <c r="I130" s="11" t="s">
        <v>491</v>
      </c>
    </row>
    <row r="131" spans="1:9" ht="19.95" customHeight="1" x14ac:dyDescent="0.3">
      <c r="A131" s="23">
        <v>46283.620465370368</v>
      </c>
      <c r="B131" s="16" t="s">
        <v>440</v>
      </c>
      <c r="C131" s="14" t="s">
        <v>462</v>
      </c>
      <c r="D131" s="14" t="s">
        <v>492</v>
      </c>
      <c r="E131" s="14" t="s">
        <v>145</v>
      </c>
      <c r="F131" s="14" t="s">
        <v>428</v>
      </c>
      <c r="G131" s="14" t="s">
        <v>356</v>
      </c>
      <c r="H131" s="14" t="s">
        <v>357</v>
      </c>
      <c r="I131" s="14" t="s">
        <v>493</v>
      </c>
    </row>
    <row r="132" spans="1:9" ht="19.95" customHeight="1" x14ac:dyDescent="0.3">
      <c r="A132" s="21">
        <v>46283.615438402783</v>
      </c>
      <c r="B132" s="13" t="s">
        <v>440</v>
      </c>
      <c r="C132" s="11" t="s">
        <v>359</v>
      </c>
      <c r="D132" s="11" t="s">
        <v>494</v>
      </c>
      <c r="E132" s="11" t="s">
        <v>145</v>
      </c>
      <c r="F132" s="11" t="s">
        <v>362</v>
      </c>
      <c r="G132" s="11" t="s">
        <v>356</v>
      </c>
      <c r="H132" s="11" t="s">
        <v>357</v>
      </c>
      <c r="I132" s="11" t="s">
        <v>38</v>
      </c>
    </row>
    <row r="133" spans="1:9" ht="19.95" customHeight="1" x14ac:dyDescent="0.3">
      <c r="A133" s="23">
        <v>46283.615268333328</v>
      </c>
      <c r="B133" s="16" t="s">
        <v>440</v>
      </c>
      <c r="C133" s="14" t="s">
        <v>359</v>
      </c>
      <c r="D133" s="14" t="s">
        <v>495</v>
      </c>
      <c r="E133" s="14" t="s">
        <v>361</v>
      </c>
      <c r="F133" s="14" t="s">
        <v>432</v>
      </c>
      <c r="G133" s="14" t="s">
        <v>356</v>
      </c>
      <c r="H133" s="14" t="s">
        <v>357</v>
      </c>
      <c r="I133" s="14" t="s">
        <v>38</v>
      </c>
    </row>
    <row r="134" spans="1:9" ht="19.95" customHeight="1" x14ac:dyDescent="0.3">
      <c r="A134" s="21">
        <v>46281.240066828701</v>
      </c>
      <c r="B134" s="13" t="s">
        <v>440</v>
      </c>
      <c r="C134" s="11" t="s">
        <v>359</v>
      </c>
      <c r="D134" s="11" t="s">
        <v>496</v>
      </c>
      <c r="E134" s="11" t="s">
        <v>142</v>
      </c>
      <c r="F134" s="11" t="s">
        <v>424</v>
      </c>
      <c r="G134" s="11" t="s">
        <v>152</v>
      </c>
      <c r="H134" s="11" t="s">
        <v>242</v>
      </c>
      <c r="I134" s="11" t="s">
        <v>497</v>
      </c>
    </row>
    <row r="135" spans="1:9" ht="19.95" customHeight="1" x14ac:dyDescent="0.3">
      <c r="A135" s="23">
        <v>46281.119973159723</v>
      </c>
      <c r="B135" s="16" t="s">
        <v>440</v>
      </c>
      <c r="C135" s="14" t="s">
        <v>359</v>
      </c>
      <c r="D135" s="14" t="s">
        <v>498</v>
      </c>
      <c r="E135" s="14" t="s">
        <v>145</v>
      </c>
      <c r="F135" s="14" t="s">
        <v>446</v>
      </c>
      <c r="G135" s="14" t="s">
        <v>356</v>
      </c>
      <c r="H135" s="14" t="s">
        <v>357</v>
      </c>
      <c r="I135" s="14" t="s">
        <v>421</v>
      </c>
    </row>
    <row r="136" spans="1:9" ht="19.95" customHeight="1" x14ac:dyDescent="0.3">
      <c r="A136" s="21">
        <v>46281.007741273148</v>
      </c>
      <c r="B136" s="13" t="s">
        <v>440</v>
      </c>
      <c r="C136" s="11" t="s">
        <v>353</v>
      </c>
      <c r="D136" s="11" t="s">
        <v>411</v>
      </c>
      <c r="E136" s="11" t="s">
        <v>142</v>
      </c>
      <c r="F136" s="11" t="s">
        <v>380</v>
      </c>
      <c r="G136" s="11" t="s">
        <v>139</v>
      </c>
      <c r="H136" s="11" t="s">
        <v>381</v>
      </c>
      <c r="I136" s="11" t="s">
        <v>499</v>
      </c>
    </row>
    <row r="137" spans="1:9" ht="19.95" customHeight="1" x14ac:dyDescent="0.3">
      <c r="A137" s="23">
        <v>46280.966149351851</v>
      </c>
      <c r="B137" s="16" t="s">
        <v>440</v>
      </c>
      <c r="C137" s="14" t="s">
        <v>359</v>
      </c>
      <c r="D137" s="14" t="s">
        <v>500</v>
      </c>
      <c r="E137" s="14" t="s">
        <v>145</v>
      </c>
      <c r="F137" s="14" t="s">
        <v>424</v>
      </c>
      <c r="G137" s="14" t="s">
        <v>356</v>
      </c>
      <c r="H137" s="14" t="s">
        <v>357</v>
      </c>
      <c r="I137" s="14" t="s">
        <v>501</v>
      </c>
    </row>
    <row r="138" spans="1:9" ht="19.95" customHeight="1" x14ac:dyDescent="0.3">
      <c r="A138" s="21">
        <v>46280.918563692132</v>
      </c>
      <c r="B138" s="13" t="s">
        <v>440</v>
      </c>
      <c r="C138" s="11" t="s">
        <v>353</v>
      </c>
      <c r="D138" s="11" t="s">
        <v>502</v>
      </c>
      <c r="E138" s="11" t="s">
        <v>145</v>
      </c>
      <c r="F138" s="11" t="s">
        <v>424</v>
      </c>
      <c r="G138" s="11" t="s">
        <v>356</v>
      </c>
      <c r="H138" s="11" t="s">
        <v>357</v>
      </c>
      <c r="I138" s="11" t="s">
        <v>38</v>
      </c>
    </row>
    <row r="139" spans="1:9" ht="19.95" customHeight="1" x14ac:dyDescent="0.3">
      <c r="A139" s="23">
        <v>46280.882968483798</v>
      </c>
      <c r="B139" s="16" t="s">
        <v>440</v>
      </c>
      <c r="C139" s="14" t="s">
        <v>359</v>
      </c>
      <c r="D139" s="14" t="s">
        <v>503</v>
      </c>
      <c r="E139" s="14" t="s">
        <v>145</v>
      </c>
      <c r="F139" s="14" t="s">
        <v>446</v>
      </c>
      <c r="G139" s="14" t="s">
        <v>356</v>
      </c>
      <c r="H139" s="14" t="s">
        <v>357</v>
      </c>
      <c r="I139" s="14" t="s">
        <v>38</v>
      </c>
    </row>
    <row r="140" spans="1:9" ht="19.95" customHeight="1" x14ac:dyDescent="0.3">
      <c r="A140" s="21">
        <v>46280.852164618052</v>
      </c>
      <c r="B140" s="13" t="s">
        <v>440</v>
      </c>
      <c r="C140" s="11" t="s">
        <v>359</v>
      </c>
      <c r="D140" s="11" t="s">
        <v>504</v>
      </c>
      <c r="E140" s="11" t="s">
        <v>145</v>
      </c>
      <c r="F140" s="11" t="s">
        <v>446</v>
      </c>
      <c r="G140" s="11" t="s">
        <v>356</v>
      </c>
      <c r="H140" s="11" t="s">
        <v>357</v>
      </c>
      <c r="I140" s="11" t="s">
        <v>421</v>
      </c>
    </row>
    <row r="141" spans="1:9" ht="19.95" customHeight="1" x14ac:dyDescent="0.3">
      <c r="A141" s="23">
        <v>46280.798179074067</v>
      </c>
      <c r="B141" s="16" t="s">
        <v>440</v>
      </c>
      <c r="C141" s="14" t="s">
        <v>359</v>
      </c>
      <c r="D141" s="14" t="s">
        <v>505</v>
      </c>
      <c r="E141" s="14" t="s">
        <v>142</v>
      </c>
      <c r="F141" s="14" t="s">
        <v>432</v>
      </c>
      <c r="G141" s="14" t="s">
        <v>356</v>
      </c>
      <c r="H141" s="14" t="s">
        <v>357</v>
      </c>
      <c r="I141" s="14" t="s">
        <v>447</v>
      </c>
    </row>
    <row r="142" spans="1:9" ht="19.95" customHeight="1" x14ac:dyDescent="0.3">
      <c r="A142" s="21">
        <v>46280.728385162038</v>
      </c>
      <c r="B142" s="13" t="s">
        <v>440</v>
      </c>
      <c r="C142" s="11" t="s">
        <v>359</v>
      </c>
      <c r="D142" s="11" t="s">
        <v>506</v>
      </c>
      <c r="E142" s="11" t="s">
        <v>145</v>
      </c>
      <c r="F142" s="11" t="s">
        <v>424</v>
      </c>
      <c r="G142" s="11" t="s">
        <v>356</v>
      </c>
      <c r="H142" s="11" t="s">
        <v>357</v>
      </c>
      <c r="I142" s="11" t="s">
        <v>38</v>
      </c>
    </row>
    <row r="143" spans="1:9" ht="19.95" customHeight="1" x14ac:dyDescent="0.3">
      <c r="A143" s="23">
        <v>46280.603740520834</v>
      </c>
      <c r="B143" s="16" t="s">
        <v>440</v>
      </c>
      <c r="C143" s="14" t="s">
        <v>353</v>
      </c>
      <c r="D143" s="14" t="s">
        <v>507</v>
      </c>
      <c r="E143" s="14" t="s">
        <v>142</v>
      </c>
      <c r="F143" s="14" t="s">
        <v>446</v>
      </c>
      <c r="G143" s="14" t="s">
        <v>150</v>
      </c>
      <c r="H143" s="14" t="s">
        <v>508</v>
      </c>
      <c r="I143" s="14" t="s">
        <v>509</v>
      </c>
    </row>
    <row r="144" spans="1:9" ht="19.95" customHeight="1" x14ac:dyDescent="0.3">
      <c r="A144" s="21">
        <v>46280.448235428237</v>
      </c>
      <c r="B144" s="13" t="s">
        <v>440</v>
      </c>
      <c r="C144" s="11" t="s">
        <v>359</v>
      </c>
      <c r="D144" s="11" t="s">
        <v>510</v>
      </c>
      <c r="E144" s="11" t="s">
        <v>145</v>
      </c>
      <c r="F144" s="11" t="s">
        <v>424</v>
      </c>
      <c r="G144" s="11" t="s">
        <v>356</v>
      </c>
      <c r="H144" s="11" t="s">
        <v>357</v>
      </c>
      <c r="I144" s="11" t="s">
        <v>38</v>
      </c>
    </row>
    <row r="145" spans="1:9" ht="19.95" customHeight="1" x14ac:dyDescent="0.3">
      <c r="A145" s="23">
        <v>46280.439801180553</v>
      </c>
      <c r="B145" s="16" t="s">
        <v>440</v>
      </c>
      <c r="C145" s="14" t="s">
        <v>359</v>
      </c>
      <c r="D145" s="14" t="s">
        <v>511</v>
      </c>
      <c r="E145" s="14" t="s">
        <v>145</v>
      </c>
      <c r="F145" s="14" t="s">
        <v>446</v>
      </c>
      <c r="G145" s="14" t="s">
        <v>356</v>
      </c>
      <c r="H145" s="14" t="s">
        <v>357</v>
      </c>
      <c r="I145" s="14" t="s">
        <v>38</v>
      </c>
    </row>
    <row r="146" spans="1:9" ht="19.95" customHeight="1" x14ac:dyDescent="0.3">
      <c r="A146" s="21">
        <v>46279.965905138888</v>
      </c>
      <c r="B146" s="13" t="s">
        <v>440</v>
      </c>
      <c r="C146" s="11" t="s">
        <v>359</v>
      </c>
      <c r="D146" s="11" t="s">
        <v>512</v>
      </c>
      <c r="E146" s="11" t="s">
        <v>361</v>
      </c>
      <c r="F146" s="11" t="s">
        <v>424</v>
      </c>
      <c r="G146" s="11" t="s">
        <v>356</v>
      </c>
      <c r="H146" s="11" t="s">
        <v>357</v>
      </c>
      <c r="I146" s="11" t="s">
        <v>38</v>
      </c>
    </row>
    <row r="147" spans="1:9" ht="19.95" customHeight="1" x14ac:dyDescent="0.3">
      <c r="A147" s="23">
        <v>46279.716324444453</v>
      </c>
      <c r="B147" s="16" t="s">
        <v>440</v>
      </c>
      <c r="C147" s="14" t="s">
        <v>353</v>
      </c>
      <c r="D147" s="14" t="s">
        <v>513</v>
      </c>
      <c r="E147" s="14" t="s">
        <v>361</v>
      </c>
      <c r="F147" s="14" t="s">
        <v>432</v>
      </c>
      <c r="G147" s="14" t="s">
        <v>356</v>
      </c>
      <c r="H147" s="14" t="s">
        <v>357</v>
      </c>
      <c r="I147" s="14" t="s">
        <v>38</v>
      </c>
    </row>
    <row r="148" spans="1:9" ht="19.95" customHeight="1" x14ac:dyDescent="0.3">
      <c r="A148" s="21">
        <v>46279.688971145843</v>
      </c>
      <c r="B148" s="13" t="s">
        <v>440</v>
      </c>
      <c r="C148" s="11" t="s">
        <v>359</v>
      </c>
      <c r="D148" s="11" t="s">
        <v>514</v>
      </c>
      <c r="E148" s="11" t="s">
        <v>145</v>
      </c>
      <c r="F148" s="11" t="s">
        <v>446</v>
      </c>
      <c r="G148" s="11" t="s">
        <v>356</v>
      </c>
      <c r="H148" s="11" t="s">
        <v>357</v>
      </c>
      <c r="I148" s="11" t="s">
        <v>515</v>
      </c>
    </row>
    <row r="149" spans="1:9" ht="19.95" customHeight="1" x14ac:dyDescent="0.3">
      <c r="A149" s="23">
        <v>46279.649483113433</v>
      </c>
      <c r="B149" s="16" t="s">
        <v>440</v>
      </c>
      <c r="C149" s="14" t="s">
        <v>359</v>
      </c>
      <c r="D149" s="14" t="s">
        <v>516</v>
      </c>
      <c r="E149" s="14" t="s">
        <v>145</v>
      </c>
      <c r="F149" s="14" t="s">
        <v>446</v>
      </c>
      <c r="G149" s="14" t="s">
        <v>356</v>
      </c>
      <c r="H149" s="14" t="s">
        <v>357</v>
      </c>
      <c r="I149" s="14" t="s">
        <v>517</v>
      </c>
    </row>
    <row r="150" spans="1:9" ht="19.95" customHeight="1" x14ac:dyDescent="0.3">
      <c r="A150" s="21">
        <v>46279.453417187498</v>
      </c>
      <c r="B150" s="13" t="s">
        <v>440</v>
      </c>
      <c r="C150" s="11" t="s">
        <v>359</v>
      </c>
      <c r="D150" s="11" t="s">
        <v>518</v>
      </c>
      <c r="E150" s="11" t="s">
        <v>361</v>
      </c>
      <c r="F150" s="11" t="s">
        <v>432</v>
      </c>
      <c r="G150" s="11" t="s">
        <v>356</v>
      </c>
      <c r="H150" s="11" t="s">
        <v>357</v>
      </c>
      <c r="I150" s="11" t="s">
        <v>38</v>
      </c>
    </row>
    <row r="151" spans="1:9" ht="19.95" customHeight="1" x14ac:dyDescent="0.3">
      <c r="A151" s="23">
        <v>46279.430378495374</v>
      </c>
      <c r="B151" s="16" t="s">
        <v>440</v>
      </c>
      <c r="C151" s="14" t="s">
        <v>359</v>
      </c>
      <c r="D151" s="14" t="s">
        <v>507</v>
      </c>
      <c r="E151" s="14" t="s">
        <v>142</v>
      </c>
      <c r="F151" s="14" t="s">
        <v>446</v>
      </c>
      <c r="G151" s="14" t="s">
        <v>356</v>
      </c>
      <c r="H151" s="14" t="s">
        <v>357</v>
      </c>
      <c r="I151" s="14" t="s">
        <v>38</v>
      </c>
    </row>
    <row r="152" spans="1:9" ht="19.95" customHeight="1" x14ac:dyDescent="0.3">
      <c r="A152" s="21">
        <v>46278.974845520832</v>
      </c>
      <c r="B152" s="13" t="s">
        <v>440</v>
      </c>
      <c r="C152" s="11" t="s">
        <v>359</v>
      </c>
      <c r="D152" s="11" t="s">
        <v>519</v>
      </c>
      <c r="E152" s="11" t="s">
        <v>142</v>
      </c>
      <c r="F152" s="11" t="s">
        <v>362</v>
      </c>
      <c r="G152" s="11" t="s">
        <v>356</v>
      </c>
      <c r="H152" s="11" t="s">
        <v>357</v>
      </c>
      <c r="I152" s="11" t="s">
        <v>38</v>
      </c>
    </row>
    <row r="153" spans="1:9" ht="19.95" customHeight="1" x14ac:dyDescent="0.3">
      <c r="A153" s="23">
        <v>46278.959327407407</v>
      </c>
      <c r="B153" s="16" t="s">
        <v>440</v>
      </c>
      <c r="C153" s="14" t="s">
        <v>359</v>
      </c>
      <c r="D153" s="14" t="s">
        <v>520</v>
      </c>
      <c r="E153" s="14" t="s">
        <v>361</v>
      </c>
      <c r="F153" s="14" t="s">
        <v>432</v>
      </c>
      <c r="G153" s="14" t="s">
        <v>356</v>
      </c>
      <c r="H153" s="14" t="s">
        <v>357</v>
      </c>
      <c r="I153" s="14" t="s">
        <v>38</v>
      </c>
    </row>
    <row r="154" spans="1:9" ht="19.95" customHeight="1" x14ac:dyDescent="0.3">
      <c r="A154" s="21">
        <v>46278.920983344913</v>
      </c>
      <c r="B154" s="13" t="s">
        <v>440</v>
      </c>
      <c r="C154" s="11" t="s">
        <v>359</v>
      </c>
      <c r="D154" s="11" t="s">
        <v>521</v>
      </c>
      <c r="E154" s="11" t="s">
        <v>142</v>
      </c>
      <c r="F154" s="11" t="s">
        <v>362</v>
      </c>
      <c r="G154" s="11" t="s">
        <v>356</v>
      </c>
      <c r="H154" s="11" t="s">
        <v>357</v>
      </c>
      <c r="I154" s="11" t="s">
        <v>38</v>
      </c>
    </row>
    <row r="155" spans="1:9" ht="19.95" customHeight="1" x14ac:dyDescent="0.3">
      <c r="A155" s="23">
        <v>46278.898107824083</v>
      </c>
      <c r="B155" s="16" t="s">
        <v>440</v>
      </c>
      <c r="C155" s="14" t="s">
        <v>359</v>
      </c>
      <c r="D155" s="14" t="s">
        <v>522</v>
      </c>
      <c r="E155" s="14" t="s">
        <v>142</v>
      </c>
      <c r="F155" s="14" t="s">
        <v>424</v>
      </c>
      <c r="G155" s="14" t="s">
        <v>356</v>
      </c>
      <c r="H155" s="14" t="s">
        <v>357</v>
      </c>
      <c r="I155" s="14" t="s">
        <v>38</v>
      </c>
    </row>
    <row r="156" spans="1:9" ht="19.95" customHeight="1" x14ac:dyDescent="0.3">
      <c r="A156" s="21">
        <v>46278.854044618063</v>
      </c>
      <c r="B156" s="13" t="s">
        <v>440</v>
      </c>
      <c r="C156" s="11" t="s">
        <v>353</v>
      </c>
      <c r="D156" s="11" t="s">
        <v>523</v>
      </c>
      <c r="E156" s="11" t="s">
        <v>361</v>
      </c>
      <c r="F156" s="11" t="s">
        <v>432</v>
      </c>
      <c r="G156" s="11" t="s">
        <v>356</v>
      </c>
      <c r="H156" s="11" t="s">
        <v>357</v>
      </c>
      <c r="I156" s="11" t="s">
        <v>38</v>
      </c>
    </row>
    <row r="157" spans="1:9" ht="19.95" customHeight="1" x14ac:dyDescent="0.3">
      <c r="A157" s="23">
        <v>46278.760606284719</v>
      </c>
      <c r="B157" s="16" t="s">
        <v>440</v>
      </c>
      <c r="C157" s="14" t="s">
        <v>359</v>
      </c>
      <c r="D157" s="14" t="s">
        <v>524</v>
      </c>
      <c r="E157" s="14" t="s">
        <v>142</v>
      </c>
      <c r="F157" s="14" t="s">
        <v>424</v>
      </c>
      <c r="G157" s="14" t="s">
        <v>356</v>
      </c>
      <c r="H157" s="14" t="s">
        <v>357</v>
      </c>
      <c r="I157" s="14" t="s">
        <v>38</v>
      </c>
    </row>
    <row r="158" spans="1:9" ht="19.95" customHeight="1" x14ac:dyDescent="0.3">
      <c r="A158" s="21">
        <v>46278.713568159721</v>
      </c>
      <c r="B158" s="13" t="s">
        <v>440</v>
      </c>
      <c r="C158" s="11" t="s">
        <v>359</v>
      </c>
      <c r="D158" s="11" t="s">
        <v>525</v>
      </c>
      <c r="E158" s="11" t="s">
        <v>142</v>
      </c>
      <c r="F158" s="11" t="s">
        <v>424</v>
      </c>
      <c r="G158" s="11" t="s">
        <v>356</v>
      </c>
      <c r="H158" s="11" t="s">
        <v>357</v>
      </c>
      <c r="I158" s="11" t="s">
        <v>38</v>
      </c>
    </row>
    <row r="159" spans="1:9" ht="19.95" customHeight="1" x14ac:dyDescent="0.3">
      <c r="A159" s="23">
        <v>46278.448220231483</v>
      </c>
      <c r="B159" s="16" t="s">
        <v>440</v>
      </c>
      <c r="C159" s="14" t="s">
        <v>359</v>
      </c>
      <c r="D159" s="14" t="s">
        <v>526</v>
      </c>
      <c r="E159" s="14" t="s">
        <v>142</v>
      </c>
      <c r="F159" s="14" t="s">
        <v>446</v>
      </c>
      <c r="G159" s="14" t="s">
        <v>356</v>
      </c>
      <c r="H159" s="14" t="s">
        <v>357</v>
      </c>
      <c r="I159" s="14" t="s">
        <v>38</v>
      </c>
    </row>
    <row r="160" spans="1:9" ht="19.95" customHeight="1" x14ac:dyDescent="0.3">
      <c r="A160" s="21">
        <v>46278.073375185188</v>
      </c>
      <c r="B160" s="13" t="s">
        <v>440</v>
      </c>
      <c r="C160" s="11" t="s">
        <v>353</v>
      </c>
      <c r="D160" s="11" t="s">
        <v>527</v>
      </c>
      <c r="E160" s="11" t="s">
        <v>142</v>
      </c>
      <c r="F160" s="11" t="s">
        <v>424</v>
      </c>
      <c r="G160" s="11" t="s">
        <v>356</v>
      </c>
      <c r="H160" s="11" t="s">
        <v>357</v>
      </c>
      <c r="I160" s="11" t="s">
        <v>38</v>
      </c>
    </row>
    <row r="161" spans="1:9" ht="19.95" customHeight="1" x14ac:dyDescent="0.3">
      <c r="A161" s="23">
        <v>46277.769481782409</v>
      </c>
      <c r="B161" s="16" t="s">
        <v>440</v>
      </c>
      <c r="C161" s="14" t="s">
        <v>359</v>
      </c>
      <c r="D161" s="14" t="s">
        <v>528</v>
      </c>
      <c r="E161" s="14" t="s">
        <v>142</v>
      </c>
      <c r="F161" s="14" t="s">
        <v>432</v>
      </c>
      <c r="G161" s="14" t="s">
        <v>356</v>
      </c>
      <c r="H161" s="14" t="s">
        <v>357</v>
      </c>
      <c r="I161" s="14" t="s">
        <v>447</v>
      </c>
    </row>
    <row r="162" spans="1:9" ht="19.95" customHeight="1" x14ac:dyDescent="0.3">
      <c r="A162" s="21">
        <v>46277.760480115743</v>
      </c>
      <c r="B162" s="13" t="s">
        <v>440</v>
      </c>
      <c r="C162" s="11" t="s">
        <v>359</v>
      </c>
      <c r="D162" s="11" t="s">
        <v>529</v>
      </c>
      <c r="E162" s="11" t="s">
        <v>142</v>
      </c>
      <c r="F162" s="11" t="s">
        <v>432</v>
      </c>
      <c r="G162" s="11" t="s">
        <v>356</v>
      </c>
      <c r="H162" s="11" t="s">
        <v>357</v>
      </c>
      <c r="I162" s="11" t="s">
        <v>530</v>
      </c>
    </row>
    <row r="163" spans="1:9" ht="19.95" customHeight="1" x14ac:dyDescent="0.3">
      <c r="A163" s="23">
        <v>46277.721374479173</v>
      </c>
      <c r="B163" s="16" t="s">
        <v>440</v>
      </c>
      <c r="C163" s="14" t="s">
        <v>353</v>
      </c>
      <c r="D163" s="14" t="s">
        <v>531</v>
      </c>
      <c r="E163" s="14" t="s">
        <v>142</v>
      </c>
      <c r="F163" s="14" t="s">
        <v>446</v>
      </c>
      <c r="G163" s="14" t="s">
        <v>356</v>
      </c>
      <c r="H163" s="14" t="s">
        <v>357</v>
      </c>
      <c r="I163" s="14" t="s">
        <v>38</v>
      </c>
    </row>
    <row r="164" spans="1:9" ht="19.95" customHeight="1" x14ac:dyDescent="0.3">
      <c r="A164" s="21">
        <v>46277.627947638888</v>
      </c>
      <c r="B164" s="13" t="s">
        <v>440</v>
      </c>
      <c r="C164" s="11" t="s">
        <v>359</v>
      </c>
      <c r="D164" s="11" t="s">
        <v>532</v>
      </c>
      <c r="E164" s="11" t="s">
        <v>142</v>
      </c>
      <c r="F164" s="11" t="s">
        <v>446</v>
      </c>
      <c r="G164" s="11" t="s">
        <v>356</v>
      </c>
      <c r="H164" s="11" t="s">
        <v>357</v>
      </c>
      <c r="I164" s="11" t="s">
        <v>533</v>
      </c>
    </row>
    <row r="165" spans="1:9" ht="19.95" customHeight="1" x14ac:dyDescent="0.3">
      <c r="A165" s="23">
        <v>46277.606538402782</v>
      </c>
      <c r="B165" s="16" t="s">
        <v>440</v>
      </c>
      <c r="C165" s="14" t="s">
        <v>359</v>
      </c>
      <c r="D165" s="14" t="s">
        <v>534</v>
      </c>
      <c r="E165" s="14" t="s">
        <v>142</v>
      </c>
      <c r="F165" s="14" t="s">
        <v>424</v>
      </c>
      <c r="G165" s="14" t="s">
        <v>356</v>
      </c>
      <c r="H165" s="14" t="s">
        <v>357</v>
      </c>
      <c r="I165" s="14" t="s">
        <v>38</v>
      </c>
    </row>
    <row r="166" spans="1:9" ht="19.95" customHeight="1" x14ac:dyDescent="0.3">
      <c r="A166" s="21">
        <v>46277.5942778588</v>
      </c>
      <c r="B166" s="13" t="s">
        <v>440</v>
      </c>
      <c r="C166" s="11" t="s">
        <v>359</v>
      </c>
      <c r="D166" s="11" t="s">
        <v>535</v>
      </c>
      <c r="E166" s="11" t="s">
        <v>142</v>
      </c>
      <c r="F166" s="11" t="s">
        <v>446</v>
      </c>
      <c r="G166" s="11" t="s">
        <v>356</v>
      </c>
      <c r="H166" s="11" t="s">
        <v>357</v>
      </c>
      <c r="I166" s="11" t="s">
        <v>38</v>
      </c>
    </row>
    <row r="167" spans="1:9" ht="19.95" customHeight="1" x14ac:dyDescent="0.3">
      <c r="A167" s="23">
        <v>46277.571126944436</v>
      </c>
      <c r="B167" s="16" t="s">
        <v>440</v>
      </c>
      <c r="C167" s="14" t="s">
        <v>359</v>
      </c>
      <c r="D167" s="14" t="s">
        <v>536</v>
      </c>
      <c r="E167" s="14" t="s">
        <v>142</v>
      </c>
      <c r="F167" s="14" t="s">
        <v>424</v>
      </c>
      <c r="G167" s="14" t="s">
        <v>356</v>
      </c>
      <c r="H167" s="14" t="s">
        <v>357</v>
      </c>
      <c r="I167" s="14" t="s">
        <v>38</v>
      </c>
    </row>
    <row r="168" spans="1:9" ht="19.95" customHeight="1" x14ac:dyDescent="0.3">
      <c r="A168" s="21">
        <v>46277.563199895827</v>
      </c>
      <c r="B168" s="13" t="s">
        <v>440</v>
      </c>
      <c r="C168" s="11" t="s">
        <v>359</v>
      </c>
      <c r="D168" s="11" t="s">
        <v>537</v>
      </c>
      <c r="E168" s="11" t="s">
        <v>142</v>
      </c>
      <c r="F168" s="11" t="s">
        <v>446</v>
      </c>
      <c r="G168" s="11" t="s">
        <v>356</v>
      </c>
      <c r="H168" s="11" t="s">
        <v>357</v>
      </c>
      <c r="I168" s="11" t="s">
        <v>38</v>
      </c>
    </row>
    <row r="169" spans="1:9" ht="19.95" customHeight="1" x14ac:dyDescent="0.3">
      <c r="A169" s="23">
        <v>46277.462612476847</v>
      </c>
      <c r="B169" s="16" t="s">
        <v>440</v>
      </c>
      <c r="C169" s="14" t="s">
        <v>359</v>
      </c>
      <c r="D169" s="14" t="s">
        <v>538</v>
      </c>
      <c r="E169" s="14" t="s">
        <v>142</v>
      </c>
      <c r="F169" s="14" t="s">
        <v>446</v>
      </c>
      <c r="G169" s="14" t="s">
        <v>356</v>
      </c>
      <c r="H169" s="14" t="s">
        <v>357</v>
      </c>
      <c r="I169" s="14" t="s">
        <v>539</v>
      </c>
    </row>
    <row r="170" spans="1:9" ht="19.95" customHeight="1" x14ac:dyDescent="0.3">
      <c r="A170" s="21">
        <v>46277.433087337973</v>
      </c>
      <c r="B170" s="13" t="s">
        <v>440</v>
      </c>
      <c r="C170" s="11" t="s">
        <v>359</v>
      </c>
      <c r="D170" s="11" t="s">
        <v>540</v>
      </c>
      <c r="E170" s="11" t="s">
        <v>142</v>
      </c>
      <c r="F170" s="11" t="s">
        <v>446</v>
      </c>
      <c r="G170" s="11" t="s">
        <v>356</v>
      </c>
      <c r="H170" s="11" t="s">
        <v>357</v>
      </c>
      <c r="I170" s="11" t="s">
        <v>38</v>
      </c>
    </row>
    <row r="171" spans="1:9" ht="19.95" customHeight="1" x14ac:dyDescent="0.3">
      <c r="A171" s="23">
        <v>46277.3971103125</v>
      </c>
      <c r="B171" s="16" t="s">
        <v>440</v>
      </c>
      <c r="C171" s="14" t="s">
        <v>359</v>
      </c>
      <c r="D171" s="14" t="s">
        <v>541</v>
      </c>
      <c r="E171" s="14" t="s">
        <v>142</v>
      </c>
      <c r="F171" s="14" t="s">
        <v>446</v>
      </c>
      <c r="G171" s="14" t="s">
        <v>356</v>
      </c>
      <c r="H171" s="14" t="s">
        <v>357</v>
      </c>
      <c r="I171" s="14" t="s">
        <v>38</v>
      </c>
    </row>
    <row r="172" spans="1:9" ht="19.95" customHeight="1" x14ac:dyDescent="0.3">
      <c r="A172" s="21">
        <v>46277.358522291674</v>
      </c>
      <c r="B172" s="13" t="s">
        <v>440</v>
      </c>
      <c r="C172" s="11" t="s">
        <v>353</v>
      </c>
      <c r="D172" s="11" t="s">
        <v>542</v>
      </c>
      <c r="E172" s="11" t="s">
        <v>142</v>
      </c>
      <c r="F172" s="11" t="s">
        <v>446</v>
      </c>
      <c r="G172" s="11" t="s">
        <v>356</v>
      </c>
      <c r="H172" s="11" t="s">
        <v>357</v>
      </c>
      <c r="I172" s="11" t="s">
        <v>543</v>
      </c>
    </row>
    <row r="173" spans="1:9" ht="19.95" customHeight="1" x14ac:dyDescent="0.3">
      <c r="A173" s="23">
        <v>46276.952104745367</v>
      </c>
      <c r="B173" s="16" t="s">
        <v>440</v>
      </c>
      <c r="C173" s="14" t="s">
        <v>359</v>
      </c>
      <c r="D173" s="14" t="s">
        <v>544</v>
      </c>
      <c r="E173" s="14" t="s">
        <v>142</v>
      </c>
      <c r="F173" s="14" t="s">
        <v>424</v>
      </c>
      <c r="G173" s="14" t="s">
        <v>356</v>
      </c>
      <c r="H173" s="14" t="s">
        <v>357</v>
      </c>
      <c r="I173" s="14" t="s">
        <v>38</v>
      </c>
    </row>
    <row r="174" spans="1:9" ht="19.95" customHeight="1" x14ac:dyDescent="0.3">
      <c r="A174" s="21">
        <v>46276.722325173607</v>
      </c>
      <c r="B174" s="13" t="s">
        <v>440</v>
      </c>
      <c r="C174" s="11" t="s">
        <v>353</v>
      </c>
      <c r="D174" s="11" t="s">
        <v>545</v>
      </c>
      <c r="E174" s="11" t="s">
        <v>142</v>
      </c>
      <c r="F174" s="11" t="s">
        <v>428</v>
      </c>
      <c r="G174" s="11" t="s">
        <v>356</v>
      </c>
      <c r="H174" s="11" t="s">
        <v>357</v>
      </c>
      <c r="I174" s="11" t="s">
        <v>546</v>
      </c>
    </row>
    <row r="175" spans="1:9" ht="19.95" customHeight="1" x14ac:dyDescent="0.3">
      <c r="A175" s="23">
        <v>46276.664796446763</v>
      </c>
      <c r="B175" s="16" t="s">
        <v>440</v>
      </c>
      <c r="C175" s="14" t="s">
        <v>359</v>
      </c>
      <c r="D175" s="14" t="s">
        <v>547</v>
      </c>
      <c r="E175" s="14" t="s">
        <v>142</v>
      </c>
      <c r="F175" s="14" t="s">
        <v>432</v>
      </c>
      <c r="G175" s="14" t="s">
        <v>356</v>
      </c>
      <c r="H175" s="14" t="s">
        <v>357</v>
      </c>
      <c r="I175" s="14" t="s">
        <v>447</v>
      </c>
    </row>
    <row r="176" spans="1:9" ht="19.95" customHeight="1" x14ac:dyDescent="0.3">
      <c r="A176" s="21">
        <v>46276.578584571762</v>
      </c>
      <c r="B176" s="13" t="s">
        <v>440</v>
      </c>
      <c r="C176" s="11" t="s">
        <v>359</v>
      </c>
      <c r="D176" s="11" t="s">
        <v>548</v>
      </c>
      <c r="E176" s="11" t="s">
        <v>142</v>
      </c>
      <c r="F176" s="11" t="s">
        <v>446</v>
      </c>
      <c r="G176" s="11" t="s">
        <v>356</v>
      </c>
      <c r="H176" s="11" t="s">
        <v>357</v>
      </c>
      <c r="I176" s="11" t="s">
        <v>391</v>
      </c>
    </row>
    <row r="177" spans="1:9" ht="19.95" customHeight="1" x14ac:dyDescent="0.3">
      <c r="A177" s="23">
        <v>46276.510498240743</v>
      </c>
      <c r="B177" s="16" t="s">
        <v>440</v>
      </c>
      <c r="C177" s="14" t="s">
        <v>353</v>
      </c>
      <c r="D177" s="14" t="s">
        <v>549</v>
      </c>
      <c r="E177" s="14" t="s">
        <v>361</v>
      </c>
      <c r="F177" s="14" t="s">
        <v>432</v>
      </c>
      <c r="G177" s="14" t="s">
        <v>356</v>
      </c>
      <c r="H177" s="14" t="s">
        <v>357</v>
      </c>
      <c r="I177" s="14" t="s">
        <v>38</v>
      </c>
    </row>
    <row r="178" spans="1:9" ht="19.95" customHeight="1" x14ac:dyDescent="0.3">
      <c r="A178" s="21">
        <v>46276.510497812502</v>
      </c>
      <c r="B178" s="13" t="s">
        <v>440</v>
      </c>
      <c r="C178" s="11" t="s">
        <v>353</v>
      </c>
      <c r="D178" s="11" t="s">
        <v>550</v>
      </c>
      <c r="E178" s="11" t="s">
        <v>361</v>
      </c>
      <c r="F178" s="11" t="s">
        <v>355</v>
      </c>
      <c r="G178" s="11" t="s">
        <v>356</v>
      </c>
      <c r="H178" s="11" t="s">
        <v>357</v>
      </c>
      <c r="I178" s="11" t="s">
        <v>38</v>
      </c>
    </row>
    <row r="179" spans="1:9" ht="19.95" customHeight="1" x14ac:dyDescent="0.3">
      <c r="A179" s="23">
        <v>46276.510493495371</v>
      </c>
      <c r="B179" s="16" t="s">
        <v>440</v>
      </c>
      <c r="C179" s="14" t="s">
        <v>353</v>
      </c>
      <c r="D179" s="14" t="s">
        <v>551</v>
      </c>
      <c r="E179" s="14" t="s">
        <v>361</v>
      </c>
      <c r="F179" s="14" t="s">
        <v>432</v>
      </c>
      <c r="G179" s="14" t="s">
        <v>356</v>
      </c>
      <c r="H179" s="14" t="s">
        <v>357</v>
      </c>
      <c r="I179" s="14" t="s">
        <v>38</v>
      </c>
    </row>
    <row r="180" spans="1:9" ht="19.95" customHeight="1" x14ac:dyDescent="0.3">
      <c r="A180" s="21">
        <v>46276.510492928239</v>
      </c>
      <c r="B180" s="13" t="s">
        <v>440</v>
      </c>
      <c r="C180" s="11" t="s">
        <v>353</v>
      </c>
      <c r="D180" s="11" t="s">
        <v>552</v>
      </c>
      <c r="E180" s="11" t="s">
        <v>361</v>
      </c>
      <c r="F180" s="11" t="s">
        <v>355</v>
      </c>
      <c r="G180" s="11" t="s">
        <v>356</v>
      </c>
      <c r="H180" s="11" t="s">
        <v>357</v>
      </c>
      <c r="I180" s="11" t="s">
        <v>38</v>
      </c>
    </row>
    <row r="181" spans="1:9" ht="19.95" customHeight="1" x14ac:dyDescent="0.3">
      <c r="A181" s="23">
        <v>46276.510490879627</v>
      </c>
      <c r="B181" s="16" t="s">
        <v>440</v>
      </c>
      <c r="C181" s="14" t="s">
        <v>353</v>
      </c>
      <c r="D181" s="14" t="s">
        <v>553</v>
      </c>
      <c r="E181" s="14" t="s">
        <v>361</v>
      </c>
      <c r="F181" s="14" t="s">
        <v>355</v>
      </c>
      <c r="G181" s="14" t="s">
        <v>356</v>
      </c>
      <c r="H181" s="14" t="s">
        <v>357</v>
      </c>
      <c r="I181" s="14" t="s">
        <v>38</v>
      </c>
    </row>
    <row r="182" spans="1:9" ht="19.95" customHeight="1" x14ac:dyDescent="0.3">
      <c r="A182" s="21">
        <v>46276.510490416673</v>
      </c>
      <c r="B182" s="13" t="s">
        <v>440</v>
      </c>
      <c r="C182" s="11" t="s">
        <v>353</v>
      </c>
      <c r="D182" s="11" t="s">
        <v>554</v>
      </c>
      <c r="E182" s="11" t="s">
        <v>361</v>
      </c>
      <c r="F182" s="11" t="s">
        <v>355</v>
      </c>
      <c r="G182" s="11" t="s">
        <v>356</v>
      </c>
      <c r="H182" s="11" t="s">
        <v>357</v>
      </c>
      <c r="I182" s="11" t="s">
        <v>38</v>
      </c>
    </row>
    <row r="183" spans="1:9" ht="19.95" customHeight="1" x14ac:dyDescent="0.3">
      <c r="A183" s="23">
        <v>46276.510489282409</v>
      </c>
      <c r="B183" s="16" t="s">
        <v>440</v>
      </c>
      <c r="C183" s="14" t="s">
        <v>353</v>
      </c>
      <c r="D183" s="14" t="s">
        <v>555</v>
      </c>
      <c r="E183" s="14" t="s">
        <v>361</v>
      </c>
      <c r="F183" s="14" t="s">
        <v>355</v>
      </c>
      <c r="G183" s="14" t="s">
        <v>356</v>
      </c>
      <c r="H183" s="14" t="s">
        <v>357</v>
      </c>
      <c r="I183" s="14" t="s">
        <v>38</v>
      </c>
    </row>
    <row r="184" spans="1:9" ht="19.95" customHeight="1" x14ac:dyDescent="0.3">
      <c r="A184" s="21">
        <v>46276.506895740742</v>
      </c>
      <c r="B184" s="13" t="s">
        <v>440</v>
      </c>
      <c r="C184" s="11" t="s">
        <v>353</v>
      </c>
      <c r="D184" s="11" t="s">
        <v>556</v>
      </c>
      <c r="E184" s="11" t="s">
        <v>361</v>
      </c>
      <c r="F184" s="11" t="s">
        <v>355</v>
      </c>
      <c r="G184" s="11" t="s">
        <v>356</v>
      </c>
      <c r="H184" s="11" t="s">
        <v>357</v>
      </c>
      <c r="I184" s="11" t="s">
        <v>38</v>
      </c>
    </row>
    <row r="185" spans="1:9" ht="19.95" customHeight="1" x14ac:dyDescent="0.3">
      <c r="A185" s="23">
        <v>46276.50292554398</v>
      </c>
      <c r="B185" s="16" t="s">
        <v>440</v>
      </c>
      <c r="C185" s="14" t="s">
        <v>353</v>
      </c>
      <c r="D185" s="14" t="s">
        <v>557</v>
      </c>
      <c r="E185" s="14" t="s">
        <v>142</v>
      </c>
      <c r="F185" s="14" t="s">
        <v>424</v>
      </c>
      <c r="G185" s="14" t="s">
        <v>356</v>
      </c>
      <c r="H185" s="14" t="s">
        <v>357</v>
      </c>
      <c r="I185" s="14" t="s">
        <v>38</v>
      </c>
    </row>
    <row r="186" spans="1:9" ht="19.95" customHeight="1" x14ac:dyDescent="0.3">
      <c r="A186" s="21">
        <v>46276.502925347217</v>
      </c>
      <c r="B186" s="13" t="s">
        <v>440</v>
      </c>
      <c r="C186" s="11" t="s">
        <v>353</v>
      </c>
      <c r="D186" s="11" t="s">
        <v>558</v>
      </c>
      <c r="E186" s="11" t="s">
        <v>142</v>
      </c>
      <c r="F186" s="11" t="s">
        <v>446</v>
      </c>
      <c r="G186" s="11" t="s">
        <v>356</v>
      </c>
      <c r="H186" s="11" t="s">
        <v>357</v>
      </c>
      <c r="I186" s="11" t="s">
        <v>559</v>
      </c>
    </row>
    <row r="187" spans="1:9" ht="19.95" customHeight="1" x14ac:dyDescent="0.3">
      <c r="A187" s="23">
        <v>46275.871458842586</v>
      </c>
      <c r="B187" s="16" t="s">
        <v>440</v>
      </c>
      <c r="C187" s="14" t="s">
        <v>353</v>
      </c>
      <c r="D187" s="14" t="s">
        <v>560</v>
      </c>
      <c r="E187" s="14" t="s">
        <v>142</v>
      </c>
      <c r="F187" s="14" t="s">
        <v>446</v>
      </c>
      <c r="G187" s="14" t="s">
        <v>356</v>
      </c>
      <c r="H187" s="14" t="s">
        <v>357</v>
      </c>
      <c r="I187" s="14" t="s">
        <v>561</v>
      </c>
    </row>
    <row r="188" spans="1:9" ht="19.95" customHeight="1" x14ac:dyDescent="0.3">
      <c r="A188" s="21">
        <v>46275.820071574068</v>
      </c>
      <c r="B188" s="13" t="s">
        <v>440</v>
      </c>
      <c r="C188" s="11" t="s">
        <v>353</v>
      </c>
      <c r="D188" s="11" t="s">
        <v>562</v>
      </c>
      <c r="E188" s="11" t="s">
        <v>142</v>
      </c>
      <c r="F188" s="11" t="s">
        <v>424</v>
      </c>
      <c r="G188" s="11" t="s">
        <v>356</v>
      </c>
      <c r="H188" s="11" t="s">
        <v>357</v>
      </c>
      <c r="I188" s="11" t="s">
        <v>38</v>
      </c>
    </row>
    <row r="189" spans="1:9" ht="19.95" customHeight="1" x14ac:dyDescent="0.3">
      <c r="A189" s="23">
        <v>46275.686079236111</v>
      </c>
      <c r="B189" s="16" t="s">
        <v>440</v>
      </c>
      <c r="C189" s="14" t="s">
        <v>353</v>
      </c>
      <c r="D189" s="14" t="s">
        <v>563</v>
      </c>
      <c r="E189" s="14" t="s">
        <v>142</v>
      </c>
      <c r="F189" s="14" t="s">
        <v>446</v>
      </c>
      <c r="G189" s="14" t="s">
        <v>356</v>
      </c>
      <c r="H189" s="14" t="s">
        <v>357</v>
      </c>
      <c r="I189" s="14" t="s">
        <v>564</v>
      </c>
    </row>
    <row r="190" spans="1:9" ht="19.95" customHeight="1" x14ac:dyDescent="0.3">
      <c r="A190" s="21">
        <v>46275.639290706022</v>
      </c>
      <c r="B190" s="13" t="s">
        <v>440</v>
      </c>
      <c r="C190" s="11" t="s">
        <v>353</v>
      </c>
      <c r="D190" s="11" t="s">
        <v>565</v>
      </c>
      <c r="E190" s="11" t="s">
        <v>142</v>
      </c>
      <c r="F190" s="11" t="s">
        <v>446</v>
      </c>
      <c r="G190" s="11" t="s">
        <v>356</v>
      </c>
      <c r="H190" s="11" t="s">
        <v>357</v>
      </c>
      <c r="I190" s="11" t="s">
        <v>566</v>
      </c>
    </row>
    <row r="191" spans="1:9" ht="19.95" customHeight="1" x14ac:dyDescent="0.3">
      <c r="A191" s="23">
        <v>46275.511970821761</v>
      </c>
      <c r="B191" s="16" t="s">
        <v>440</v>
      </c>
      <c r="C191" s="14" t="s">
        <v>353</v>
      </c>
      <c r="D191" s="14" t="s">
        <v>567</v>
      </c>
      <c r="E191" s="14" t="s">
        <v>361</v>
      </c>
      <c r="F191" s="14" t="s">
        <v>446</v>
      </c>
      <c r="G191" s="14" t="s">
        <v>356</v>
      </c>
      <c r="H191" s="14" t="s">
        <v>357</v>
      </c>
      <c r="I191" s="14" t="s">
        <v>38</v>
      </c>
    </row>
    <row r="192" spans="1:9" ht="19.95" customHeight="1" x14ac:dyDescent="0.3">
      <c r="A192" s="21">
        <v>46275.483137881944</v>
      </c>
      <c r="B192" s="13" t="s">
        <v>440</v>
      </c>
      <c r="C192" s="11" t="s">
        <v>353</v>
      </c>
      <c r="D192" s="11" t="s">
        <v>568</v>
      </c>
      <c r="E192" s="11" t="s">
        <v>145</v>
      </c>
      <c r="F192" s="11" t="s">
        <v>424</v>
      </c>
      <c r="G192" s="11" t="s">
        <v>356</v>
      </c>
      <c r="H192" s="11" t="s">
        <v>357</v>
      </c>
      <c r="I192" s="11" t="s">
        <v>38</v>
      </c>
    </row>
    <row r="193" spans="1:9" ht="19.95" customHeight="1" x14ac:dyDescent="0.3">
      <c r="A193" s="23">
        <v>46275.483137731477</v>
      </c>
      <c r="B193" s="16" t="s">
        <v>440</v>
      </c>
      <c r="C193" s="14" t="s">
        <v>353</v>
      </c>
      <c r="D193" s="14" t="s">
        <v>569</v>
      </c>
      <c r="E193" s="14" t="s">
        <v>361</v>
      </c>
      <c r="F193" s="14" t="s">
        <v>432</v>
      </c>
      <c r="G193" s="14" t="s">
        <v>356</v>
      </c>
      <c r="H193" s="14" t="s">
        <v>357</v>
      </c>
      <c r="I193" s="14" t="s">
        <v>38</v>
      </c>
    </row>
    <row r="194" spans="1:9" ht="19.95" customHeight="1" x14ac:dyDescent="0.3">
      <c r="A194" s="21">
        <v>46275.483137581017</v>
      </c>
      <c r="B194" s="13" t="s">
        <v>440</v>
      </c>
      <c r="C194" s="11" t="s">
        <v>353</v>
      </c>
      <c r="D194" s="11" t="s">
        <v>570</v>
      </c>
      <c r="E194" s="11" t="s">
        <v>145</v>
      </c>
      <c r="F194" s="11" t="s">
        <v>446</v>
      </c>
      <c r="G194" s="11" t="s">
        <v>356</v>
      </c>
      <c r="H194" s="11" t="s">
        <v>357</v>
      </c>
      <c r="I194" s="11" t="s">
        <v>571</v>
      </c>
    </row>
    <row r="195" spans="1:9" ht="19.95" customHeight="1" x14ac:dyDescent="0.3">
      <c r="A195" s="23">
        <v>46275.483137430558</v>
      </c>
      <c r="B195" s="16" t="s">
        <v>440</v>
      </c>
      <c r="C195" s="14" t="s">
        <v>353</v>
      </c>
      <c r="D195" s="14" t="s">
        <v>572</v>
      </c>
      <c r="E195" s="14" t="s">
        <v>142</v>
      </c>
      <c r="F195" s="14" t="s">
        <v>355</v>
      </c>
      <c r="G195" s="14" t="s">
        <v>356</v>
      </c>
      <c r="H195" s="14" t="s">
        <v>357</v>
      </c>
      <c r="I195" s="14" t="s">
        <v>38</v>
      </c>
    </row>
    <row r="196" spans="1:9" ht="19.95" customHeight="1" x14ac:dyDescent="0.3">
      <c r="A196" s="21">
        <v>46275.483137222232</v>
      </c>
      <c r="B196" s="13" t="s">
        <v>440</v>
      </c>
      <c r="C196" s="11" t="s">
        <v>353</v>
      </c>
      <c r="D196" s="11" t="s">
        <v>573</v>
      </c>
      <c r="E196" s="11" t="s">
        <v>145</v>
      </c>
      <c r="F196" s="11" t="s">
        <v>446</v>
      </c>
      <c r="G196" s="11" t="s">
        <v>356</v>
      </c>
      <c r="H196" s="11" t="s">
        <v>357</v>
      </c>
      <c r="I196" s="11" t="s">
        <v>38</v>
      </c>
    </row>
    <row r="197" spans="1:9" ht="19.95" customHeight="1" x14ac:dyDescent="0.3">
      <c r="A197" s="23">
        <v>46275.48313695602</v>
      </c>
      <c r="B197" s="16" t="s">
        <v>440</v>
      </c>
      <c r="C197" s="14" t="s">
        <v>353</v>
      </c>
      <c r="D197" s="14" t="s">
        <v>574</v>
      </c>
      <c r="E197" s="14" t="s">
        <v>145</v>
      </c>
      <c r="F197" s="14" t="s">
        <v>424</v>
      </c>
      <c r="G197" s="14" t="s">
        <v>356</v>
      </c>
      <c r="H197" s="14" t="s">
        <v>357</v>
      </c>
      <c r="I197" s="14" t="s">
        <v>575</v>
      </c>
    </row>
    <row r="198" spans="1:9" ht="19.95" customHeight="1" x14ac:dyDescent="0.3">
      <c r="A198" s="21">
        <v>46275.483136712966</v>
      </c>
      <c r="B198" s="13" t="s">
        <v>440</v>
      </c>
      <c r="C198" s="11" t="s">
        <v>353</v>
      </c>
      <c r="D198" s="11" t="s">
        <v>576</v>
      </c>
      <c r="E198" s="11" t="s">
        <v>145</v>
      </c>
      <c r="F198" s="11" t="s">
        <v>424</v>
      </c>
      <c r="G198" s="11" t="s">
        <v>356</v>
      </c>
      <c r="H198" s="11" t="s">
        <v>357</v>
      </c>
      <c r="I198" s="11" t="s">
        <v>38</v>
      </c>
    </row>
    <row r="199" spans="1:9" ht="19.95" customHeight="1" x14ac:dyDescent="0.3">
      <c r="A199" s="23">
        <v>46275.4831365625</v>
      </c>
      <c r="B199" s="16" t="s">
        <v>440</v>
      </c>
      <c r="C199" s="14" t="s">
        <v>353</v>
      </c>
      <c r="D199" s="14" t="s">
        <v>577</v>
      </c>
      <c r="E199" s="14" t="s">
        <v>145</v>
      </c>
      <c r="F199" s="14" t="s">
        <v>446</v>
      </c>
      <c r="G199" s="14" t="s">
        <v>356</v>
      </c>
      <c r="H199" s="14" t="s">
        <v>357</v>
      </c>
      <c r="I199" s="14" t="s">
        <v>578</v>
      </c>
    </row>
    <row r="200" spans="1:9" ht="19.95" customHeight="1" x14ac:dyDescent="0.3">
      <c r="A200" s="21">
        <v>46275.483136446761</v>
      </c>
      <c r="B200" s="13" t="s">
        <v>440</v>
      </c>
      <c r="C200" s="11" t="s">
        <v>353</v>
      </c>
      <c r="D200" s="11" t="s">
        <v>579</v>
      </c>
      <c r="E200" s="11" t="s">
        <v>145</v>
      </c>
      <c r="F200" s="11" t="s">
        <v>355</v>
      </c>
      <c r="G200" s="11" t="s">
        <v>356</v>
      </c>
      <c r="H200" s="11" t="s">
        <v>357</v>
      </c>
      <c r="I200" s="11" t="s">
        <v>38</v>
      </c>
    </row>
    <row r="201" spans="1:9" ht="19.95" customHeight="1" x14ac:dyDescent="0.3">
      <c r="A201" s="23">
        <v>46275.483136319453</v>
      </c>
      <c r="B201" s="16" t="s">
        <v>440</v>
      </c>
      <c r="C201" s="14" t="s">
        <v>353</v>
      </c>
      <c r="D201" s="14" t="s">
        <v>580</v>
      </c>
      <c r="E201" s="14" t="s">
        <v>142</v>
      </c>
      <c r="F201" s="14" t="s">
        <v>355</v>
      </c>
      <c r="G201" s="14" t="s">
        <v>356</v>
      </c>
      <c r="H201" s="14" t="s">
        <v>357</v>
      </c>
      <c r="I201" s="14" t="s">
        <v>38</v>
      </c>
    </row>
    <row r="202" spans="1:9" ht="19.95" customHeight="1" x14ac:dyDescent="0.3">
      <c r="A202" s="21">
        <v>46275.483136041657</v>
      </c>
      <c r="B202" s="13" t="s">
        <v>440</v>
      </c>
      <c r="C202" s="11" t="s">
        <v>353</v>
      </c>
      <c r="D202" s="11" t="s">
        <v>581</v>
      </c>
      <c r="E202" s="11" t="s">
        <v>361</v>
      </c>
      <c r="F202" s="11" t="s">
        <v>432</v>
      </c>
      <c r="G202" s="11" t="s">
        <v>356</v>
      </c>
      <c r="H202" s="11" t="s">
        <v>357</v>
      </c>
      <c r="I202" s="11" t="s">
        <v>38</v>
      </c>
    </row>
    <row r="203" spans="1:9" ht="19.95" customHeight="1" x14ac:dyDescent="0.3">
      <c r="A203" s="23">
        <v>46275.483135868053</v>
      </c>
      <c r="B203" s="16" t="s">
        <v>440</v>
      </c>
      <c r="C203" s="14" t="s">
        <v>353</v>
      </c>
      <c r="D203" s="14" t="s">
        <v>582</v>
      </c>
      <c r="E203" s="14" t="s">
        <v>142</v>
      </c>
      <c r="F203" s="14" t="s">
        <v>424</v>
      </c>
      <c r="G203" s="14" t="s">
        <v>356</v>
      </c>
      <c r="H203" s="14" t="s">
        <v>357</v>
      </c>
      <c r="I203" s="14" t="s">
        <v>583</v>
      </c>
    </row>
    <row r="204" spans="1:9" ht="19.95" customHeight="1" x14ac:dyDescent="0.3">
      <c r="A204" s="21">
        <v>46275.483135694441</v>
      </c>
      <c r="B204" s="13" t="s">
        <v>440</v>
      </c>
      <c r="C204" s="11" t="s">
        <v>353</v>
      </c>
      <c r="D204" s="11" t="s">
        <v>584</v>
      </c>
      <c r="E204" s="11" t="s">
        <v>142</v>
      </c>
      <c r="F204" s="11" t="s">
        <v>355</v>
      </c>
      <c r="G204" s="11" t="s">
        <v>356</v>
      </c>
      <c r="H204" s="11" t="s">
        <v>357</v>
      </c>
      <c r="I204" s="11" t="s">
        <v>38</v>
      </c>
    </row>
    <row r="205" spans="1:9" ht="19.95" customHeight="1" x14ac:dyDescent="0.3">
      <c r="A205" s="23">
        <v>46274.77473164352</v>
      </c>
      <c r="B205" s="16" t="s">
        <v>440</v>
      </c>
      <c r="C205" s="14" t="s">
        <v>353</v>
      </c>
      <c r="D205" s="14" t="s">
        <v>585</v>
      </c>
      <c r="E205" s="14" t="s">
        <v>142</v>
      </c>
      <c r="F205" s="14" t="s">
        <v>424</v>
      </c>
      <c r="G205" s="14" t="s">
        <v>356</v>
      </c>
      <c r="H205" s="14" t="s">
        <v>357</v>
      </c>
      <c r="I205" s="14" t="s">
        <v>38</v>
      </c>
    </row>
    <row r="206" spans="1:9" ht="19.95" customHeight="1" x14ac:dyDescent="0.3">
      <c r="A206" s="21">
        <v>46274.774731493053</v>
      </c>
      <c r="B206" s="13" t="s">
        <v>440</v>
      </c>
      <c r="C206" s="11" t="s">
        <v>353</v>
      </c>
      <c r="D206" s="11" t="s">
        <v>586</v>
      </c>
      <c r="E206" s="11" t="s">
        <v>361</v>
      </c>
      <c r="F206" s="11" t="s">
        <v>424</v>
      </c>
      <c r="G206" s="11" t="s">
        <v>356</v>
      </c>
      <c r="H206" s="11" t="s">
        <v>357</v>
      </c>
      <c r="I206" s="11" t="s">
        <v>38</v>
      </c>
    </row>
    <row r="207" spans="1:9" ht="19.95" customHeight="1" x14ac:dyDescent="0.3">
      <c r="A207" s="23">
        <v>46274.774731342593</v>
      </c>
      <c r="B207" s="16" t="s">
        <v>440</v>
      </c>
      <c r="C207" s="14" t="s">
        <v>353</v>
      </c>
      <c r="D207" s="14" t="s">
        <v>587</v>
      </c>
      <c r="E207" s="14" t="s">
        <v>142</v>
      </c>
      <c r="F207" s="14" t="s">
        <v>424</v>
      </c>
      <c r="G207" s="14" t="s">
        <v>356</v>
      </c>
      <c r="H207" s="14" t="s">
        <v>357</v>
      </c>
      <c r="I207" s="14" t="s">
        <v>38</v>
      </c>
    </row>
    <row r="208" spans="1:9" ht="19.95" customHeight="1" x14ac:dyDescent="0.3">
      <c r="A208" s="21">
        <v>46274.774731215279</v>
      </c>
      <c r="B208" s="13" t="s">
        <v>440</v>
      </c>
      <c r="C208" s="11" t="s">
        <v>353</v>
      </c>
      <c r="D208" s="11" t="s">
        <v>588</v>
      </c>
      <c r="E208" s="11" t="s">
        <v>142</v>
      </c>
      <c r="F208" s="11" t="s">
        <v>446</v>
      </c>
      <c r="G208" s="11" t="s">
        <v>356</v>
      </c>
      <c r="H208" s="11" t="s">
        <v>357</v>
      </c>
      <c r="I208" s="11" t="s">
        <v>38</v>
      </c>
    </row>
    <row r="209" spans="1:9" ht="19.95" customHeight="1" x14ac:dyDescent="0.3">
      <c r="A209" s="23">
        <v>46274.774731064812</v>
      </c>
      <c r="B209" s="16" t="s">
        <v>440</v>
      </c>
      <c r="C209" s="14" t="s">
        <v>353</v>
      </c>
      <c r="D209" s="14" t="s">
        <v>589</v>
      </c>
      <c r="E209" s="14" t="s">
        <v>361</v>
      </c>
      <c r="F209" s="14" t="s">
        <v>432</v>
      </c>
      <c r="G209" s="14" t="s">
        <v>356</v>
      </c>
      <c r="H209" s="14" t="s">
        <v>357</v>
      </c>
      <c r="I209" s="14" t="s">
        <v>590</v>
      </c>
    </row>
    <row r="210" spans="1:9" ht="19.95" customHeight="1" x14ac:dyDescent="0.3">
      <c r="A210" s="21">
        <v>46274.774730902784</v>
      </c>
      <c r="B210" s="13" t="s">
        <v>440</v>
      </c>
      <c r="C210" s="11" t="s">
        <v>353</v>
      </c>
      <c r="D210" s="11" t="s">
        <v>591</v>
      </c>
      <c r="E210" s="11" t="s">
        <v>142</v>
      </c>
      <c r="F210" s="11" t="s">
        <v>355</v>
      </c>
      <c r="G210" s="11" t="s">
        <v>356</v>
      </c>
      <c r="H210" s="11" t="s">
        <v>357</v>
      </c>
      <c r="I210" s="11" t="s">
        <v>38</v>
      </c>
    </row>
    <row r="211" spans="1:9" ht="19.95" customHeight="1" x14ac:dyDescent="0.3">
      <c r="A211" s="23">
        <v>46274.774730717603</v>
      </c>
      <c r="B211" s="16" t="s">
        <v>440</v>
      </c>
      <c r="C211" s="14" t="s">
        <v>353</v>
      </c>
      <c r="D211" s="14" t="s">
        <v>592</v>
      </c>
      <c r="E211" s="14" t="s">
        <v>145</v>
      </c>
      <c r="F211" s="14" t="s">
        <v>355</v>
      </c>
      <c r="G211" s="14" t="s">
        <v>356</v>
      </c>
      <c r="H211" s="14" t="s">
        <v>357</v>
      </c>
      <c r="I211" s="14" t="s">
        <v>593</v>
      </c>
    </row>
    <row r="212" spans="1:9" ht="19.95" customHeight="1" x14ac:dyDescent="0.3">
      <c r="A212" s="21">
        <v>46274.774730578712</v>
      </c>
      <c r="B212" s="13" t="s">
        <v>440</v>
      </c>
      <c r="C212" s="11" t="s">
        <v>353</v>
      </c>
      <c r="D212" s="11" t="s">
        <v>594</v>
      </c>
      <c r="E212" s="11" t="s">
        <v>142</v>
      </c>
      <c r="F212" s="11" t="s">
        <v>355</v>
      </c>
      <c r="G212" s="11" t="s">
        <v>356</v>
      </c>
      <c r="H212" s="11" t="s">
        <v>357</v>
      </c>
      <c r="I212" s="11" t="s">
        <v>38</v>
      </c>
    </row>
    <row r="213" spans="1:9" ht="19.95" customHeight="1" x14ac:dyDescent="0.3">
      <c r="A213" s="23">
        <v>46274.77473045139</v>
      </c>
      <c r="B213" s="16" t="s">
        <v>440</v>
      </c>
      <c r="C213" s="14" t="s">
        <v>353</v>
      </c>
      <c r="D213" s="14" t="s">
        <v>595</v>
      </c>
      <c r="E213" s="14" t="s">
        <v>145</v>
      </c>
      <c r="F213" s="14" t="s">
        <v>355</v>
      </c>
      <c r="G213" s="14" t="s">
        <v>356</v>
      </c>
      <c r="H213" s="14" t="s">
        <v>357</v>
      </c>
      <c r="I213" s="14" t="s">
        <v>38</v>
      </c>
    </row>
    <row r="214" spans="1:9" ht="19.95" customHeight="1" x14ac:dyDescent="0.3">
      <c r="A214" s="21">
        <v>46274.774730347221</v>
      </c>
      <c r="B214" s="13" t="s">
        <v>440</v>
      </c>
      <c r="C214" s="11" t="s">
        <v>353</v>
      </c>
      <c r="D214" s="11" t="s">
        <v>596</v>
      </c>
      <c r="E214" s="11" t="s">
        <v>145</v>
      </c>
      <c r="F214" s="11" t="s">
        <v>355</v>
      </c>
      <c r="G214" s="11" t="s">
        <v>356</v>
      </c>
      <c r="H214" s="11" t="s">
        <v>357</v>
      </c>
      <c r="I214" s="11" t="s">
        <v>38</v>
      </c>
    </row>
    <row r="215" spans="1:9" ht="19.95" customHeight="1" x14ac:dyDescent="0.3">
      <c r="A215" s="23">
        <v>46274.77473020833</v>
      </c>
      <c r="B215" s="16" t="s">
        <v>440</v>
      </c>
      <c r="C215" s="14" t="s">
        <v>353</v>
      </c>
      <c r="D215" s="14" t="s">
        <v>597</v>
      </c>
      <c r="E215" s="14" t="s">
        <v>142</v>
      </c>
      <c r="F215" s="14" t="s">
        <v>355</v>
      </c>
      <c r="G215" s="14" t="s">
        <v>356</v>
      </c>
      <c r="H215" s="14" t="s">
        <v>357</v>
      </c>
      <c r="I215" s="14" t="s">
        <v>38</v>
      </c>
    </row>
    <row r="216" spans="1:9" ht="19.95" customHeight="1" x14ac:dyDescent="0.3">
      <c r="A216" s="21">
        <v>46274.774729837962</v>
      </c>
      <c r="B216" s="13" t="s">
        <v>440</v>
      </c>
      <c r="C216" s="11" t="s">
        <v>353</v>
      </c>
      <c r="D216" s="11" t="s">
        <v>598</v>
      </c>
      <c r="E216" s="11" t="s">
        <v>142</v>
      </c>
      <c r="F216" s="11" t="s">
        <v>355</v>
      </c>
      <c r="G216" s="11" t="s">
        <v>356</v>
      </c>
      <c r="H216" s="11" t="s">
        <v>357</v>
      </c>
      <c r="I216" s="11" t="s">
        <v>38</v>
      </c>
    </row>
    <row r="217" spans="1:9" ht="19.95" customHeight="1" x14ac:dyDescent="0.3">
      <c r="A217" s="23">
        <v>46274.774729722223</v>
      </c>
      <c r="B217" s="16" t="s">
        <v>440</v>
      </c>
      <c r="C217" s="14" t="s">
        <v>353</v>
      </c>
      <c r="D217" s="14" t="s">
        <v>599</v>
      </c>
      <c r="E217" s="14" t="s">
        <v>145</v>
      </c>
      <c r="F217" s="14" t="s">
        <v>355</v>
      </c>
      <c r="G217" s="14" t="s">
        <v>356</v>
      </c>
      <c r="H217" s="14" t="s">
        <v>357</v>
      </c>
      <c r="I217" s="14" t="s">
        <v>38</v>
      </c>
    </row>
    <row r="218" spans="1:9" ht="19.95" customHeight="1" x14ac:dyDescent="0.3">
      <c r="A218" s="21">
        <v>46274.774729490739</v>
      </c>
      <c r="B218" s="13" t="s">
        <v>440</v>
      </c>
      <c r="C218" s="11" t="s">
        <v>353</v>
      </c>
      <c r="D218" s="11" t="s">
        <v>600</v>
      </c>
      <c r="E218" s="11" t="s">
        <v>142</v>
      </c>
      <c r="F218" s="11" t="s">
        <v>355</v>
      </c>
      <c r="G218" s="11" t="s">
        <v>356</v>
      </c>
      <c r="H218" s="11" t="s">
        <v>357</v>
      </c>
      <c r="I218" s="11" t="s">
        <v>601</v>
      </c>
    </row>
    <row r="219" spans="1:9" ht="19.95" customHeight="1" x14ac:dyDescent="0.3">
      <c r="A219" s="23">
        <v>46274.77472922454</v>
      </c>
      <c r="B219" s="16" t="s">
        <v>440</v>
      </c>
      <c r="C219" s="14" t="s">
        <v>353</v>
      </c>
      <c r="D219" s="14" t="s">
        <v>602</v>
      </c>
      <c r="E219" s="14" t="s">
        <v>142</v>
      </c>
      <c r="F219" s="14" t="s">
        <v>355</v>
      </c>
      <c r="G219" s="14" t="s">
        <v>356</v>
      </c>
      <c r="H219" s="14" t="s">
        <v>357</v>
      </c>
      <c r="I219" s="14" t="s">
        <v>38</v>
      </c>
    </row>
    <row r="220" spans="1:9" ht="19.95" customHeight="1" x14ac:dyDescent="0.3">
      <c r="A220" s="21">
        <v>46274.77472908565</v>
      </c>
      <c r="B220" s="13" t="s">
        <v>440</v>
      </c>
      <c r="C220" s="11" t="s">
        <v>353</v>
      </c>
      <c r="D220" s="11" t="s">
        <v>603</v>
      </c>
      <c r="E220" s="11" t="s">
        <v>142</v>
      </c>
      <c r="F220" s="11" t="s">
        <v>355</v>
      </c>
      <c r="G220" s="11" t="s">
        <v>356</v>
      </c>
      <c r="H220" s="11" t="s">
        <v>357</v>
      </c>
      <c r="I220" s="11" t="s">
        <v>38</v>
      </c>
    </row>
    <row r="221" spans="1:9" ht="19.95" customHeight="1" x14ac:dyDescent="0.3">
      <c r="A221" s="23">
        <v>46274.774728923607</v>
      </c>
      <c r="B221" s="16" t="s">
        <v>440</v>
      </c>
      <c r="C221" s="14" t="s">
        <v>353</v>
      </c>
      <c r="D221" s="14" t="s">
        <v>604</v>
      </c>
      <c r="E221" s="14" t="s">
        <v>142</v>
      </c>
      <c r="F221" s="14" t="s">
        <v>355</v>
      </c>
      <c r="G221" s="14" t="s">
        <v>356</v>
      </c>
      <c r="H221" s="14" t="s">
        <v>357</v>
      </c>
      <c r="I221" s="14" t="s">
        <v>38</v>
      </c>
    </row>
    <row r="222" spans="1:9" ht="19.95" customHeight="1" x14ac:dyDescent="0.3">
      <c r="A222" s="21">
        <v>46274.774728715267</v>
      </c>
      <c r="B222" s="13" t="s">
        <v>440</v>
      </c>
      <c r="C222" s="11" t="s">
        <v>353</v>
      </c>
      <c r="D222" s="11" t="s">
        <v>605</v>
      </c>
      <c r="E222" s="11" t="s">
        <v>145</v>
      </c>
      <c r="F222" s="11" t="s">
        <v>355</v>
      </c>
      <c r="G222" s="11" t="s">
        <v>356</v>
      </c>
      <c r="H222" s="11" t="s">
        <v>357</v>
      </c>
      <c r="I222" s="11" t="s">
        <v>38</v>
      </c>
    </row>
    <row r="223" spans="1:9" ht="19.95" customHeight="1" x14ac:dyDescent="0.3">
      <c r="A223" s="23">
        <v>46274.774728402779</v>
      </c>
      <c r="B223" s="16" t="s">
        <v>440</v>
      </c>
      <c r="C223" s="14" t="s">
        <v>353</v>
      </c>
      <c r="D223" s="14" t="s">
        <v>606</v>
      </c>
      <c r="E223" s="14" t="s">
        <v>142</v>
      </c>
      <c r="F223" s="14" t="s">
        <v>355</v>
      </c>
      <c r="G223" s="14" t="s">
        <v>356</v>
      </c>
      <c r="H223" s="14" t="s">
        <v>357</v>
      </c>
      <c r="I223" s="14" t="s">
        <v>38</v>
      </c>
    </row>
    <row r="224" spans="1:9" ht="19.95" customHeight="1" x14ac:dyDescent="0.3">
      <c r="A224" s="21">
        <v>46274.774728275457</v>
      </c>
      <c r="B224" s="13" t="s">
        <v>440</v>
      </c>
      <c r="C224" s="11" t="s">
        <v>353</v>
      </c>
      <c r="D224" s="11" t="s">
        <v>607</v>
      </c>
      <c r="E224" s="11" t="s">
        <v>142</v>
      </c>
      <c r="F224" s="11" t="s">
        <v>355</v>
      </c>
      <c r="G224" s="11" t="s">
        <v>356</v>
      </c>
      <c r="H224" s="11" t="s">
        <v>357</v>
      </c>
      <c r="I224" s="11" t="s">
        <v>38</v>
      </c>
    </row>
    <row r="225" spans="1:9" ht="19.95" customHeight="1" x14ac:dyDescent="0.3">
      <c r="A225" s="23">
        <v>46274.774728182871</v>
      </c>
      <c r="B225" s="16" t="s">
        <v>440</v>
      </c>
      <c r="C225" s="14" t="s">
        <v>353</v>
      </c>
      <c r="D225" s="14" t="s">
        <v>608</v>
      </c>
      <c r="E225" s="14" t="s">
        <v>145</v>
      </c>
      <c r="F225" s="14" t="s">
        <v>355</v>
      </c>
      <c r="G225" s="14" t="s">
        <v>356</v>
      </c>
      <c r="H225" s="14" t="s">
        <v>357</v>
      </c>
      <c r="I225" s="14" t="s">
        <v>38</v>
      </c>
    </row>
    <row r="226" spans="1:9" ht="19.95" customHeight="1" x14ac:dyDescent="0.3">
      <c r="A226" s="21">
        <v>46274.774727951393</v>
      </c>
      <c r="B226" s="13" t="s">
        <v>440</v>
      </c>
      <c r="C226" s="11" t="s">
        <v>353</v>
      </c>
      <c r="D226" s="11" t="s">
        <v>609</v>
      </c>
      <c r="E226" s="11" t="s">
        <v>142</v>
      </c>
      <c r="F226" s="11" t="s">
        <v>355</v>
      </c>
      <c r="G226" s="11" t="s">
        <v>356</v>
      </c>
      <c r="H226" s="11" t="s">
        <v>357</v>
      </c>
      <c r="I226" s="11" t="s">
        <v>38</v>
      </c>
    </row>
    <row r="227" spans="1:9" ht="19.95" customHeight="1" x14ac:dyDescent="0.3">
      <c r="A227" s="23">
        <v>46274.774727835647</v>
      </c>
      <c r="B227" s="16" t="s">
        <v>440</v>
      </c>
      <c r="C227" s="14" t="s">
        <v>353</v>
      </c>
      <c r="D227" s="14" t="s">
        <v>610</v>
      </c>
      <c r="E227" s="14" t="s">
        <v>142</v>
      </c>
      <c r="F227" s="14" t="s">
        <v>355</v>
      </c>
      <c r="G227" s="14" t="s">
        <v>356</v>
      </c>
      <c r="H227" s="14" t="s">
        <v>357</v>
      </c>
      <c r="I227" s="14" t="s">
        <v>38</v>
      </c>
    </row>
    <row r="228" spans="1:9" ht="19.95" customHeight="1" x14ac:dyDescent="0.3">
      <c r="A228" s="21">
        <v>46274.774727488417</v>
      </c>
      <c r="B228" s="13" t="s">
        <v>440</v>
      </c>
      <c r="C228" s="11" t="s">
        <v>353</v>
      </c>
      <c r="D228" s="11" t="s">
        <v>611</v>
      </c>
      <c r="E228" s="11" t="s">
        <v>145</v>
      </c>
      <c r="F228" s="11" t="s">
        <v>355</v>
      </c>
      <c r="G228" s="11" t="s">
        <v>356</v>
      </c>
      <c r="H228" s="11" t="s">
        <v>357</v>
      </c>
      <c r="I228" s="11" t="s">
        <v>38</v>
      </c>
    </row>
    <row r="229" spans="1:9" ht="19.95" customHeight="1" x14ac:dyDescent="0.3">
      <c r="A229" s="23">
        <v>46274.774727118063</v>
      </c>
      <c r="B229" s="16" t="s">
        <v>440</v>
      </c>
      <c r="C229" s="14" t="s">
        <v>353</v>
      </c>
      <c r="D229" s="14" t="s">
        <v>612</v>
      </c>
      <c r="E229" s="14" t="s">
        <v>142</v>
      </c>
      <c r="F229" s="14" t="s">
        <v>355</v>
      </c>
      <c r="G229" s="14" t="s">
        <v>356</v>
      </c>
      <c r="H229" s="14" t="s">
        <v>357</v>
      </c>
      <c r="I229" s="14" t="s">
        <v>38</v>
      </c>
    </row>
    <row r="230" spans="1:9" ht="19.95" customHeight="1" x14ac:dyDescent="0.3">
      <c r="A230" s="21">
        <v>46274.77472695602</v>
      </c>
      <c r="B230" s="13" t="s">
        <v>440</v>
      </c>
      <c r="C230" s="11" t="s">
        <v>353</v>
      </c>
      <c r="D230" s="11" t="s">
        <v>613</v>
      </c>
      <c r="E230" s="11" t="s">
        <v>142</v>
      </c>
      <c r="F230" s="11" t="s">
        <v>355</v>
      </c>
      <c r="G230" s="11" t="s">
        <v>356</v>
      </c>
      <c r="H230" s="11" t="s">
        <v>357</v>
      </c>
      <c r="I230" s="11" t="s">
        <v>38</v>
      </c>
    </row>
    <row r="231" spans="1:9" ht="19.95" customHeight="1" x14ac:dyDescent="0.3">
      <c r="A231" s="23">
        <v>46274.774726770833</v>
      </c>
      <c r="B231" s="16" t="s">
        <v>440</v>
      </c>
      <c r="C231" s="14" t="s">
        <v>353</v>
      </c>
      <c r="D231" s="14" t="s">
        <v>614</v>
      </c>
      <c r="E231" s="14" t="s">
        <v>145</v>
      </c>
      <c r="F231" s="14" t="s">
        <v>355</v>
      </c>
      <c r="G231" s="14" t="s">
        <v>356</v>
      </c>
      <c r="H231" s="14" t="s">
        <v>357</v>
      </c>
      <c r="I231" s="14" t="s">
        <v>615</v>
      </c>
    </row>
    <row r="232" spans="1:9" ht="19.95" customHeight="1" x14ac:dyDescent="0.3">
      <c r="A232" s="21">
        <v>46274.774726574084</v>
      </c>
      <c r="B232" s="13" t="s">
        <v>440</v>
      </c>
      <c r="C232" s="11" t="s">
        <v>353</v>
      </c>
      <c r="D232" s="11" t="s">
        <v>616</v>
      </c>
      <c r="E232" s="11" t="s">
        <v>142</v>
      </c>
      <c r="F232" s="11" t="s">
        <v>355</v>
      </c>
      <c r="G232" s="11" t="s">
        <v>356</v>
      </c>
      <c r="H232" s="11" t="s">
        <v>357</v>
      </c>
      <c r="I232" s="11" t="s">
        <v>38</v>
      </c>
    </row>
    <row r="233" spans="1:9" ht="19.95" customHeight="1" x14ac:dyDescent="0.3">
      <c r="A233" s="23">
        <v>46274.774726446762</v>
      </c>
      <c r="B233" s="16" t="s">
        <v>440</v>
      </c>
      <c r="C233" s="14" t="s">
        <v>353</v>
      </c>
      <c r="D233" s="14" t="s">
        <v>617</v>
      </c>
      <c r="E233" s="14" t="s">
        <v>145</v>
      </c>
      <c r="F233" s="14" t="s">
        <v>355</v>
      </c>
      <c r="G233" s="14" t="s">
        <v>356</v>
      </c>
      <c r="H233" s="14" t="s">
        <v>357</v>
      </c>
      <c r="I233" s="14" t="s">
        <v>38</v>
      </c>
    </row>
    <row r="234" spans="1:9" ht="19.95" customHeight="1" x14ac:dyDescent="0.3">
      <c r="A234" s="21">
        <v>46274.774726296288</v>
      </c>
      <c r="B234" s="13" t="s">
        <v>440</v>
      </c>
      <c r="C234" s="11" t="s">
        <v>353</v>
      </c>
      <c r="D234" s="11" t="s">
        <v>618</v>
      </c>
      <c r="E234" s="11" t="s">
        <v>142</v>
      </c>
      <c r="F234" s="11" t="s">
        <v>355</v>
      </c>
      <c r="G234" s="11" t="s">
        <v>356</v>
      </c>
      <c r="H234" s="11" t="s">
        <v>357</v>
      </c>
      <c r="I234" s="11" t="s">
        <v>38</v>
      </c>
    </row>
    <row r="235" spans="1:9" ht="19.95" customHeight="1" x14ac:dyDescent="0.3">
      <c r="A235" s="23">
        <v>46274.774724571762</v>
      </c>
      <c r="B235" s="16" t="s">
        <v>440</v>
      </c>
      <c r="C235" s="14" t="s">
        <v>353</v>
      </c>
      <c r="D235" s="14" t="s">
        <v>619</v>
      </c>
      <c r="E235" s="14" t="s">
        <v>145</v>
      </c>
      <c r="F235" s="14" t="s">
        <v>355</v>
      </c>
      <c r="G235" s="14" t="s">
        <v>356</v>
      </c>
      <c r="H235" s="14" t="s">
        <v>357</v>
      </c>
      <c r="I235" s="14" t="s">
        <v>38</v>
      </c>
    </row>
    <row r="236" spans="1:9" ht="19.95" customHeight="1" x14ac:dyDescent="0.3">
      <c r="A236" s="21">
        <v>46274.774724178242</v>
      </c>
      <c r="B236" s="13" t="s">
        <v>440</v>
      </c>
      <c r="C236" s="11" t="s">
        <v>353</v>
      </c>
      <c r="D236" s="11" t="s">
        <v>620</v>
      </c>
      <c r="E236" s="11" t="s">
        <v>142</v>
      </c>
      <c r="F236" s="11" t="s">
        <v>355</v>
      </c>
      <c r="G236" s="11" t="s">
        <v>356</v>
      </c>
      <c r="H236" s="11" t="s">
        <v>357</v>
      </c>
      <c r="I236" s="11" t="s">
        <v>38</v>
      </c>
    </row>
    <row r="237" spans="1:9" ht="19.95" customHeight="1" x14ac:dyDescent="0.3">
      <c r="A237" s="23">
        <v>46274.774723703697</v>
      </c>
      <c r="B237" s="16" t="s">
        <v>440</v>
      </c>
      <c r="C237" s="14" t="s">
        <v>353</v>
      </c>
      <c r="D237" s="14" t="s">
        <v>621</v>
      </c>
      <c r="E237" s="14" t="s">
        <v>145</v>
      </c>
      <c r="F237" s="14" t="s">
        <v>355</v>
      </c>
      <c r="G237" s="14" t="s">
        <v>356</v>
      </c>
      <c r="H237" s="14" t="s">
        <v>357</v>
      </c>
      <c r="I237" s="14" t="s">
        <v>38</v>
      </c>
    </row>
    <row r="238" spans="1:9" ht="19.95" customHeight="1" x14ac:dyDescent="0.3">
      <c r="A238" s="21">
        <v>46274.774723055547</v>
      </c>
      <c r="B238" s="13" t="s">
        <v>440</v>
      </c>
      <c r="C238" s="11" t="s">
        <v>353</v>
      </c>
      <c r="D238" s="11" t="s">
        <v>622</v>
      </c>
      <c r="E238" s="11" t="s">
        <v>142</v>
      </c>
      <c r="F238" s="11" t="s">
        <v>355</v>
      </c>
      <c r="G238" s="11" t="s">
        <v>356</v>
      </c>
      <c r="H238" s="11" t="s">
        <v>357</v>
      </c>
      <c r="I238" s="11" t="s">
        <v>38</v>
      </c>
    </row>
    <row r="239" spans="1:9" ht="19.95" customHeight="1" x14ac:dyDescent="0.3">
      <c r="A239" s="23">
        <v>46274.774722627313</v>
      </c>
      <c r="B239" s="16" t="s">
        <v>440</v>
      </c>
      <c r="C239" s="14" t="s">
        <v>353</v>
      </c>
      <c r="D239" s="14" t="s">
        <v>623</v>
      </c>
      <c r="E239" s="14" t="s">
        <v>142</v>
      </c>
      <c r="F239" s="14" t="s">
        <v>355</v>
      </c>
      <c r="G239" s="14" t="s">
        <v>356</v>
      </c>
      <c r="H239" s="14" t="s">
        <v>357</v>
      </c>
      <c r="I239" s="14" t="s">
        <v>38</v>
      </c>
    </row>
    <row r="240" spans="1:9" ht="19.95" customHeight="1" x14ac:dyDescent="0.3">
      <c r="A240" s="21">
        <v>46274.77472212963</v>
      </c>
      <c r="B240" s="13" t="s">
        <v>440</v>
      </c>
      <c r="C240" s="11" t="s">
        <v>353</v>
      </c>
      <c r="D240" s="11" t="s">
        <v>624</v>
      </c>
      <c r="E240" s="11" t="s">
        <v>145</v>
      </c>
      <c r="F240" s="11" t="s">
        <v>355</v>
      </c>
      <c r="G240" s="11" t="s">
        <v>356</v>
      </c>
      <c r="H240" s="11" t="s">
        <v>357</v>
      </c>
      <c r="I240" s="11" t="s">
        <v>38</v>
      </c>
    </row>
    <row r="241" spans="1:9" ht="19.95" customHeight="1" x14ac:dyDescent="0.3">
      <c r="A241" s="23">
        <v>46274.774721585651</v>
      </c>
      <c r="B241" s="16" t="s">
        <v>440</v>
      </c>
      <c r="C241" s="14" t="s">
        <v>353</v>
      </c>
      <c r="D241" s="14" t="s">
        <v>625</v>
      </c>
      <c r="E241" s="14" t="s">
        <v>145</v>
      </c>
      <c r="F241" s="14" t="s">
        <v>355</v>
      </c>
      <c r="G241" s="14" t="s">
        <v>356</v>
      </c>
      <c r="H241" s="14" t="s">
        <v>357</v>
      </c>
      <c r="I241" s="14" t="s">
        <v>38</v>
      </c>
    </row>
    <row r="242" spans="1:9" ht="19.95" customHeight="1" x14ac:dyDescent="0.3">
      <c r="A242" s="21">
        <v>46274.774721319453</v>
      </c>
      <c r="B242" s="13" t="s">
        <v>440</v>
      </c>
      <c r="C242" s="11" t="s">
        <v>353</v>
      </c>
      <c r="D242" s="11" t="s">
        <v>626</v>
      </c>
      <c r="E242" s="11" t="s">
        <v>361</v>
      </c>
      <c r="F242" s="11" t="s">
        <v>355</v>
      </c>
      <c r="G242" s="11" t="s">
        <v>356</v>
      </c>
      <c r="H242" s="11" t="s">
        <v>357</v>
      </c>
      <c r="I242" s="11" t="s">
        <v>38</v>
      </c>
    </row>
    <row r="243" spans="1:9" ht="19.95" customHeight="1" x14ac:dyDescent="0.3">
      <c r="A243" s="23">
        <v>46274.774721122689</v>
      </c>
      <c r="B243" s="16" t="s">
        <v>440</v>
      </c>
      <c r="C243" s="14" t="s">
        <v>353</v>
      </c>
      <c r="D243" s="14" t="s">
        <v>627</v>
      </c>
      <c r="E243" s="14" t="s">
        <v>142</v>
      </c>
      <c r="F243" s="14" t="s">
        <v>355</v>
      </c>
      <c r="G243" s="14" t="s">
        <v>356</v>
      </c>
      <c r="H243" s="14" t="s">
        <v>357</v>
      </c>
      <c r="I243" s="14" t="s">
        <v>38</v>
      </c>
    </row>
    <row r="244" spans="1:9" ht="19.95" customHeight="1" x14ac:dyDescent="0.3">
      <c r="A244" s="21">
        <v>46274.774683206022</v>
      </c>
      <c r="B244" s="13" t="s">
        <v>440</v>
      </c>
      <c r="C244" s="11" t="s">
        <v>353</v>
      </c>
      <c r="D244" s="11" t="s">
        <v>628</v>
      </c>
      <c r="E244" s="11" t="s">
        <v>142</v>
      </c>
      <c r="F244" s="11" t="s">
        <v>355</v>
      </c>
      <c r="G244" s="11" t="s">
        <v>356</v>
      </c>
      <c r="H244" s="11" t="s">
        <v>357</v>
      </c>
      <c r="I244" s="11" t="s">
        <v>38</v>
      </c>
    </row>
    <row r="245" spans="1:9" ht="19.95" customHeight="1" x14ac:dyDescent="0.3">
      <c r="A245" s="23">
        <v>46274.774683043979</v>
      </c>
      <c r="B245" s="16" t="s">
        <v>440</v>
      </c>
      <c r="C245" s="14" t="s">
        <v>353</v>
      </c>
      <c r="D245" s="14" t="s">
        <v>629</v>
      </c>
      <c r="E245" s="14" t="s">
        <v>145</v>
      </c>
      <c r="F245" s="14" t="s">
        <v>355</v>
      </c>
      <c r="G245" s="14" t="s">
        <v>356</v>
      </c>
      <c r="H245" s="14" t="s">
        <v>357</v>
      </c>
      <c r="I245" s="14" t="s">
        <v>38</v>
      </c>
    </row>
    <row r="246" spans="1:9" ht="19.95" customHeight="1" x14ac:dyDescent="0.3">
      <c r="A246" s="21">
        <v>46274.77468289352</v>
      </c>
      <c r="B246" s="13" t="s">
        <v>440</v>
      </c>
      <c r="C246" s="11" t="s">
        <v>353</v>
      </c>
      <c r="D246" s="11" t="s">
        <v>630</v>
      </c>
      <c r="E246" s="11" t="s">
        <v>142</v>
      </c>
      <c r="F246" s="11" t="s">
        <v>355</v>
      </c>
      <c r="G246" s="11" t="s">
        <v>356</v>
      </c>
      <c r="H246" s="11" t="s">
        <v>357</v>
      </c>
      <c r="I246" s="11" t="s">
        <v>38</v>
      </c>
    </row>
    <row r="247" spans="1:9" ht="19.95" customHeight="1" x14ac:dyDescent="0.3">
      <c r="A247" s="23">
        <v>46274.774682754629</v>
      </c>
      <c r="B247" s="16" t="s">
        <v>440</v>
      </c>
      <c r="C247" s="14" t="s">
        <v>353</v>
      </c>
      <c r="D247" s="14" t="s">
        <v>631</v>
      </c>
      <c r="E247" s="14" t="s">
        <v>145</v>
      </c>
      <c r="F247" s="14" t="s">
        <v>355</v>
      </c>
      <c r="G247" s="14" t="s">
        <v>356</v>
      </c>
      <c r="H247" s="14" t="s">
        <v>357</v>
      </c>
      <c r="I247" s="14" t="s">
        <v>38</v>
      </c>
    </row>
    <row r="248" spans="1:9" ht="19.95" customHeight="1" x14ac:dyDescent="0.3">
      <c r="A248" s="21">
        <v>46274.774682569441</v>
      </c>
      <c r="B248" s="13" t="s">
        <v>440</v>
      </c>
      <c r="C248" s="11" t="s">
        <v>353</v>
      </c>
      <c r="D248" s="11" t="s">
        <v>632</v>
      </c>
      <c r="E248" s="11" t="s">
        <v>142</v>
      </c>
      <c r="F248" s="11" t="s">
        <v>355</v>
      </c>
      <c r="G248" s="11" t="s">
        <v>356</v>
      </c>
      <c r="H248" s="11" t="s">
        <v>357</v>
      </c>
      <c r="I248" s="11" t="s">
        <v>38</v>
      </c>
    </row>
    <row r="249" spans="1:9" ht="19.95" customHeight="1" x14ac:dyDescent="0.3">
      <c r="A249" s="23">
        <v>46274.774682407413</v>
      </c>
      <c r="B249" s="16" t="s">
        <v>440</v>
      </c>
      <c r="C249" s="14" t="s">
        <v>353</v>
      </c>
      <c r="D249" s="14" t="s">
        <v>633</v>
      </c>
      <c r="E249" s="14" t="s">
        <v>142</v>
      </c>
      <c r="F249" s="14" t="s">
        <v>355</v>
      </c>
      <c r="G249" s="14" t="s">
        <v>356</v>
      </c>
      <c r="H249" s="14" t="s">
        <v>357</v>
      </c>
      <c r="I249" s="14" t="s">
        <v>634</v>
      </c>
    </row>
    <row r="250" spans="1:9" ht="19.95" customHeight="1" x14ac:dyDescent="0.3">
      <c r="A250" s="21">
        <v>46274.77468224537</v>
      </c>
      <c r="B250" s="13" t="s">
        <v>440</v>
      </c>
      <c r="C250" s="11" t="s">
        <v>353</v>
      </c>
      <c r="D250" s="11" t="s">
        <v>635</v>
      </c>
      <c r="E250" s="11" t="s">
        <v>145</v>
      </c>
      <c r="F250" s="11" t="s">
        <v>355</v>
      </c>
      <c r="G250" s="11" t="s">
        <v>356</v>
      </c>
      <c r="H250" s="11" t="s">
        <v>357</v>
      </c>
      <c r="I250" s="11" t="s">
        <v>38</v>
      </c>
    </row>
    <row r="251" spans="1:9" ht="19.95" customHeight="1" x14ac:dyDescent="0.3">
      <c r="A251" s="23">
        <v>46274.774682071758</v>
      </c>
      <c r="B251" s="16" t="s">
        <v>440</v>
      </c>
      <c r="C251" s="14" t="s">
        <v>353</v>
      </c>
      <c r="D251" s="14" t="s">
        <v>636</v>
      </c>
      <c r="E251" s="14" t="s">
        <v>142</v>
      </c>
      <c r="F251" s="14" t="s">
        <v>355</v>
      </c>
      <c r="G251" s="14" t="s">
        <v>356</v>
      </c>
      <c r="H251" s="14" t="s">
        <v>357</v>
      </c>
      <c r="I251" s="14" t="s">
        <v>38</v>
      </c>
    </row>
    <row r="252" spans="1:9" ht="19.95" customHeight="1" x14ac:dyDescent="0.3">
      <c r="A252" s="21">
        <v>46274.774681944436</v>
      </c>
      <c r="B252" s="13" t="s">
        <v>440</v>
      </c>
      <c r="C252" s="11" t="s">
        <v>353</v>
      </c>
      <c r="D252" s="11" t="s">
        <v>637</v>
      </c>
      <c r="E252" s="11" t="s">
        <v>142</v>
      </c>
      <c r="F252" s="11" t="s">
        <v>432</v>
      </c>
      <c r="G252" s="11" t="s">
        <v>356</v>
      </c>
      <c r="H252" s="11" t="s">
        <v>357</v>
      </c>
      <c r="I252" s="11" t="s">
        <v>38</v>
      </c>
    </row>
    <row r="253" spans="1:9" ht="19.95" customHeight="1" x14ac:dyDescent="0.3">
      <c r="A253" s="23">
        <v>46274.774681759263</v>
      </c>
      <c r="B253" s="16" t="s">
        <v>440</v>
      </c>
      <c r="C253" s="14" t="s">
        <v>353</v>
      </c>
      <c r="D253" s="14" t="s">
        <v>638</v>
      </c>
      <c r="E253" s="14" t="s">
        <v>145</v>
      </c>
      <c r="F253" s="14" t="s">
        <v>355</v>
      </c>
      <c r="G253" s="14" t="s">
        <v>356</v>
      </c>
      <c r="H253" s="14" t="s">
        <v>357</v>
      </c>
      <c r="I253" s="14" t="s">
        <v>38</v>
      </c>
    </row>
    <row r="254" spans="1:9" ht="19.95" customHeight="1" x14ac:dyDescent="0.3">
      <c r="A254" s="21">
        <v>46274.77468159722</v>
      </c>
      <c r="B254" s="13" t="s">
        <v>440</v>
      </c>
      <c r="C254" s="11" t="s">
        <v>353</v>
      </c>
      <c r="D254" s="11" t="s">
        <v>639</v>
      </c>
      <c r="E254" s="11" t="s">
        <v>142</v>
      </c>
      <c r="F254" s="11" t="s">
        <v>355</v>
      </c>
      <c r="G254" s="11" t="s">
        <v>356</v>
      </c>
      <c r="H254" s="11" t="s">
        <v>357</v>
      </c>
      <c r="I254" s="11" t="s">
        <v>38</v>
      </c>
    </row>
    <row r="255" spans="1:9" ht="19.95" customHeight="1" x14ac:dyDescent="0.3">
      <c r="A255" s="23">
        <v>46274.77468130787</v>
      </c>
      <c r="B255" s="16" t="s">
        <v>440</v>
      </c>
      <c r="C255" s="14" t="s">
        <v>353</v>
      </c>
      <c r="D255" s="14" t="s">
        <v>640</v>
      </c>
      <c r="E255" s="14" t="s">
        <v>145</v>
      </c>
      <c r="F255" s="14" t="s">
        <v>355</v>
      </c>
      <c r="G255" s="14" t="s">
        <v>356</v>
      </c>
      <c r="H255" s="14" t="s">
        <v>357</v>
      </c>
      <c r="I255" s="14" t="s">
        <v>38</v>
      </c>
    </row>
    <row r="256" spans="1:9" ht="19.95" customHeight="1" x14ac:dyDescent="0.3">
      <c r="A256" s="21">
        <v>46274.774681180563</v>
      </c>
      <c r="B256" s="13" t="s">
        <v>440</v>
      </c>
      <c r="C256" s="11" t="s">
        <v>353</v>
      </c>
      <c r="D256" s="11" t="s">
        <v>641</v>
      </c>
      <c r="E256" s="11" t="s">
        <v>142</v>
      </c>
      <c r="F256" s="11" t="s">
        <v>355</v>
      </c>
      <c r="G256" s="11" t="s">
        <v>356</v>
      </c>
      <c r="H256" s="11" t="s">
        <v>357</v>
      </c>
      <c r="I256" s="11" t="s">
        <v>38</v>
      </c>
    </row>
    <row r="257" spans="1:9" ht="19.95" customHeight="1" x14ac:dyDescent="0.3">
      <c r="A257" s="23">
        <v>46274.77468101852</v>
      </c>
      <c r="B257" s="16" t="s">
        <v>440</v>
      </c>
      <c r="C257" s="14" t="s">
        <v>353</v>
      </c>
      <c r="D257" s="14" t="s">
        <v>642</v>
      </c>
      <c r="E257" s="14" t="s">
        <v>142</v>
      </c>
      <c r="F257" s="14" t="s">
        <v>355</v>
      </c>
      <c r="G257" s="14" t="s">
        <v>356</v>
      </c>
      <c r="H257" s="14" t="s">
        <v>357</v>
      </c>
      <c r="I257" s="14" t="s">
        <v>38</v>
      </c>
    </row>
    <row r="258" spans="1:9" ht="19.95" customHeight="1" x14ac:dyDescent="0.3">
      <c r="A258" s="21">
        <v>46274.774680868053</v>
      </c>
      <c r="B258" s="13" t="s">
        <v>440</v>
      </c>
      <c r="C258" s="11" t="s">
        <v>353</v>
      </c>
      <c r="D258" s="11" t="s">
        <v>643</v>
      </c>
      <c r="E258" s="11" t="s">
        <v>145</v>
      </c>
      <c r="F258" s="11" t="s">
        <v>355</v>
      </c>
      <c r="G258" s="11" t="s">
        <v>356</v>
      </c>
      <c r="H258" s="11" t="s">
        <v>357</v>
      </c>
      <c r="I258" s="11" t="s">
        <v>38</v>
      </c>
    </row>
    <row r="259" spans="1:9" ht="19.95" customHeight="1" x14ac:dyDescent="0.3">
      <c r="A259" s="23">
        <v>46274.77468072917</v>
      </c>
      <c r="B259" s="16" t="s">
        <v>440</v>
      </c>
      <c r="C259" s="14" t="s">
        <v>353</v>
      </c>
      <c r="D259" s="14" t="s">
        <v>644</v>
      </c>
      <c r="E259" s="14" t="s">
        <v>361</v>
      </c>
      <c r="F259" s="14" t="s">
        <v>446</v>
      </c>
      <c r="G259" s="14" t="s">
        <v>356</v>
      </c>
      <c r="H259" s="14" t="s">
        <v>357</v>
      </c>
      <c r="I259" s="14" t="s">
        <v>38</v>
      </c>
    </row>
    <row r="260" spans="1:9" ht="19.95" customHeight="1" x14ac:dyDescent="0.3">
      <c r="A260" s="21">
        <v>46274.774680601848</v>
      </c>
      <c r="B260" s="13" t="s">
        <v>440</v>
      </c>
      <c r="C260" s="11" t="s">
        <v>353</v>
      </c>
      <c r="D260" s="11" t="s">
        <v>645</v>
      </c>
      <c r="E260" s="11" t="s">
        <v>145</v>
      </c>
      <c r="F260" s="11" t="s">
        <v>355</v>
      </c>
      <c r="G260" s="11" t="s">
        <v>356</v>
      </c>
      <c r="H260" s="11" t="s">
        <v>357</v>
      </c>
      <c r="I260" s="11" t="s">
        <v>38</v>
      </c>
    </row>
    <row r="261" spans="1:9" ht="19.95" customHeight="1" x14ac:dyDescent="0.3">
      <c r="A261" s="23">
        <v>46274.774680486109</v>
      </c>
      <c r="B261" s="16" t="s">
        <v>440</v>
      </c>
      <c r="C261" s="14" t="s">
        <v>353</v>
      </c>
      <c r="D261" s="14" t="s">
        <v>646</v>
      </c>
      <c r="E261" s="14" t="s">
        <v>142</v>
      </c>
      <c r="F261" s="14" t="s">
        <v>355</v>
      </c>
      <c r="G261" s="14" t="s">
        <v>356</v>
      </c>
      <c r="H261" s="14" t="s">
        <v>357</v>
      </c>
      <c r="I261" s="14" t="s">
        <v>38</v>
      </c>
    </row>
    <row r="262" spans="1:9" ht="19.95" customHeight="1" x14ac:dyDescent="0.3">
      <c r="A262" s="21">
        <v>46274.774680347233</v>
      </c>
      <c r="B262" s="13" t="s">
        <v>440</v>
      </c>
      <c r="C262" s="11" t="s">
        <v>353</v>
      </c>
      <c r="D262" s="11" t="s">
        <v>647</v>
      </c>
      <c r="E262" s="11" t="s">
        <v>142</v>
      </c>
      <c r="F262" s="11" t="s">
        <v>355</v>
      </c>
      <c r="G262" s="11" t="s">
        <v>356</v>
      </c>
      <c r="H262" s="11" t="s">
        <v>357</v>
      </c>
      <c r="I262" s="11" t="s">
        <v>38</v>
      </c>
    </row>
    <row r="263" spans="1:9" ht="19.95" customHeight="1" x14ac:dyDescent="0.3">
      <c r="A263" s="23">
        <v>46274.77468023148</v>
      </c>
      <c r="B263" s="16" t="s">
        <v>440</v>
      </c>
      <c r="C263" s="14" t="s">
        <v>353</v>
      </c>
      <c r="D263" s="14" t="s">
        <v>648</v>
      </c>
      <c r="E263" s="14" t="s">
        <v>142</v>
      </c>
      <c r="F263" s="14" t="s">
        <v>355</v>
      </c>
      <c r="G263" s="14" t="s">
        <v>356</v>
      </c>
      <c r="H263" s="14" t="s">
        <v>357</v>
      </c>
      <c r="I263" s="14" t="s">
        <v>649</v>
      </c>
    </row>
    <row r="264" spans="1:9" ht="19.95" customHeight="1" x14ac:dyDescent="0.3">
      <c r="A264" s="21">
        <v>46274.774680069437</v>
      </c>
      <c r="B264" s="13" t="s">
        <v>440</v>
      </c>
      <c r="C264" s="11" t="s">
        <v>353</v>
      </c>
      <c r="D264" s="11" t="s">
        <v>650</v>
      </c>
      <c r="E264" s="11" t="s">
        <v>361</v>
      </c>
      <c r="F264" s="11" t="s">
        <v>355</v>
      </c>
      <c r="G264" s="11" t="s">
        <v>356</v>
      </c>
      <c r="H264" s="11" t="s">
        <v>357</v>
      </c>
      <c r="I264" s="11" t="s">
        <v>38</v>
      </c>
    </row>
    <row r="265" spans="1:9" ht="19.95" customHeight="1" x14ac:dyDescent="0.3">
      <c r="A265" s="23">
        <v>46274.774679942129</v>
      </c>
      <c r="B265" s="16" t="s">
        <v>440</v>
      </c>
      <c r="C265" s="14" t="s">
        <v>353</v>
      </c>
      <c r="D265" s="14" t="s">
        <v>651</v>
      </c>
      <c r="E265" s="14" t="s">
        <v>145</v>
      </c>
      <c r="F265" s="14" t="s">
        <v>355</v>
      </c>
      <c r="G265" s="14" t="s">
        <v>356</v>
      </c>
      <c r="H265" s="14" t="s">
        <v>357</v>
      </c>
      <c r="I265" s="14" t="s">
        <v>38</v>
      </c>
    </row>
    <row r="266" spans="1:9" ht="19.95" customHeight="1" x14ac:dyDescent="0.3">
      <c r="A266" s="21">
        <v>46274.774679826391</v>
      </c>
      <c r="B266" s="13" t="s">
        <v>440</v>
      </c>
      <c r="C266" s="11" t="s">
        <v>353</v>
      </c>
      <c r="D266" s="11" t="s">
        <v>652</v>
      </c>
      <c r="E266" s="11" t="s">
        <v>361</v>
      </c>
      <c r="F266" s="11" t="s">
        <v>432</v>
      </c>
      <c r="G266" s="11" t="s">
        <v>356</v>
      </c>
      <c r="H266" s="11" t="s">
        <v>357</v>
      </c>
      <c r="I266" s="11" t="s">
        <v>38</v>
      </c>
    </row>
    <row r="267" spans="1:9" ht="19.95" customHeight="1" x14ac:dyDescent="0.3">
      <c r="A267" s="23">
        <v>46274.774679699083</v>
      </c>
      <c r="B267" s="16" t="s">
        <v>440</v>
      </c>
      <c r="C267" s="14" t="s">
        <v>353</v>
      </c>
      <c r="D267" s="14" t="s">
        <v>653</v>
      </c>
      <c r="E267" s="14" t="s">
        <v>145</v>
      </c>
      <c r="F267" s="14" t="s">
        <v>355</v>
      </c>
      <c r="G267" s="14" t="s">
        <v>356</v>
      </c>
      <c r="H267" s="14" t="s">
        <v>357</v>
      </c>
      <c r="I267" s="14" t="s">
        <v>38</v>
      </c>
    </row>
    <row r="268" spans="1:9" ht="19.95" customHeight="1" x14ac:dyDescent="0.3">
      <c r="A268" s="21">
        <v>46274.774679560192</v>
      </c>
      <c r="B268" s="13" t="s">
        <v>440</v>
      </c>
      <c r="C268" s="11" t="s">
        <v>353</v>
      </c>
      <c r="D268" s="11" t="s">
        <v>654</v>
      </c>
      <c r="E268" s="11" t="s">
        <v>142</v>
      </c>
      <c r="F268" s="11" t="s">
        <v>355</v>
      </c>
      <c r="G268" s="11" t="s">
        <v>356</v>
      </c>
      <c r="H268" s="11" t="s">
        <v>357</v>
      </c>
      <c r="I268" s="11" t="s">
        <v>38</v>
      </c>
    </row>
    <row r="269" spans="1:9" ht="19.95" customHeight="1" x14ac:dyDescent="0.3">
      <c r="A269" s="23">
        <v>46274.774679421287</v>
      </c>
      <c r="B269" s="16" t="s">
        <v>440</v>
      </c>
      <c r="C269" s="14" t="s">
        <v>353</v>
      </c>
      <c r="D269" s="14" t="s">
        <v>655</v>
      </c>
      <c r="E269" s="14" t="s">
        <v>145</v>
      </c>
      <c r="F269" s="14" t="s">
        <v>355</v>
      </c>
      <c r="G269" s="14" t="s">
        <v>356</v>
      </c>
      <c r="H269" s="14" t="s">
        <v>357</v>
      </c>
      <c r="I269" s="14" t="s">
        <v>38</v>
      </c>
    </row>
    <row r="270" spans="1:9" ht="19.95" customHeight="1" x14ac:dyDescent="0.3">
      <c r="A270" s="21">
        <v>46274.774679282411</v>
      </c>
      <c r="B270" s="13" t="s">
        <v>440</v>
      </c>
      <c r="C270" s="11" t="s">
        <v>353</v>
      </c>
      <c r="D270" s="11" t="s">
        <v>656</v>
      </c>
      <c r="E270" s="11" t="s">
        <v>361</v>
      </c>
      <c r="F270" s="11" t="s">
        <v>432</v>
      </c>
      <c r="G270" s="11" t="s">
        <v>356</v>
      </c>
      <c r="H270" s="11" t="s">
        <v>357</v>
      </c>
      <c r="I270" s="11" t="s">
        <v>38</v>
      </c>
    </row>
    <row r="271" spans="1:9" ht="19.95" customHeight="1" x14ac:dyDescent="0.3">
      <c r="A271" s="23">
        <v>46274.774679097223</v>
      </c>
      <c r="B271" s="16" t="s">
        <v>440</v>
      </c>
      <c r="C271" s="14" t="s">
        <v>353</v>
      </c>
      <c r="D271" s="14" t="s">
        <v>657</v>
      </c>
      <c r="E271" s="14" t="s">
        <v>142</v>
      </c>
      <c r="F271" s="14" t="s">
        <v>362</v>
      </c>
      <c r="G271" s="14" t="s">
        <v>356</v>
      </c>
      <c r="H271" s="14" t="s">
        <v>357</v>
      </c>
      <c r="I271" s="14" t="s">
        <v>38</v>
      </c>
    </row>
    <row r="272" spans="1:9" ht="19.95" customHeight="1" x14ac:dyDescent="0.3">
      <c r="A272" s="21">
        <v>46274.774678877307</v>
      </c>
      <c r="B272" s="13" t="s">
        <v>440</v>
      </c>
      <c r="C272" s="11" t="s">
        <v>353</v>
      </c>
      <c r="D272" s="11" t="s">
        <v>658</v>
      </c>
      <c r="E272" s="11" t="s">
        <v>142</v>
      </c>
      <c r="F272" s="11" t="s">
        <v>355</v>
      </c>
      <c r="G272" s="11" t="s">
        <v>356</v>
      </c>
      <c r="H272" s="11" t="s">
        <v>357</v>
      </c>
      <c r="I272" s="11" t="s">
        <v>38</v>
      </c>
    </row>
    <row r="273" spans="1:9" ht="19.95" customHeight="1" x14ac:dyDescent="0.3">
      <c r="A273" s="23">
        <v>46274.77467875</v>
      </c>
      <c r="B273" s="16" t="s">
        <v>440</v>
      </c>
      <c r="C273" s="14" t="s">
        <v>353</v>
      </c>
      <c r="D273" s="14" t="s">
        <v>659</v>
      </c>
      <c r="E273" s="14" t="s">
        <v>145</v>
      </c>
      <c r="F273" s="14" t="s">
        <v>355</v>
      </c>
      <c r="G273" s="14" t="s">
        <v>356</v>
      </c>
      <c r="H273" s="14" t="s">
        <v>357</v>
      </c>
      <c r="I273" s="14" t="s">
        <v>38</v>
      </c>
    </row>
    <row r="274" spans="1:9" ht="19.95" customHeight="1" x14ac:dyDescent="0.3">
      <c r="A274" s="21">
        <v>46274.774678622693</v>
      </c>
      <c r="B274" s="13" t="s">
        <v>440</v>
      </c>
      <c r="C274" s="11" t="s">
        <v>353</v>
      </c>
      <c r="D274" s="11" t="s">
        <v>660</v>
      </c>
      <c r="E274" s="11" t="s">
        <v>361</v>
      </c>
      <c r="F274" s="11" t="s">
        <v>432</v>
      </c>
      <c r="G274" s="11" t="s">
        <v>356</v>
      </c>
      <c r="H274" s="11" t="s">
        <v>357</v>
      </c>
      <c r="I274" s="11" t="s">
        <v>38</v>
      </c>
    </row>
    <row r="275" spans="1:9" ht="19.95" customHeight="1" x14ac:dyDescent="0.3">
      <c r="A275" s="23">
        <v>46274.774678495371</v>
      </c>
      <c r="B275" s="16" t="s">
        <v>440</v>
      </c>
      <c r="C275" s="14" t="s">
        <v>353</v>
      </c>
      <c r="D275" s="14" t="s">
        <v>661</v>
      </c>
      <c r="E275" s="14" t="s">
        <v>142</v>
      </c>
      <c r="F275" s="14" t="s">
        <v>355</v>
      </c>
      <c r="G275" s="14" t="s">
        <v>356</v>
      </c>
      <c r="H275" s="14" t="s">
        <v>357</v>
      </c>
      <c r="I275" s="14" t="s">
        <v>38</v>
      </c>
    </row>
    <row r="276" spans="1:9" ht="19.95" customHeight="1" x14ac:dyDescent="0.3">
      <c r="A276" s="21">
        <v>46274.774678391201</v>
      </c>
      <c r="B276" s="13" t="s">
        <v>440</v>
      </c>
      <c r="C276" s="11" t="s">
        <v>353</v>
      </c>
      <c r="D276" s="11" t="s">
        <v>662</v>
      </c>
      <c r="E276" s="11" t="s">
        <v>142</v>
      </c>
      <c r="F276" s="11" t="s">
        <v>355</v>
      </c>
      <c r="G276" s="11" t="s">
        <v>356</v>
      </c>
      <c r="H276" s="11" t="s">
        <v>357</v>
      </c>
      <c r="I276" s="11" t="s">
        <v>38</v>
      </c>
    </row>
    <row r="277" spans="1:9" ht="19.95" customHeight="1" x14ac:dyDescent="0.3">
      <c r="A277" s="23">
        <v>46274.774677766203</v>
      </c>
      <c r="B277" s="16" t="s">
        <v>440</v>
      </c>
      <c r="C277" s="14" t="s">
        <v>353</v>
      </c>
      <c r="D277" s="14" t="s">
        <v>663</v>
      </c>
      <c r="E277" s="14" t="s">
        <v>145</v>
      </c>
      <c r="F277" s="14" t="s">
        <v>355</v>
      </c>
      <c r="G277" s="14" t="s">
        <v>356</v>
      </c>
      <c r="H277" s="14" t="s">
        <v>357</v>
      </c>
      <c r="I277" s="14" t="s">
        <v>38</v>
      </c>
    </row>
    <row r="278" spans="1:9" ht="19.95" customHeight="1" x14ac:dyDescent="0.3">
      <c r="A278" s="21">
        <v>46274.774677673609</v>
      </c>
      <c r="B278" s="13" t="s">
        <v>440</v>
      </c>
      <c r="C278" s="11" t="s">
        <v>353</v>
      </c>
      <c r="D278" s="11" t="s">
        <v>664</v>
      </c>
      <c r="E278" s="11" t="s">
        <v>142</v>
      </c>
      <c r="F278" s="11" t="s">
        <v>355</v>
      </c>
      <c r="G278" s="11" t="s">
        <v>356</v>
      </c>
      <c r="H278" s="11" t="s">
        <v>357</v>
      </c>
      <c r="I278" s="11" t="s">
        <v>38</v>
      </c>
    </row>
    <row r="279" spans="1:9" ht="19.95" customHeight="1" x14ac:dyDescent="0.3">
      <c r="A279" s="23">
        <v>46274.774677546287</v>
      </c>
      <c r="B279" s="16" t="s">
        <v>440</v>
      </c>
      <c r="C279" s="14" t="s">
        <v>353</v>
      </c>
      <c r="D279" s="14" t="s">
        <v>665</v>
      </c>
      <c r="E279" s="14" t="s">
        <v>142</v>
      </c>
      <c r="F279" s="14" t="s">
        <v>355</v>
      </c>
      <c r="G279" s="14" t="s">
        <v>356</v>
      </c>
      <c r="H279" s="14" t="s">
        <v>357</v>
      </c>
      <c r="I279" s="14" t="s">
        <v>38</v>
      </c>
    </row>
    <row r="280" spans="1:9" ht="19.95" customHeight="1" x14ac:dyDescent="0.3">
      <c r="A280" s="21">
        <v>46274.77467741898</v>
      </c>
      <c r="B280" s="13" t="s">
        <v>440</v>
      </c>
      <c r="C280" s="11" t="s">
        <v>353</v>
      </c>
      <c r="D280" s="11" t="s">
        <v>666</v>
      </c>
      <c r="E280" s="11" t="s">
        <v>145</v>
      </c>
      <c r="F280" s="11" t="s">
        <v>355</v>
      </c>
      <c r="G280" s="11" t="s">
        <v>356</v>
      </c>
      <c r="H280" s="11" t="s">
        <v>357</v>
      </c>
      <c r="I280" s="11" t="s">
        <v>667</v>
      </c>
    </row>
    <row r="281" spans="1:9" ht="19.95" customHeight="1" x14ac:dyDescent="0.3">
      <c r="A281" s="23">
        <v>46274.774677303241</v>
      </c>
      <c r="B281" s="16" t="s">
        <v>440</v>
      </c>
      <c r="C281" s="14" t="s">
        <v>353</v>
      </c>
      <c r="D281" s="14" t="s">
        <v>668</v>
      </c>
      <c r="E281" s="14" t="s">
        <v>145</v>
      </c>
      <c r="F281" s="14" t="s">
        <v>355</v>
      </c>
      <c r="G281" s="14" t="s">
        <v>356</v>
      </c>
      <c r="H281" s="14" t="s">
        <v>357</v>
      </c>
      <c r="I281" s="14" t="s">
        <v>38</v>
      </c>
    </row>
    <row r="282" spans="1:9" ht="19.95" customHeight="1" x14ac:dyDescent="0.3">
      <c r="A282" s="21">
        <v>46274.774677152767</v>
      </c>
      <c r="B282" s="13" t="s">
        <v>440</v>
      </c>
      <c r="C282" s="11" t="s">
        <v>353</v>
      </c>
      <c r="D282" s="11" t="s">
        <v>669</v>
      </c>
      <c r="E282" s="11" t="s">
        <v>142</v>
      </c>
      <c r="F282" s="11" t="s">
        <v>355</v>
      </c>
      <c r="G282" s="11" t="s">
        <v>356</v>
      </c>
      <c r="H282" s="11" t="s">
        <v>357</v>
      </c>
      <c r="I282" s="11" t="s">
        <v>38</v>
      </c>
    </row>
    <row r="283" spans="1:9" ht="19.95" customHeight="1" x14ac:dyDescent="0.3">
      <c r="A283" s="23">
        <v>46274.774676851863</v>
      </c>
      <c r="B283" s="16" t="s">
        <v>440</v>
      </c>
      <c r="C283" s="14" t="s">
        <v>353</v>
      </c>
      <c r="D283" s="14" t="s">
        <v>670</v>
      </c>
      <c r="E283" s="14" t="s">
        <v>145</v>
      </c>
      <c r="F283" s="14" t="s">
        <v>355</v>
      </c>
      <c r="G283" s="14" t="s">
        <v>356</v>
      </c>
      <c r="H283" s="14" t="s">
        <v>357</v>
      </c>
      <c r="I283" s="14" t="s">
        <v>38</v>
      </c>
    </row>
    <row r="284" spans="1:9" ht="19.95" customHeight="1" x14ac:dyDescent="0.3">
      <c r="A284" s="21">
        <v>46274.774676701389</v>
      </c>
      <c r="B284" s="13" t="s">
        <v>440</v>
      </c>
      <c r="C284" s="11" t="s">
        <v>353</v>
      </c>
      <c r="D284" s="11" t="s">
        <v>671</v>
      </c>
      <c r="E284" s="11" t="s">
        <v>145</v>
      </c>
      <c r="F284" s="11" t="s">
        <v>355</v>
      </c>
      <c r="G284" s="11" t="s">
        <v>356</v>
      </c>
      <c r="H284" s="11" t="s">
        <v>357</v>
      </c>
      <c r="I284" s="11" t="s">
        <v>38</v>
      </c>
    </row>
    <row r="285" spans="1:9" ht="19.95" customHeight="1" x14ac:dyDescent="0.3">
      <c r="A285" s="23">
        <v>46274.774676562498</v>
      </c>
      <c r="B285" s="16" t="s">
        <v>440</v>
      </c>
      <c r="C285" s="14" t="s">
        <v>353</v>
      </c>
      <c r="D285" s="14" t="s">
        <v>672</v>
      </c>
      <c r="E285" s="14" t="s">
        <v>142</v>
      </c>
      <c r="F285" s="14" t="s">
        <v>424</v>
      </c>
      <c r="G285" s="14" t="s">
        <v>356</v>
      </c>
      <c r="H285" s="14" t="s">
        <v>357</v>
      </c>
      <c r="I285" s="14" t="s">
        <v>38</v>
      </c>
    </row>
    <row r="286" spans="1:9" ht="19.95" customHeight="1" x14ac:dyDescent="0.3">
      <c r="A286" s="21">
        <v>46274.774676412038</v>
      </c>
      <c r="B286" s="13" t="s">
        <v>440</v>
      </c>
      <c r="C286" s="11" t="s">
        <v>353</v>
      </c>
      <c r="D286" s="11" t="s">
        <v>673</v>
      </c>
      <c r="E286" s="11" t="s">
        <v>142</v>
      </c>
      <c r="F286" s="11" t="s">
        <v>355</v>
      </c>
      <c r="G286" s="11" t="s">
        <v>356</v>
      </c>
      <c r="H286" s="11" t="s">
        <v>357</v>
      </c>
      <c r="I286" s="11" t="s">
        <v>38</v>
      </c>
    </row>
    <row r="287" spans="1:9" ht="19.95" customHeight="1" x14ac:dyDescent="0.3">
      <c r="A287" s="23">
        <v>46274.774676250003</v>
      </c>
      <c r="B287" s="16" t="s">
        <v>440</v>
      </c>
      <c r="C287" s="14" t="s">
        <v>353</v>
      </c>
      <c r="D287" s="14" t="s">
        <v>674</v>
      </c>
      <c r="E287" s="14" t="s">
        <v>145</v>
      </c>
      <c r="F287" s="14" t="s">
        <v>355</v>
      </c>
      <c r="G287" s="14" t="s">
        <v>356</v>
      </c>
      <c r="H287" s="14" t="s">
        <v>357</v>
      </c>
      <c r="I287" s="14" t="s">
        <v>38</v>
      </c>
    </row>
    <row r="288" spans="1:9" ht="19.95" customHeight="1" x14ac:dyDescent="0.3">
      <c r="A288" s="21">
        <v>46274.774676111112</v>
      </c>
      <c r="B288" s="13" t="s">
        <v>440</v>
      </c>
      <c r="C288" s="11" t="s">
        <v>353</v>
      </c>
      <c r="D288" s="11" t="s">
        <v>675</v>
      </c>
      <c r="E288" s="11" t="s">
        <v>142</v>
      </c>
      <c r="F288" s="11" t="s">
        <v>355</v>
      </c>
      <c r="G288" s="11" t="s">
        <v>356</v>
      </c>
      <c r="H288" s="11" t="s">
        <v>357</v>
      </c>
      <c r="I288" s="11" t="s">
        <v>676</v>
      </c>
    </row>
    <row r="289" spans="1:9" ht="19.95" customHeight="1" x14ac:dyDescent="0.3">
      <c r="A289" s="23">
        <v>46274.774675949076</v>
      </c>
      <c r="B289" s="16" t="s">
        <v>440</v>
      </c>
      <c r="C289" s="14" t="s">
        <v>353</v>
      </c>
      <c r="D289" s="14" t="s">
        <v>677</v>
      </c>
      <c r="E289" s="14" t="s">
        <v>142</v>
      </c>
      <c r="F289" s="14" t="s">
        <v>355</v>
      </c>
      <c r="G289" s="14" t="s">
        <v>356</v>
      </c>
      <c r="H289" s="14" t="s">
        <v>357</v>
      </c>
      <c r="I289" s="14" t="s">
        <v>38</v>
      </c>
    </row>
    <row r="290" spans="1:9" ht="19.95" customHeight="1" x14ac:dyDescent="0.3">
      <c r="A290" s="21">
        <v>46274.774675821762</v>
      </c>
      <c r="B290" s="13" t="s">
        <v>440</v>
      </c>
      <c r="C290" s="11" t="s">
        <v>353</v>
      </c>
      <c r="D290" s="11" t="s">
        <v>678</v>
      </c>
      <c r="E290" s="11" t="s">
        <v>142</v>
      </c>
      <c r="F290" s="11" t="s">
        <v>355</v>
      </c>
      <c r="G290" s="11" t="s">
        <v>356</v>
      </c>
      <c r="H290" s="11" t="s">
        <v>357</v>
      </c>
      <c r="I290" s="11" t="s">
        <v>38</v>
      </c>
    </row>
    <row r="291" spans="1:9" ht="19.95" customHeight="1" x14ac:dyDescent="0.3">
      <c r="A291" s="23">
        <v>46274.774675706023</v>
      </c>
      <c r="B291" s="16" t="s">
        <v>440</v>
      </c>
      <c r="C291" s="14" t="s">
        <v>353</v>
      </c>
      <c r="D291" s="14" t="s">
        <v>679</v>
      </c>
      <c r="E291" s="14" t="s">
        <v>142</v>
      </c>
      <c r="F291" s="14" t="s">
        <v>355</v>
      </c>
      <c r="G291" s="14" t="s">
        <v>356</v>
      </c>
      <c r="H291" s="14" t="s">
        <v>357</v>
      </c>
      <c r="I291" s="14" t="s">
        <v>38</v>
      </c>
    </row>
    <row r="292" spans="1:9" ht="19.95" customHeight="1" x14ac:dyDescent="0.3">
      <c r="A292" s="21">
        <v>46274.774675532397</v>
      </c>
      <c r="B292" s="13" t="s">
        <v>440</v>
      </c>
      <c r="C292" s="11" t="s">
        <v>353</v>
      </c>
      <c r="D292" s="11" t="s">
        <v>680</v>
      </c>
      <c r="E292" s="11" t="s">
        <v>145</v>
      </c>
      <c r="F292" s="11" t="s">
        <v>355</v>
      </c>
      <c r="G292" s="11" t="s">
        <v>356</v>
      </c>
      <c r="H292" s="11" t="s">
        <v>357</v>
      </c>
      <c r="I292" s="11" t="s">
        <v>38</v>
      </c>
    </row>
    <row r="293" spans="1:9" ht="19.95" customHeight="1" x14ac:dyDescent="0.3">
      <c r="A293" s="23">
        <v>46274.774675416673</v>
      </c>
      <c r="B293" s="16" t="s">
        <v>440</v>
      </c>
      <c r="C293" s="14" t="s">
        <v>353</v>
      </c>
      <c r="D293" s="14" t="s">
        <v>681</v>
      </c>
      <c r="E293" s="14" t="s">
        <v>142</v>
      </c>
      <c r="F293" s="14" t="s">
        <v>355</v>
      </c>
      <c r="G293" s="14" t="s">
        <v>356</v>
      </c>
      <c r="H293" s="14" t="s">
        <v>357</v>
      </c>
      <c r="I293" s="14" t="s">
        <v>38</v>
      </c>
    </row>
    <row r="294" spans="1:9" ht="19.95" customHeight="1" x14ac:dyDescent="0.3">
      <c r="A294" s="21">
        <v>46274.774675289351</v>
      </c>
      <c r="B294" s="13" t="s">
        <v>440</v>
      </c>
      <c r="C294" s="11" t="s">
        <v>353</v>
      </c>
      <c r="D294" s="11" t="s">
        <v>682</v>
      </c>
      <c r="E294" s="11" t="s">
        <v>142</v>
      </c>
      <c r="F294" s="11" t="s">
        <v>355</v>
      </c>
      <c r="G294" s="11" t="s">
        <v>356</v>
      </c>
      <c r="H294" s="11" t="s">
        <v>357</v>
      </c>
      <c r="I294" s="11" t="s">
        <v>38</v>
      </c>
    </row>
    <row r="295" spans="1:9" ht="19.95" customHeight="1" x14ac:dyDescent="0.3">
      <c r="A295" s="23">
        <v>46274.774675034721</v>
      </c>
      <c r="B295" s="16" t="s">
        <v>440</v>
      </c>
      <c r="C295" s="14" t="s">
        <v>353</v>
      </c>
      <c r="D295" s="14" t="s">
        <v>683</v>
      </c>
      <c r="E295" s="14" t="s">
        <v>142</v>
      </c>
      <c r="F295" s="14" t="s">
        <v>355</v>
      </c>
      <c r="G295" s="14" t="s">
        <v>356</v>
      </c>
      <c r="H295" s="14" t="s">
        <v>357</v>
      </c>
      <c r="I295" s="14" t="s">
        <v>38</v>
      </c>
    </row>
    <row r="296" spans="1:9" ht="19.95" customHeight="1" x14ac:dyDescent="0.3">
      <c r="A296" s="21">
        <v>46274.774674907407</v>
      </c>
      <c r="B296" s="13" t="s">
        <v>440</v>
      </c>
      <c r="C296" s="11" t="s">
        <v>353</v>
      </c>
      <c r="D296" s="11" t="s">
        <v>684</v>
      </c>
      <c r="E296" s="11" t="s">
        <v>142</v>
      </c>
      <c r="F296" s="11" t="s">
        <v>355</v>
      </c>
      <c r="G296" s="11" t="s">
        <v>356</v>
      </c>
      <c r="H296" s="11" t="s">
        <v>357</v>
      </c>
      <c r="I296" s="11" t="s">
        <v>38</v>
      </c>
    </row>
    <row r="297" spans="1:9" ht="19.95" customHeight="1" x14ac:dyDescent="0.3">
      <c r="A297" s="23">
        <v>46274.774674791668</v>
      </c>
      <c r="B297" s="16" t="s">
        <v>440</v>
      </c>
      <c r="C297" s="14" t="s">
        <v>353</v>
      </c>
      <c r="D297" s="14" t="s">
        <v>685</v>
      </c>
      <c r="E297" s="14" t="s">
        <v>142</v>
      </c>
      <c r="F297" s="14" t="s">
        <v>355</v>
      </c>
      <c r="G297" s="14" t="s">
        <v>356</v>
      </c>
      <c r="H297" s="14" t="s">
        <v>357</v>
      </c>
      <c r="I297" s="14" t="s">
        <v>38</v>
      </c>
    </row>
    <row r="298" spans="1:9" ht="19.95" customHeight="1" x14ac:dyDescent="0.3">
      <c r="A298" s="21">
        <v>46274.774674664353</v>
      </c>
      <c r="B298" s="13" t="s">
        <v>440</v>
      </c>
      <c r="C298" s="11" t="s">
        <v>353</v>
      </c>
      <c r="D298" s="11" t="s">
        <v>686</v>
      </c>
      <c r="E298" s="11" t="s">
        <v>142</v>
      </c>
      <c r="F298" s="11" t="s">
        <v>355</v>
      </c>
      <c r="G298" s="11" t="s">
        <v>356</v>
      </c>
      <c r="H298" s="11" t="s">
        <v>357</v>
      </c>
      <c r="I298" s="11" t="s">
        <v>38</v>
      </c>
    </row>
    <row r="299" spans="1:9" ht="19.95" customHeight="1" x14ac:dyDescent="0.3">
      <c r="A299" s="23">
        <v>46274.774674548607</v>
      </c>
      <c r="B299" s="16" t="s">
        <v>440</v>
      </c>
      <c r="C299" s="14" t="s">
        <v>353</v>
      </c>
      <c r="D299" s="14" t="s">
        <v>687</v>
      </c>
      <c r="E299" s="14" t="s">
        <v>142</v>
      </c>
      <c r="F299" s="14" t="s">
        <v>355</v>
      </c>
      <c r="G299" s="14" t="s">
        <v>356</v>
      </c>
      <c r="H299" s="14" t="s">
        <v>357</v>
      </c>
      <c r="I299" s="14" t="s">
        <v>38</v>
      </c>
    </row>
    <row r="300" spans="1:9" ht="19.95" customHeight="1" x14ac:dyDescent="0.3">
      <c r="A300" s="21">
        <v>46274.774674409717</v>
      </c>
      <c r="B300" s="13" t="s">
        <v>440</v>
      </c>
      <c r="C300" s="11" t="s">
        <v>353</v>
      </c>
      <c r="D300" s="11" t="s">
        <v>688</v>
      </c>
      <c r="E300" s="11" t="s">
        <v>361</v>
      </c>
      <c r="F300" s="11" t="s">
        <v>432</v>
      </c>
      <c r="G300" s="11" t="s">
        <v>356</v>
      </c>
      <c r="H300" s="11" t="s">
        <v>357</v>
      </c>
      <c r="I300" s="11" t="s">
        <v>38</v>
      </c>
    </row>
    <row r="301" spans="1:9" ht="19.95" customHeight="1" x14ac:dyDescent="0.3">
      <c r="A301" s="23">
        <v>46274.774674270833</v>
      </c>
      <c r="B301" s="16" t="s">
        <v>440</v>
      </c>
      <c r="C301" s="14" t="s">
        <v>353</v>
      </c>
      <c r="D301" s="14" t="s">
        <v>689</v>
      </c>
      <c r="E301" s="14" t="s">
        <v>145</v>
      </c>
      <c r="F301" s="14" t="s">
        <v>355</v>
      </c>
      <c r="G301" s="14" t="s">
        <v>356</v>
      </c>
      <c r="H301" s="14" t="s">
        <v>357</v>
      </c>
      <c r="I301" s="14" t="s">
        <v>38</v>
      </c>
    </row>
    <row r="302" spans="1:9" ht="19.95" customHeight="1" x14ac:dyDescent="0.3">
      <c r="A302" s="21">
        <v>46274.774674120366</v>
      </c>
      <c r="B302" s="13" t="s">
        <v>440</v>
      </c>
      <c r="C302" s="11" t="s">
        <v>353</v>
      </c>
      <c r="D302" s="11" t="s">
        <v>690</v>
      </c>
      <c r="E302" s="11" t="s">
        <v>142</v>
      </c>
      <c r="F302" s="11" t="s">
        <v>355</v>
      </c>
      <c r="G302" s="11" t="s">
        <v>356</v>
      </c>
      <c r="H302" s="11" t="s">
        <v>357</v>
      </c>
      <c r="I302" s="11" t="s">
        <v>38</v>
      </c>
    </row>
    <row r="303" spans="1:9" ht="19.95" customHeight="1" x14ac:dyDescent="0.3">
      <c r="A303" s="23">
        <v>46274.774673946762</v>
      </c>
      <c r="B303" s="16" t="s">
        <v>440</v>
      </c>
      <c r="C303" s="14" t="s">
        <v>353</v>
      </c>
      <c r="D303" s="14" t="s">
        <v>691</v>
      </c>
      <c r="E303" s="14" t="s">
        <v>361</v>
      </c>
      <c r="F303" s="14" t="s">
        <v>432</v>
      </c>
      <c r="G303" s="14" t="s">
        <v>356</v>
      </c>
      <c r="H303" s="14" t="s">
        <v>357</v>
      </c>
      <c r="I303" s="14" t="s">
        <v>38</v>
      </c>
    </row>
    <row r="304" spans="1:9" ht="19.95" customHeight="1" x14ac:dyDescent="0.3">
      <c r="A304" s="21">
        <v>46274.774673807871</v>
      </c>
      <c r="B304" s="13" t="s">
        <v>440</v>
      </c>
      <c r="C304" s="11" t="s">
        <v>353</v>
      </c>
      <c r="D304" s="11" t="s">
        <v>692</v>
      </c>
      <c r="E304" s="11" t="s">
        <v>145</v>
      </c>
      <c r="F304" s="11" t="s">
        <v>355</v>
      </c>
      <c r="G304" s="11" t="s">
        <v>356</v>
      </c>
      <c r="H304" s="11" t="s">
        <v>357</v>
      </c>
      <c r="I304" s="11" t="s">
        <v>38</v>
      </c>
    </row>
    <row r="305" spans="1:9" ht="19.95" customHeight="1" x14ac:dyDescent="0.3">
      <c r="A305" s="23">
        <v>46274.774673657397</v>
      </c>
      <c r="B305" s="16" t="s">
        <v>440</v>
      </c>
      <c r="C305" s="14" t="s">
        <v>353</v>
      </c>
      <c r="D305" s="14" t="s">
        <v>693</v>
      </c>
      <c r="E305" s="14" t="s">
        <v>142</v>
      </c>
      <c r="F305" s="14" t="s">
        <v>355</v>
      </c>
      <c r="G305" s="14" t="s">
        <v>356</v>
      </c>
      <c r="H305" s="14" t="s">
        <v>357</v>
      </c>
      <c r="I305" s="14" t="s">
        <v>38</v>
      </c>
    </row>
    <row r="306" spans="1:9" ht="19.95" customHeight="1" x14ac:dyDescent="0.3">
      <c r="A306" s="21">
        <v>46274.77467327546</v>
      </c>
      <c r="B306" s="13" t="s">
        <v>440</v>
      </c>
      <c r="C306" s="11" t="s">
        <v>353</v>
      </c>
      <c r="D306" s="11" t="s">
        <v>694</v>
      </c>
      <c r="E306" s="11" t="s">
        <v>142</v>
      </c>
      <c r="F306" s="11" t="s">
        <v>424</v>
      </c>
      <c r="G306" s="11" t="s">
        <v>356</v>
      </c>
      <c r="H306" s="11" t="s">
        <v>357</v>
      </c>
      <c r="I306" s="11" t="s">
        <v>583</v>
      </c>
    </row>
    <row r="307" spans="1:9" ht="19.95" customHeight="1" x14ac:dyDescent="0.3">
      <c r="A307" s="23">
        <v>46274.774673159722</v>
      </c>
      <c r="B307" s="16" t="s">
        <v>440</v>
      </c>
      <c r="C307" s="14" t="s">
        <v>353</v>
      </c>
      <c r="D307" s="14" t="s">
        <v>695</v>
      </c>
      <c r="E307" s="14" t="s">
        <v>142</v>
      </c>
      <c r="F307" s="14" t="s">
        <v>355</v>
      </c>
      <c r="G307" s="14" t="s">
        <v>356</v>
      </c>
      <c r="H307" s="14" t="s">
        <v>357</v>
      </c>
      <c r="I307" s="14" t="s">
        <v>38</v>
      </c>
    </row>
    <row r="308" spans="1:9" ht="19.95" customHeight="1" x14ac:dyDescent="0.3">
      <c r="A308" s="21">
        <v>46274.774673043983</v>
      </c>
      <c r="B308" s="13" t="s">
        <v>440</v>
      </c>
      <c r="C308" s="11" t="s">
        <v>353</v>
      </c>
      <c r="D308" s="11" t="s">
        <v>696</v>
      </c>
      <c r="E308" s="11" t="s">
        <v>145</v>
      </c>
      <c r="F308" s="11" t="s">
        <v>355</v>
      </c>
      <c r="G308" s="11" t="s">
        <v>356</v>
      </c>
      <c r="H308" s="11" t="s">
        <v>357</v>
      </c>
      <c r="I308" s="11" t="s">
        <v>38</v>
      </c>
    </row>
    <row r="309" spans="1:9" ht="19.95" customHeight="1" x14ac:dyDescent="0.3">
      <c r="A309" s="23">
        <v>46274.774672928237</v>
      </c>
      <c r="B309" s="16" t="s">
        <v>440</v>
      </c>
      <c r="C309" s="14" t="s">
        <v>353</v>
      </c>
      <c r="D309" s="14" t="s">
        <v>697</v>
      </c>
      <c r="E309" s="14" t="s">
        <v>145</v>
      </c>
      <c r="F309" s="14" t="s">
        <v>355</v>
      </c>
      <c r="G309" s="14" t="s">
        <v>356</v>
      </c>
      <c r="H309" s="14" t="s">
        <v>357</v>
      </c>
      <c r="I309" s="14" t="s">
        <v>38</v>
      </c>
    </row>
    <row r="310" spans="1:9" ht="19.95" customHeight="1" x14ac:dyDescent="0.3">
      <c r="A310" s="21">
        <v>46274.774672812498</v>
      </c>
      <c r="B310" s="13" t="s">
        <v>440</v>
      </c>
      <c r="C310" s="11" t="s">
        <v>353</v>
      </c>
      <c r="D310" s="11" t="s">
        <v>698</v>
      </c>
      <c r="E310" s="11" t="s">
        <v>142</v>
      </c>
      <c r="F310" s="11" t="s">
        <v>355</v>
      </c>
      <c r="G310" s="11" t="s">
        <v>356</v>
      </c>
      <c r="H310" s="11" t="s">
        <v>357</v>
      </c>
      <c r="I310" s="11" t="s">
        <v>38</v>
      </c>
    </row>
    <row r="311" spans="1:9" ht="19.95" customHeight="1" x14ac:dyDescent="0.3">
      <c r="A311" s="23">
        <v>46274.774672708343</v>
      </c>
      <c r="B311" s="16" t="s">
        <v>440</v>
      </c>
      <c r="C311" s="14" t="s">
        <v>353</v>
      </c>
      <c r="D311" s="14" t="s">
        <v>699</v>
      </c>
      <c r="E311" s="14" t="s">
        <v>142</v>
      </c>
      <c r="F311" s="14" t="s">
        <v>355</v>
      </c>
      <c r="G311" s="14" t="s">
        <v>356</v>
      </c>
      <c r="H311" s="14" t="s">
        <v>357</v>
      </c>
      <c r="I311" s="14" t="s">
        <v>38</v>
      </c>
    </row>
    <row r="312" spans="1:9" ht="19.95" customHeight="1" x14ac:dyDescent="0.3">
      <c r="A312" s="21">
        <v>46274.77467259259</v>
      </c>
      <c r="B312" s="13" t="s">
        <v>440</v>
      </c>
      <c r="C312" s="11" t="s">
        <v>353</v>
      </c>
      <c r="D312" s="11" t="s">
        <v>700</v>
      </c>
      <c r="E312" s="11" t="s">
        <v>145</v>
      </c>
      <c r="F312" s="11" t="s">
        <v>355</v>
      </c>
      <c r="G312" s="11" t="s">
        <v>356</v>
      </c>
      <c r="H312" s="11" t="s">
        <v>357</v>
      </c>
      <c r="I312" s="11" t="s">
        <v>38</v>
      </c>
    </row>
    <row r="313" spans="1:9" ht="19.95" customHeight="1" x14ac:dyDescent="0.3">
      <c r="A313" s="23">
        <v>46274.774672488427</v>
      </c>
      <c r="B313" s="16" t="s">
        <v>440</v>
      </c>
      <c r="C313" s="14" t="s">
        <v>353</v>
      </c>
      <c r="D313" s="14" t="s">
        <v>701</v>
      </c>
      <c r="E313" s="14" t="s">
        <v>145</v>
      </c>
      <c r="F313" s="14" t="s">
        <v>355</v>
      </c>
      <c r="G313" s="14" t="s">
        <v>356</v>
      </c>
      <c r="H313" s="14" t="s">
        <v>357</v>
      </c>
      <c r="I313" s="14" t="s">
        <v>38</v>
      </c>
    </row>
    <row r="314" spans="1:9" ht="19.95" customHeight="1" x14ac:dyDescent="0.3">
      <c r="A314" s="21">
        <v>46274.774672372689</v>
      </c>
      <c r="B314" s="13" t="s">
        <v>440</v>
      </c>
      <c r="C314" s="11" t="s">
        <v>353</v>
      </c>
      <c r="D314" s="11" t="s">
        <v>702</v>
      </c>
      <c r="E314" s="11" t="s">
        <v>145</v>
      </c>
      <c r="F314" s="11" t="s">
        <v>355</v>
      </c>
      <c r="G314" s="11" t="s">
        <v>356</v>
      </c>
      <c r="H314" s="11" t="s">
        <v>357</v>
      </c>
      <c r="I314" s="11" t="s">
        <v>703</v>
      </c>
    </row>
    <row r="315" spans="1:9" ht="19.95" customHeight="1" x14ac:dyDescent="0.3">
      <c r="A315" s="23">
        <v>46274.77466314815</v>
      </c>
      <c r="B315" s="16" t="s">
        <v>440</v>
      </c>
      <c r="C315" s="14" t="s">
        <v>353</v>
      </c>
      <c r="D315" s="14" t="s">
        <v>704</v>
      </c>
      <c r="E315" s="14" t="s">
        <v>145</v>
      </c>
      <c r="F315" s="14" t="s">
        <v>355</v>
      </c>
      <c r="G315" s="14" t="s">
        <v>356</v>
      </c>
      <c r="H315" s="14" t="s">
        <v>357</v>
      </c>
      <c r="I315" s="14" t="s">
        <v>38</v>
      </c>
    </row>
    <row r="316" spans="1:9" ht="19.95" customHeight="1" x14ac:dyDescent="0.3">
      <c r="A316" s="21">
        <v>46274.774662986107</v>
      </c>
      <c r="B316" s="13" t="s">
        <v>440</v>
      </c>
      <c r="C316" s="11" t="s">
        <v>353</v>
      </c>
      <c r="D316" s="11" t="s">
        <v>705</v>
      </c>
      <c r="E316" s="11" t="s">
        <v>142</v>
      </c>
      <c r="F316" s="11" t="s">
        <v>355</v>
      </c>
      <c r="G316" s="11" t="s">
        <v>356</v>
      </c>
      <c r="H316" s="11" t="s">
        <v>357</v>
      </c>
      <c r="I316" s="11" t="s">
        <v>706</v>
      </c>
    </row>
    <row r="317" spans="1:9" ht="19.95" customHeight="1" x14ac:dyDescent="0.3">
      <c r="A317" s="23">
        <v>46274.774662777767</v>
      </c>
      <c r="B317" s="16" t="s">
        <v>440</v>
      </c>
      <c r="C317" s="14" t="s">
        <v>353</v>
      </c>
      <c r="D317" s="14" t="s">
        <v>707</v>
      </c>
      <c r="E317" s="14" t="s">
        <v>145</v>
      </c>
      <c r="F317" s="14" t="s">
        <v>355</v>
      </c>
      <c r="G317" s="14" t="s">
        <v>356</v>
      </c>
      <c r="H317" s="14" t="s">
        <v>357</v>
      </c>
      <c r="I317" s="14" t="s">
        <v>38</v>
      </c>
    </row>
    <row r="318" spans="1:9" ht="19.95" customHeight="1" x14ac:dyDescent="0.3">
      <c r="A318" s="21">
        <v>46274.774662534721</v>
      </c>
      <c r="B318" s="13" t="s">
        <v>440</v>
      </c>
      <c r="C318" s="11" t="s">
        <v>353</v>
      </c>
      <c r="D318" s="11" t="s">
        <v>708</v>
      </c>
      <c r="E318" s="11" t="s">
        <v>142</v>
      </c>
      <c r="F318" s="11" t="s">
        <v>355</v>
      </c>
      <c r="G318" s="11" t="s">
        <v>356</v>
      </c>
      <c r="H318" s="11" t="s">
        <v>357</v>
      </c>
      <c r="I318" s="11" t="s">
        <v>38</v>
      </c>
    </row>
    <row r="319" spans="1:9" ht="19.95" customHeight="1" x14ac:dyDescent="0.3">
      <c r="A319" s="23">
        <v>46274.774662372693</v>
      </c>
      <c r="B319" s="16" t="s">
        <v>440</v>
      </c>
      <c r="C319" s="14" t="s">
        <v>353</v>
      </c>
      <c r="D319" s="14" t="s">
        <v>709</v>
      </c>
      <c r="E319" s="14" t="s">
        <v>145</v>
      </c>
      <c r="F319" s="14" t="s">
        <v>355</v>
      </c>
      <c r="G319" s="14" t="s">
        <v>356</v>
      </c>
      <c r="H319" s="14" t="s">
        <v>357</v>
      </c>
      <c r="I319" s="14" t="s">
        <v>38</v>
      </c>
    </row>
    <row r="320" spans="1:9" ht="19.95" customHeight="1" x14ac:dyDescent="0.3">
      <c r="A320" s="21">
        <v>46274.774662245371</v>
      </c>
      <c r="B320" s="13" t="s">
        <v>440</v>
      </c>
      <c r="C320" s="11" t="s">
        <v>353</v>
      </c>
      <c r="D320" s="11" t="s">
        <v>710</v>
      </c>
      <c r="E320" s="11" t="s">
        <v>145</v>
      </c>
      <c r="F320" s="11" t="s">
        <v>355</v>
      </c>
      <c r="G320" s="11" t="s">
        <v>356</v>
      </c>
      <c r="H320" s="11" t="s">
        <v>357</v>
      </c>
      <c r="I320" s="11" t="s">
        <v>38</v>
      </c>
    </row>
    <row r="321" spans="1:9" ht="19.95" customHeight="1" x14ac:dyDescent="0.3">
      <c r="A321" s="23">
        <v>46274.774662048607</v>
      </c>
      <c r="B321" s="16" t="s">
        <v>440</v>
      </c>
      <c r="C321" s="14" t="s">
        <v>353</v>
      </c>
      <c r="D321" s="14" t="s">
        <v>711</v>
      </c>
      <c r="E321" s="14" t="s">
        <v>145</v>
      </c>
      <c r="F321" s="14" t="s">
        <v>355</v>
      </c>
      <c r="G321" s="14" t="s">
        <v>356</v>
      </c>
      <c r="H321" s="14" t="s">
        <v>357</v>
      </c>
      <c r="I321" s="14" t="s">
        <v>38</v>
      </c>
    </row>
    <row r="322" spans="1:9" ht="19.95" customHeight="1" x14ac:dyDescent="0.3">
      <c r="A322" s="21">
        <v>46274.774661724543</v>
      </c>
      <c r="B322" s="13" t="s">
        <v>440</v>
      </c>
      <c r="C322" s="11" t="s">
        <v>353</v>
      </c>
      <c r="D322" s="11" t="s">
        <v>712</v>
      </c>
      <c r="E322" s="11" t="s">
        <v>145</v>
      </c>
      <c r="F322" s="11" t="s">
        <v>355</v>
      </c>
      <c r="G322" s="11" t="s">
        <v>356</v>
      </c>
      <c r="H322" s="11" t="s">
        <v>357</v>
      </c>
      <c r="I322" s="11" t="s">
        <v>38</v>
      </c>
    </row>
    <row r="323" spans="1:9" ht="19.95" customHeight="1" x14ac:dyDescent="0.3">
      <c r="A323" s="23">
        <v>46274.774661574083</v>
      </c>
      <c r="B323" s="16" t="s">
        <v>440</v>
      </c>
      <c r="C323" s="14" t="s">
        <v>353</v>
      </c>
      <c r="D323" s="14" t="s">
        <v>713</v>
      </c>
      <c r="E323" s="14" t="s">
        <v>145</v>
      </c>
      <c r="F323" s="14" t="s">
        <v>355</v>
      </c>
      <c r="G323" s="14" t="s">
        <v>356</v>
      </c>
      <c r="H323" s="14" t="s">
        <v>357</v>
      </c>
      <c r="I323" s="14" t="s">
        <v>38</v>
      </c>
    </row>
    <row r="324" spans="1:9" ht="19.95" customHeight="1" x14ac:dyDescent="0.3">
      <c r="A324" s="21">
        <v>46274.774661400457</v>
      </c>
      <c r="B324" s="13" t="s">
        <v>440</v>
      </c>
      <c r="C324" s="11" t="s">
        <v>353</v>
      </c>
      <c r="D324" s="11" t="s">
        <v>714</v>
      </c>
      <c r="E324" s="11" t="s">
        <v>142</v>
      </c>
      <c r="F324" s="11" t="s">
        <v>355</v>
      </c>
      <c r="G324" s="11" t="s">
        <v>356</v>
      </c>
      <c r="H324" s="11" t="s">
        <v>357</v>
      </c>
      <c r="I324" s="11" t="s">
        <v>38</v>
      </c>
    </row>
    <row r="325" spans="1:9" ht="19.95" customHeight="1" x14ac:dyDescent="0.3">
      <c r="A325" s="23">
        <v>46274.774661261567</v>
      </c>
      <c r="B325" s="16" t="s">
        <v>440</v>
      </c>
      <c r="C325" s="14" t="s">
        <v>353</v>
      </c>
      <c r="D325" s="14" t="s">
        <v>715</v>
      </c>
      <c r="E325" s="14" t="s">
        <v>145</v>
      </c>
      <c r="F325" s="14" t="s">
        <v>355</v>
      </c>
      <c r="G325" s="14" t="s">
        <v>356</v>
      </c>
      <c r="H325" s="14" t="s">
        <v>357</v>
      </c>
      <c r="I325" s="14" t="s">
        <v>38</v>
      </c>
    </row>
    <row r="326" spans="1:9" ht="19.95" customHeight="1" x14ac:dyDescent="0.3">
      <c r="A326" s="21">
        <v>46274.774661134259</v>
      </c>
      <c r="B326" s="13" t="s">
        <v>440</v>
      </c>
      <c r="C326" s="11" t="s">
        <v>353</v>
      </c>
      <c r="D326" s="11" t="s">
        <v>716</v>
      </c>
      <c r="E326" s="11" t="s">
        <v>145</v>
      </c>
      <c r="F326" s="11" t="s">
        <v>362</v>
      </c>
      <c r="G326" s="11" t="s">
        <v>356</v>
      </c>
      <c r="H326" s="11" t="s">
        <v>357</v>
      </c>
      <c r="I326" s="11" t="s">
        <v>38</v>
      </c>
    </row>
    <row r="327" spans="1:9" ht="19.95" customHeight="1" x14ac:dyDescent="0.3">
      <c r="A327" s="23">
        <v>46274.774661006937</v>
      </c>
      <c r="B327" s="16" t="s">
        <v>440</v>
      </c>
      <c r="C327" s="14" t="s">
        <v>353</v>
      </c>
      <c r="D327" s="14" t="s">
        <v>717</v>
      </c>
      <c r="E327" s="14" t="s">
        <v>145</v>
      </c>
      <c r="F327" s="14" t="s">
        <v>355</v>
      </c>
      <c r="G327" s="14" t="s">
        <v>356</v>
      </c>
      <c r="H327" s="14" t="s">
        <v>357</v>
      </c>
      <c r="I327" s="14" t="s">
        <v>38</v>
      </c>
    </row>
    <row r="328" spans="1:9" ht="19.95" customHeight="1" x14ac:dyDescent="0.3">
      <c r="A328" s="21">
        <v>46274.774660902767</v>
      </c>
      <c r="B328" s="13" t="s">
        <v>440</v>
      </c>
      <c r="C328" s="11" t="s">
        <v>353</v>
      </c>
      <c r="D328" s="11" t="s">
        <v>718</v>
      </c>
      <c r="E328" s="11" t="s">
        <v>142</v>
      </c>
      <c r="F328" s="11" t="s">
        <v>355</v>
      </c>
      <c r="G328" s="11" t="s">
        <v>356</v>
      </c>
      <c r="H328" s="11" t="s">
        <v>357</v>
      </c>
      <c r="I328" s="11" t="s">
        <v>719</v>
      </c>
    </row>
    <row r="329" spans="1:9" ht="19.95" customHeight="1" x14ac:dyDescent="0.3">
      <c r="A329" s="23">
        <v>46274.774660798612</v>
      </c>
      <c r="B329" s="16" t="s">
        <v>440</v>
      </c>
      <c r="C329" s="14" t="s">
        <v>353</v>
      </c>
      <c r="D329" s="14" t="s">
        <v>720</v>
      </c>
      <c r="E329" s="14" t="s">
        <v>145</v>
      </c>
      <c r="F329" s="14" t="s">
        <v>355</v>
      </c>
      <c r="G329" s="14" t="s">
        <v>356</v>
      </c>
      <c r="H329" s="14" t="s">
        <v>357</v>
      </c>
      <c r="I329" s="14" t="s">
        <v>38</v>
      </c>
    </row>
    <row r="330" spans="1:9" ht="19.95" customHeight="1" x14ac:dyDescent="0.3">
      <c r="A330" s="21">
        <v>46274.774660625</v>
      </c>
      <c r="B330" s="13" t="s">
        <v>440</v>
      </c>
      <c r="C330" s="11" t="s">
        <v>353</v>
      </c>
      <c r="D330" s="11" t="s">
        <v>721</v>
      </c>
      <c r="E330" s="11" t="s">
        <v>142</v>
      </c>
      <c r="F330" s="11" t="s">
        <v>355</v>
      </c>
      <c r="G330" s="11" t="s">
        <v>356</v>
      </c>
      <c r="H330" s="11" t="s">
        <v>357</v>
      </c>
      <c r="I330" s="11" t="s">
        <v>38</v>
      </c>
    </row>
    <row r="331" spans="1:9" ht="19.95" customHeight="1" x14ac:dyDescent="0.3">
      <c r="A331" s="23">
        <v>46274.774660439813</v>
      </c>
      <c r="B331" s="16" t="s">
        <v>440</v>
      </c>
      <c r="C331" s="14" t="s">
        <v>353</v>
      </c>
      <c r="D331" s="14" t="s">
        <v>722</v>
      </c>
      <c r="E331" s="14" t="s">
        <v>142</v>
      </c>
      <c r="F331" s="14" t="s">
        <v>355</v>
      </c>
      <c r="G331" s="14" t="s">
        <v>356</v>
      </c>
      <c r="H331" s="14" t="s">
        <v>357</v>
      </c>
      <c r="I331" s="14" t="s">
        <v>38</v>
      </c>
    </row>
    <row r="332" spans="1:9" ht="19.95" customHeight="1" x14ac:dyDescent="0.3">
      <c r="A332" s="21">
        <v>46274.774660266201</v>
      </c>
      <c r="B332" s="13" t="s">
        <v>440</v>
      </c>
      <c r="C332" s="11" t="s">
        <v>353</v>
      </c>
      <c r="D332" s="11" t="s">
        <v>723</v>
      </c>
      <c r="E332" s="11" t="s">
        <v>142</v>
      </c>
      <c r="F332" s="11" t="s">
        <v>446</v>
      </c>
      <c r="G332" s="11" t="s">
        <v>356</v>
      </c>
      <c r="H332" s="11" t="s">
        <v>357</v>
      </c>
      <c r="I332" s="11" t="s">
        <v>38</v>
      </c>
    </row>
    <row r="333" spans="1:9" ht="19.95" customHeight="1" x14ac:dyDescent="0.3">
      <c r="A333" s="23">
        <v>46274.774660173607</v>
      </c>
      <c r="B333" s="16" t="s">
        <v>440</v>
      </c>
      <c r="C333" s="14" t="s">
        <v>353</v>
      </c>
      <c r="D333" s="14" t="s">
        <v>724</v>
      </c>
      <c r="E333" s="14" t="s">
        <v>361</v>
      </c>
      <c r="F333" s="14" t="s">
        <v>432</v>
      </c>
      <c r="G333" s="14" t="s">
        <v>356</v>
      </c>
      <c r="H333" s="14" t="s">
        <v>357</v>
      </c>
      <c r="I333" s="14" t="s">
        <v>38</v>
      </c>
    </row>
    <row r="334" spans="1:9" ht="19.95" customHeight="1" x14ac:dyDescent="0.3">
      <c r="A334" s="21">
        <v>46274.774660069437</v>
      </c>
      <c r="B334" s="13" t="s">
        <v>440</v>
      </c>
      <c r="C334" s="11" t="s">
        <v>353</v>
      </c>
      <c r="D334" s="11" t="s">
        <v>725</v>
      </c>
      <c r="E334" s="11" t="s">
        <v>145</v>
      </c>
      <c r="F334" s="11" t="s">
        <v>355</v>
      </c>
      <c r="G334" s="11" t="s">
        <v>356</v>
      </c>
      <c r="H334" s="11" t="s">
        <v>357</v>
      </c>
      <c r="I334" s="11" t="s">
        <v>38</v>
      </c>
    </row>
    <row r="335" spans="1:9" ht="19.95" customHeight="1" x14ac:dyDescent="0.3">
      <c r="A335" s="23">
        <v>46274.774659861112</v>
      </c>
      <c r="B335" s="16" t="s">
        <v>440</v>
      </c>
      <c r="C335" s="14" t="s">
        <v>353</v>
      </c>
      <c r="D335" s="14" t="s">
        <v>726</v>
      </c>
      <c r="E335" s="14" t="s">
        <v>142</v>
      </c>
      <c r="F335" s="14" t="s">
        <v>355</v>
      </c>
      <c r="G335" s="14" t="s">
        <v>356</v>
      </c>
      <c r="H335" s="14" t="s">
        <v>357</v>
      </c>
      <c r="I335" s="14" t="s">
        <v>38</v>
      </c>
    </row>
    <row r="336" spans="1:9" ht="19.95" customHeight="1" x14ac:dyDescent="0.3">
      <c r="A336" s="21">
        <v>46274.774659710652</v>
      </c>
      <c r="B336" s="13" t="s">
        <v>440</v>
      </c>
      <c r="C336" s="11" t="s">
        <v>353</v>
      </c>
      <c r="D336" s="11" t="s">
        <v>727</v>
      </c>
      <c r="E336" s="11" t="s">
        <v>361</v>
      </c>
      <c r="F336" s="11" t="s">
        <v>432</v>
      </c>
      <c r="G336" s="11" t="s">
        <v>356</v>
      </c>
      <c r="H336" s="11" t="s">
        <v>357</v>
      </c>
      <c r="I336" s="11" t="s">
        <v>728</v>
      </c>
    </row>
    <row r="337" spans="1:9" ht="19.95" customHeight="1" x14ac:dyDescent="0.3">
      <c r="A337" s="23">
        <v>46274.774659606483</v>
      </c>
      <c r="B337" s="16" t="s">
        <v>440</v>
      </c>
      <c r="C337" s="14" t="s">
        <v>353</v>
      </c>
      <c r="D337" s="14" t="s">
        <v>729</v>
      </c>
      <c r="E337" s="14" t="s">
        <v>361</v>
      </c>
      <c r="F337" s="14" t="s">
        <v>355</v>
      </c>
      <c r="G337" s="14" t="s">
        <v>356</v>
      </c>
      <c r="H337" s="14" t="s">
        <v>357</v>
      </c>
      <c r="I337" s="14" t="s">
        <v>730</v>
      </c>
    </row>
    <row r="338" spans="1:9" ht="19.95" customHeight="1" x14ac:dyDescent="0.3">
      <c r="A338" s="21">
        <v>46274.774659490737</v>
      </c>
      <c r="B338" s="13" t="s">
        <v>440</v>
      </c>
      <c r="C338" s="11" t="s">
        <v>353</v>
      </c>
      <c r="D338" s="11" t="s">
        <v>731</v>
      </c>
      <c r="E338" s="11" t="s">
        <v>361</v>
      </c>
      <c r="F338" s="11" t="s">
        <v>432</v>
      </c>
      <c r="G338" s="11" t="s">
        <v>356</v>
      </c>
      <c r="H338" s="11" t="s">
        <v>357</v>
      </c>
      <c r="I338" s="11" t="s">
        <v>38</v>
      </c>
    </row>
    <row r="339" spans="1:9" ht="19.95" customHeight="1" x14ac:dyDescent="0.3">
      <c r="A339" s="23">
        <v>46274.774659224538</v>
      </c>
      <c r="B339" s="16" t="s">
        <v>440</v>
      </c>
      <c r="C339" s="14" t="s">
        <v>353</v>
      </c>
      <c r="D339" s="14" t="s">
        <v>732</v>
      </c>
      <c r="E339" s="14" t="s">
        <v>142</v>
      </c>
      <c r="F339" s="14" t="s">
        <v>446</v>
      </c>
      <c r="G339" s="14" t="s">
        <v>356</v>
      </c>
      <c r="H339" s="14" t="s">
        <v>357</v>
      </c>
      <c r="I339" s="14" t="s">
        <v>733</v>
      </c>
    </row>
    <row r="340" spans="1:9" ht="19.95" customHeight="1" x14ac:dyDescent="0.3">
      <c r="A340" s="21">
        <v>46274.774659085648</v>
      </c>
      <c r="B340" s="13" t="s">
        <v>440</v>
      </c>
      <c r="C340" s="11" t="s">
        <v>353</v>
      </c>
      <c r="D340" s="11" t="s">
        <v>734</v>
      </c>
      <c r="E340" s="11" t="s">
        <v>361</v>
      </c>
      <c r="F340" s="11" t="s">
        <v>432</v>
      </c>
      <c r="G340" s="11" t="s">
        <v>356</v>
      </c>
      <c r="H340" s="11" t="s">
        <v>357</v>
      </c>
      <c r="I340" s="11" t="s">
        <v>38</v>
      </c>
    </row>
    <row r="341" spans="1:9" ht="19.95" customHeight="1" x14ac:dyDescent="0.3">
      <c r="A341" s="23">
        <v>46274.774658912043</v>
      </c>
      <c r="B341" s="16" t="s">
        <v>440</v>
      </c>
      <c r="C341" s="14" t="s">
        <v>353</v>
      </c>
      <c r="D341" s="14" t="s">
        <v>735</v>
      </c>
      <c r="E341" s="14" t="s">
        <v>142</v>
      </c>
      <c r="F341" s="14" t="s">
        <v>355</v>
      </c>
      <c r="G341" s="14" t="s">
        <v>356</v>
      </c>
      <c r="H341" s="14" t="s">
        <v>357</v>
      </c>
      <c r="I341" s="14" t="s">
        <v>38</v>
      </c>
    </row>
    <row r="342" spans="1:9" ht="19.95" customHeight="1" x14ac:dyDescent="0.3">
      <c r="A342" s="21">
        <v>46274.774658379632</v>
      </c>
      <c r="B342" s="13" t="s">
        <v>440</v>
      </c>
      <c r="C342" s="11" t="s">
        <v>353</v>
      </c>
      <c r="D342" s="11" t="s">
        <v>736</v>
      </c>
      <c r="E342" s="11" t="s">
        <v>142</v>
      </c>
      <c r="F342" s="11" t="s">
        <v>355</v>
      </c>
      <c r="G342" s="11" t="s">
        <v>356</v>
      </c>
      <c r="H342" s="11" t="s">
        <v>357</v>
      </c>
      <c r="I342" s="11" t="s">
        <v>38</v>
      </c>
    </row>
    <row r="343" spans="1:9" ht="19.95" customHeight="1" x14ac:dyDescent="0.3">
      <c r="A343" s="23">
        <v>46274.774657719907</v>
      </c>
      <c r="B343" s="16" t="s">
        <v>440</v>
      </c>
      <c r="C343" s="14" t="s">
        <v>353</v>
      </c>
      <c r="D343" s="14" t="s">
        <v>737</v>
      </c>
      <c r="E343" s="14" t="s">
        <v>145</v>
      </c>
      <c r="F343" s="14" t="s">
        <v>355</v>
      </c>
      <c r="G343" s="14" t="s">
        <v>356</v>
      </c>
      <c r="H343" s="14" t="s">
        <v>357</v>
      </c>
      <c r="I343" s="14" t="s">
        <v>38</v>
      </c>
    </row>
    <row r="344" spans="1:9" ht="19.95" customHeight="1" x14ac:dyDescent="0.3">
      <c r="A344" s="21">
        <v>46274.77465702546</v>
      </c>
      <c r="B344" s="13" t="s">
        <v>440</v>
      </c>
      <c r="C344" s="11" t="s">
        <v>353</v>
      </c>
      <c r="D344" s="11" t="s">
        <v>738</v>
      </c>
      <c r="E344" s="11" t="s">
        <v>142</v>
      </c>
      <c r="F344" s="11" t="s">
        <v>355</v>
      </c>
      <c r="G344" s="11" t="s">
        <v>356</v>
      </c>
      <c r="H344" s="11" t="s">
        <v>357</v>
      </c>
      <c r="I344" s="11" t="s">
        <v>38</v>
      </c>
    </row>
    <row r="345" spans="1:9" ht="19.95" customHeight="1" x14ac:dyDescent="0.3">
      <c r="A345" s="23">
        <v>46274.774656620371</v>
      </c>
      <c r="B345" s="16" t="s">
        <v>440</v>
      </c>
      <c r="C345" s="14" t="s">
        <v>353</v>
      </c>
      <c r="D345" s="14" t="s">
        <v>739</v>
      </c>
      <c r="E345" s="14" t="s">
        <v>145</v>
      </c>
      <c r="F345" s="14" t="s">
        <v>355</v>
      </c>
      <c r="G345" s="14" t="s">
        <v>356</v>
      </c>
      <c r="H345" s="14" t="s">
        <v>357</v>
      </c>
      <c r="I345" s="14" t="s">
        <v>38</v>
      </c>
    </row>
    <row r="346" spans="1:9" ht="19.95" customHeight="1" x14ac:dyDescent="0.3">
      <c r="A346" s="21">
        <v>46274.77465644676</v>
      </c>
      <c r="B346" s="13" t="s">
        <v>440</v>
      </c>
      <c r="C346" s="11" t="s">
        <v>353</v>
      </c>
      <c r="D346" s="11" t="s">
        <v>740</v>
      </c>
      <c r="E346" s="11" t="s">
        <v>142</v>
      </c>
      <c r="F346" s="11" t="s">
        <v>424</v>
      </c>
      <c r="G346" s="11" t="s">
        <v>356</v>
      </c>
      <c r="H346" s="11" t="s">
        <v>357</v>
      </c>
      <c r="I346" s="11" t="s">
        <v>741</v>
      </c>
    </row>
    <row r="347" spans="1:9" ht="19.95" customHeight="1" x14ac:dyDescent="0.3">
      <c r="A347" s="23">
        <v>46274.774656273148</v>
      </c>
      <c r="B347" s="16" t="s">
        <v>440</v>
      </c>
      <c r="C347" s="14" t="s">
        <v>353</v>
      </c>
      <c r="D347" s="14" t="s">
        <v>742</v>
      </c>
      <c r="E347" s="14" t="s">
        <v>145</v>
      </c>
      <c r="F347" s="14" t="s">
        <v>355</v>
      </c>
      <c r="G347" s="14" t="s">
        <v>356</v>
      </c>
      <c r="H347" s="14" t="s">
        <v>357</v>
      </c>
      <c r="I347" s="14" t="s">
        <v>38</v>
      </c>
    </row>
    <row r="348" spans="1:9" ht="19.95" customHeight="1" x14ac:dyDescent="0.3">
      <c r="A348" s="21">
        <v>46274.77465605324</v>
      </c>
      <c r="B348" s="13" t="s">
        <v>440</v>
      </c>
      <c r="C348" s="11" t="s">
        <v>353</v>
      </c>
      <c r="D348" s="11" t="s">
        <v>743</v>
      </c>
      <c r="E348" s="11" t="s">
        <v>145</v>
      </c>
      <c r="F348" s="11" t="s">
        <v>355</v>
      </c>
      <c r="G348" s="11" t="s">
        <v>356</v>
      </c>
      <c r="H348" s="11" t="s">
        <v>357</v>
      </c>
      <c r="I348" s="11" t="s">
        <v>38</v>
      </c>
    </row>
    <row r="349" spans="1:9" ht="19.95" customHeight="1" x14ac:dyDescent="0.3">
      <c r="A349" s="23">
        <v>46274.774655613423</v>
      </c>
      <c r="B349" s="16" t="s">
        <v>440</v>
      </c>
      <c r="C349" s="14" t="s">
        <v>353</v>
      </c>
      <c r="D349" s="14" t="s">
        <v>744</v>
      </c>
      <c r="E349" s="14" t="s">
        <v>142</v>
      </c>
      <c r="F349" s="14" t="s">
        <v>355</v>
      </c>
      <c r="G349" s="14" t="s">
        <v>356</v>
      </c>
      <c r="H349" s="14" t="s">
        <v>357</v>
      </c>
      <c r="I349" s="14" t="s">
        <v>38</v>
      </c>
    </row>
    <row r="350" spans="1:9" ht="19.95" customHeight="1" x14ac:dyDescent="0.3">
      <c r="A350" s="21">
        <v>46274.774655486108</v>
      </c>
      <c r="B350" s="13" t="s">
        <v>440</v>
      </c>
      <c r="C350" s="11" t="s">
        <v>353</v>
      </c>
      <c r="D350" s="11" t="s">
        <v>745</v>
      </c>
      <c r="E350" s="11" t="s">
        <v>142</v>
      </c>
      <c r="F350" s="11" t="s">
        <v>355</v>
      </c>
      <c r="G350" s="11" t="s">
        <v>356</v>
      </c>
      <c r="H350" s="11" t="s">
        <v>357</v>
      </c>
      <c r="I350" s="11" t="s">
        <v>38</v>
      </c>
    </row>
    <row r="351" spans="1:9" ht="19.95" customHeight="1" x14ac:dyDescent="0.3">
      <c r="A351" s="23">
        <v>46274.774655335648</v>
      </c>
      <c r="B351" s="16" t="s">
        <v>440</v>
      </c>
      <c r="C351" s="14" t="s">
        <v>353</v>
      </c>
      <c r="D351" s="14" t="s">
        <v>746</v>
      </c>
      <c r="E351" s="14" t="s">
        <v>145</v>
      </c>
      <c r="F351" s="14" t="s">
        <v>355</v>
      </c>
      <c r="G351" s="14" t="s">
        <v>356</v>
      </c>
      <c r="H351" s="14" t="s">
        <v>357</v>
      </c>
      <c r="I351" s="14" t="s">
        <v>38</v>
      </c>
    </row>
    <row r="352" spans="1:9" ht="19.95" customHeight="1" x14ac:dyDescent="0.3">
      <c r="A352" s="21">
        <v>46274.774655196758</v>
      </c>
      <c r="B352" s="13" t="s">
        <v>440</v>
      </c>
      <c r="C352" s="11" t="s">
        <v>353</v>
      </c>
      <c r="D352" s="11" t="s">
        <v>747</v>
      </c>
      <c r="E352" s="11" t="s">
        <v>142</v>
      </c>
      <c r="F352" s="11" t="s">
        <v>355</v>
      </c>
      <c r="G352" s="11" t="s">
        <v>356</v>
      </c>
      <c r="H352" s="11" t="s">
        <v>357</v>
      </c>
      <c r="I352" s="11" t="s">
        <v>38</v>
      </c>
    </row>
    <row r="353" spans="1:9" ht="19.95" customHeight="1" x14ac:dyDescent="0.3">
      <c r="A353" s="23">
        <v>46274.774655069443</v>
      </c>
      <c r="B353" s="16" t="s">
        <v>440</v>
      </c>
      <c r="C353" s="14" t="s">
        <v>353</v>
      </c>
      <c r="D353" s="14" t="s">
        <v>748</v>
      </c>
      <c r="E353" s="14" t="s">
        <v>145</v>
      </c>
      <c r="F353" s="14" t="s">
        <v>355</v>
      </c>
      <c r="G353" s="14" t="s">
        <v>356</v>
      </c>
      <c r="H353" s="14" t="s">
        <v>357</v>
      </c>
      <c r="I353" s="14" t="s">
        <v>38</v>
      </c>
    </row>
    <row r="354" spans="1:9" ht="19.95" customHeight="1" x14ac:dyDescent="0.3">
      <c r="A354" s="21">
        <v>46274.774654976849</v>
      </c>
      <c r="B354" s="13" t="s">
        <v>440</v>
      </c>
      <c r="C354" s="11" t="s">
        <v>353</v>
      </c>
      <c r="D354" s="11" t="s">
        <v>749</v>
      </c>
      <c r="E354" s="11" t="s">
        <v>142</v>
      </c>
      <c r="F354" s="11" t="s">
        <v>355</v>
      </c>
      <c r="G354" s="11" t="s">
        <v>356</v>
      </c>
      <c r="H354" s="11" t="s">
        <v>357</v>
      </c>
      <c r="I354" s="11" t="s">
        <v>38</v>
      </c>
    </row>
    <row r="355" spans="1:9" ht="19.95" customHeight="1" x14ac:dyDescent="0.3">
      <c r="A355" s="23">
        <v>46274.774654837973</v>
      </c>
      <c r="B355" s="16" t="s">
        <v>440</v>
      </c>
      <c r="C355" s="14" t="s">
        <v>353</v>
      </c>
      <c r="D355" s="14" t="s">
        <v>750</v>
      </c>
      <c r="E355" s="14" t="s">
        <v>361</v>
      </c>
      <c r="F355" s="14" t="s">
        <v>432</v>
      </c>
      <c r="G355" s="14" t="s">
        <v>356</v>
      </c>
      <c r="H355" s="14" t="s">
        <v>357</v>
      </c>
      <c r="I355" s="14" t="s">
        <v>38</v>
      </c>
    </row>
    <row r="356" spans="1:9" ht="19.95" customHeight="1" x14ac:dyDescent="0.3">
      <c r="A356" s="21">
        <v>46274.77465472222</v>
      </c>
      <c r="B356" s="13" t="s">
        <v>440</v>
      </c>
      <c r="C356" s="11" t="s">
        <v>353</v>
      </c>
      <c r="D356" s="11" t="s">
        <v>751</v>
      </c>
      <c r="E356" s="11" t="s">
        <v>145</v>
      </c>
      <c r="F356" s="11" t="s">
        <v>355</v>
      </c>
      <c r="G356" s="11" t="s">
        <v>356</v>
      </c>
      <c r="H356" s="11" t="s">
        <v>357</v>
      </c>
      <c r="I356" s="11" t="s">
        <v>38</v>
      </c>
    </row>
    <row r="357" spans="1:9" ht="19.95" customHeight="1" x14ac:dyDescent="0.3">
      <c r="A357" s="23">
        <v>46274.774654606481</v>
      </c>
      <c r="B357" s="16" t="s">
        <v>440</v>
      </c>
      <c r="C357" s="14" t="s">
        <v>353</v>
      </c>
      <c r="D357" s="14" t="s">
        <v>752</v>
      </c>
      <c r="E357" s="14" t="s">
        <v>145</v>
      </c>
      <c r="F357" s="14" t="s">
        <v>355</v>
      </c>
      <c r="G357" s="14" t="s">
        <v>356</v>
      </c>
      <c r="H357" s="14" t="s">
        <v>357</v>
      </c>
      <c r="I357" s="14" t="s">
        <v>38</v>
      </c>
    </row>
    <row r="358" spans="1:9" ht="19.95" customHeight="1" x14ac:dyDescent="0.3">
      <c r="A358" s="21">
        <v>46274.774654490742</v>
      </c>
      <c r="B358" s="13" t="s">
        <v>440</v>
      </c>
      <c r="C358" s="11" t="s">
        <v>353</v>
      </c>
      <c r="D358" s="11" t="s">
        <v>753</v>
      </c>
      <c r="E358" s="11" t="s">
        <v>145</v>
      </c>
      <c r="F358" s="11" t="s">
        <v>355</v>
      </c>
      <c r="G358" s="11" t="s">
        <v>356</v>
      </c>
      <c r="H358" s="11" t="s">
        <v>357</v>
      </c>
      <c r="I358" s="11" t="s">
        <v>38</v>
      </c>
    </row>
    <row r="359" spans="1:9" ht="19.95" customHeight="1" x14ac:dyDescent="0.3">
      <c r="A359" s="23">
        <v>46274.774654351851</v>
      </c>
      <c r="B359" s="16" t="s">
        <v>440</v>
      </c>
      <c r="C359" s="14" t="s">
        <v>353</v>
      </c>
      <c r="D359" s="14" t="s">
        <v>754</v>
      </c>
      <c r="E359" s="14" t="s">
        <v>142</v>
      </c>
      <c r="F359" s="14" t="s">
        <v>355</v>
      </c>
      <c r="G359" s="14" t="s">
        <v>356</v>
      </c>
      <c r="H359" s="14" t="s">
        <v>357</v>
      </c>
      <c r="I359" s="14" t="s">
        <v>38</v>
      </c>
    </row>
    <row r="360" spans="1:9" ht="19.95" customHeight="1" x14ac:dyDescent="0.3">
      <c r="A360" s="21">
        <v>46274.774654247682</v>
      </c>
      <c r="B360" s="13" t="s">
        <v>440</v>
      </c>
      <c r="C360" s="11" t="s">
        <v>353</v>
      </c>
      <c r="D360" s="11" t="s">
        <v>755</v>
      </c>
      <c r="E360" s="11" t="s">
        <v>145</v>
      </c>
      <c r="F360" s="11" t="s">
        <v>355</v>
      </c>
      <c r="G360" s="11" t="s">
        <v>356</v>
      </c>
      <c r="H360" s="11" t="s">
        <v>357</v>
      </c>
      <c r="I360" s="11" t="s">
        <v>38</v>
      </c>
    </row>
    <row r="361" spans="1:9" ht="19.95" customHeight="1" x14ac:dyDescent="0.3">
      <c r="A361" s="23">
        <v>46274.774654143519</v>
      </c>
      <c r="B361" s="16" t="s">
        <v>440</v>
      </c>
      <c r="C361" s="14" t="s">
        <v>353</v>
      </c>
      <c r="D361" s="14" t="s">
        <v>756</v>
      </c>
      <c r="E361" s="14" t="s">
        <v>145</v>
      </c>
      <c r="F361" s="14" t="s">
        <v>355</v>
      </c>
      <c r="G361" s="14" t="s">
        <v>356</v>
      </c>
      <c r="H361" s="14" t="s">
        <v>357</v>
      </c>
      <c r="I361" s="14" t="s">
        <v>38</v>
      </c>
    </row>
    <row r="362" spans="1:9" ht="19.95" customHeight="1" x14ac:dyDescent="0.3">
      <c r="A362" s="21">
        <v>46274.774654050932</v>
      </c>
      <c r="B362" s="13" t="s">
        <v>440</v>
      </c>
      <c r="C362" s="11" t="s">
        <v>353</v>
      </c>
      <c r="D362" s="11" t="s">
        <v>757</v>
      </c>
      <c r="E362" s="11" t="s">
        <v>361</v>
      </c>
      <c r="F362" s="11" t="s">
        <v>432</v>
      </c>
      <c r="G362" s="11" t="s">
        <v>356</v>
      </c>
      <c r="H362" s="11" t="s">
        <v>357</v>
      </c>
      <c r="I362" s="11" t="s">
        <v>38</v>
      </c>
    </row>
    <row r="363" spans="1:9" ht="19.95" customHeight="1" x14ac:dyDescent="0.3">
      <c r="A363" s="23">
        <v>46274.77465392361</v>
      </c>
      <c r="B363" s="16" t="s">
        <v>440</v>
      </c>
      <c r="C363" s="14" t="s">
        <v>353</v>
      </c>
      <c r="D363" s="14" t="s">
        <v>758</v>
      </c>
      <c r="E363" s="14" t="s">
        <v>361</v>
      </c>
      <c r="F363" s="14" t="s">
        <v>432</v>
      </c>
      <c r="G363" s="14" t="s">
        <v>356</v>
      </c>
      <c r="H363" s="14" t="s">
        <v>357</v>
      </c>
      <c r="I363" s="14" t="s">
        <v>38</v>
      </c>
    </row>
    <row r="364" spans="1:9" ht="19.95" customHeight="1" x14ac:dyDescent="0.3">
      <c r="A364" s="21">
        <v>46274.774653726847</v>
      </c>
      <c r="B364" s="13" t="s">
        <v>440</v>
      </c>
      <c r="C364" s="11" t="s">
        <v>353</v>
      </c>
      <c r="D364" s="11" t="s">
        <v>759</v>
      </c>
      <c r="E364" s="11" t="s">
        <v>142</v>
      </c>
      <c r="F364" s="11" t="s">
        <v>355</v>
      </c>
      <c r="G364" s="11" t="s">
        <v>356</v>
      </c>
      <c r="H364" s="11" t="s">
        <v>357</v>
      </c>
      <c r="I364" s="11" t="s">
        <v>38</v>
      </c>
    </row>
    <row r="365" spans="1:9" ht="19.95" customHeight="1" x14ac:dyDescent="0.3">
      <c r="A365" s="23">
        <v>46274.774653611108</v>
      </c>
      <c r="B365" s="16" t="s">
        <v>440</v>
      </c>
      <c r="C365" s="14" t="s">
        <v>353</v>
      </c>
      <c r="D365" s="14" t="s">
        <v>760</v>
      </c>
      <c r="E365" s="14" t="s">
        <v>145</v>
      </c>
      <c r="F365" s="14" t="s">
        <v>355</v>
      </c>
      <c r="G365" s="14" t="s">
        <v>356</v>
      </c>
      <c r="H365" s="14" t="s">
        <v>357</v>
      </c>
      <c r="I365" s="14" t="s">
        <v>38</v>
      </c>
    </row>
    <row r="366" spans="1:9" ht="19.95" customHeight="1" x14ac:dyDescent="0.3">
      <c r="A366" s="21">
        <v>46274.774653391207</v>
      </c>
      <c r="B366" s="13" t="s">
        <v>440</v>
      </c>
      <c r="C366" s="11" t="s">
        <v>353</v>
      </c>
      <c r="D366" s="11" t="s">
        <v>761</v>
      </c>
      <c r="E366" s="11" t="s">
        <v>145</v>
      </c>
      <c r="F366" s="11" t="s">
        <v>355</v>
      </c>
      <c r="G366" s="11" t="s">
        <v>356</v>
      </c>
      <c r="H366" s="11" t="s">
        <v>357</v>
      </c>
      <c r="I366" s="11" t="s">
        <v>38</v>
      </c>
    </row>
    <row r="367" spans="1:9" ht="19.95" customHeight="1" x14ac:dyDescent="0.3">
      <c r="A367" s="23">
        <v>46274.774653252323</v>
      </c>
      <c r="B367" s="16" t="s">
        <v>440</v>
      </c>
      <c r="C367" s="14" t="s">
        <v>353</v>
      </c>
      <c r="D367" s="14" t="s">
        <v>762</v>
      </c>
      <c r="E367" s="14" t="s">
        <v>142</v>
      </c>
      <c r="F367" s="14" t="s">
        <v>355</v>
      </c>
      <c r="G367" s="14" t="s">
        <v>356</v>
      </c>
      <c r="H367" s="14" t="s">
        <v>357</v>
      </c>
      <c r="I367" s="14" t="s">
        <v>38</v>
      </c>
    </row>
    <row r="368" spans="1:9" ht="19.95" customHeight="1" x14ac:dyDescent="0.3">
      <c r="A368" s="21">
        <v>46274.774653113433</v>
      </c>
      <c r="B368" s="13" t="s">
        <v>440</v>
      </c>
      <c r="C368" s="11" t="s">
        <v>353</v>
      </c>
      <c r="D368" s="11" t="s">
        <v>763</v>
      </c>
      <c r="E368" s="11" t="s">
        <v>142</v>
      </c>
      <c r="F368" s="11" t="s">
        <v>355</v>
      </c>
      <c r="G368" s="11" t="s">
        <v>356</v>
      </c>
      <c r="H368" s="11" t="s">
        <v>357</v>
      </c>
      <c r="I368" s="11" t="s">
        <v>38</v>
      </c>
    </row>
    <row r="369" spans="1:9" ht="19.95" customHeight="1" x14ac:dyDescent="0.3">
      <c r="A369" s="23">
        <v>46274.774652974527</v>
      </c>
      <c r="B369" s="16" t="s">
        <v>440</v>
      </c>
      <c r="C369" s="14" t="s">
        <v>353</v>
      </c>
      <c r="D369" s="14" t="s">
        <v>764</v>
      </c>
      <c r="E369" s="14" t="s">
        <v>142</v>
      </c>
      <c r="F369" s="14" t="s">
        <v>355</v>
      </c>
      <c r="G369" s="14" t="s">
        <v>356</v>
      </c>
      <c r="H369" s="14" t="s">
        <v>357</v>
      </c>
      <c r="I369" s="14" t="s">
        <v>765</v>
      </c>
    </row>
    <row r="370" spans="1:9" ht="19.95" customHeight="1" x14ac:dyDescent="0.3">
      <c r="A370" s="21">
        <v>46274.774652824082</v>
      </c>
      <c r="B370" s="13" t="s">
        <v>440</v>
      </c>
      <c r="C370" s="11" t="s">
        <v>353</v>
      </c>
      <c r="D370" s="11" t="s">
        <v>766</v>
      </c>
      <c r="E370" s="11" t="s">
        <v>142</v>
      </c>
      <c r="F370" s="11" t="s">
        <v>355</v>
      </c>
      <c r="G370" s="11" t="s">
        <v>356</v>
      </c>
      <c r="H370" s="11" t="s">
        <v>357</v>
      </c>
      <c r="I370" s="11" t="s">
        <v>38</v>
      </c>
    </row>
    <row r="371" spans="1:9" ht="19.95" customHeight="1" x14ac:dyDescent="0.3">
      <c r="A371" s="23">
        <v>46274.774652650463</v>
      </c>
      <c r="B371" s="16" t="s">
        <v>440</v>
      </c>
      <c r="C371" s="14" t="s">
        <v>353</v>
      </c>
      <c r="D371" s="14" t="s">
        <v>767</v>
      </c>
      <c r="E371" s="14" t="s">
        <v>142</v>
      </c>
      <c r="F371" s="14" t="s">
        <v>355</v>
      </c>
      <c r="G371" s="14" t="s">
        <v>356</v>
      </c>
      <c r="H371" s="14" t="s">
        <v>357</v>
      </c>
      <c r="I371" s="14" t="s">
        <v>38</v>
      </c>
    </row>
    <row r="372" spans="1:9" ht="19.95" customHeight="1" x14ac:dyDescent="0.3">
      <c r="A372" s="21">
        <v>46274.774652256943</v>
      </c>
      <c r="B372" s="13" t="s">
        <v>440</v>
      </c>
      <c r="C372" s="11" t="s">
        <v>353</v>
      </c>
      <c r="D372" s="11" t="s">
        <v>768</v>
      </c>
      <c r="E372" s="11" t="s">
        <v>145</v>
      </c>
      <c r="F372" s="11" t="s">
        <v>362</v>
      </c>
      <c r="G372" s="11" t="s">
        <v>356</v>
      </c>
      <c r="H372" s="11" t="s">
        <v>357</v>
      </c>
      <c r="I372" s="11" t="s">
        <v>38</v>
      </c>
    </row>
    <row r="373" spans="1:9" ht="19.95" customHeight="1" x14ac:dyDescent="0.3">
      <c r="A373" s="23">
        <v>46274.77465172454</v>
      </c>
      <c r="B373" s="16" t="s">
        <v>440</v>
      </c>
      <c r="C373" s="14" t="s">
        <v>353</v>
      </c>
      <c r="D373" s="14" t="s">
        <v>769</v>
      </c>
      <c r="E373" s="14" t="s">
        <v>142</v>
      </c>
      <c r="F373" s="14" t="s">
        <v>424</v>
      </c>
      <c r="G373" s="14" t="s">
        <v>356</v>
      </c>
      <c r="H373" s="14" t="s">
        <v>357</v>
      </c>
      <c r="I373" s="14" t="s">
        <v>38</v>
      </c>
    </row>
    <row r="374" spans="1:9" ht="19.95" customHeight="1" x14ac:dyDescent="0.3">
      <c r="A374" s="21">
        <v>46274.774651574073</v>
      </c>
      <c r="B374" s="13" t="s">
        <v>440</v>
      </c>
      <c r="C374" s="11" t="s">
        <v>353</v>
      </c>
      <c r="D374" s="11" t="s">
        <v>770</v>
      </c>
      <c r="E374" s="11" t="s">
        <v>142</v>
      </c>
      <c r="F374" s="11" t="s">
        <v>446</v>
      </c>
      <c r="G374" s="11" t="s">
        <v>356</v>
      </c>
      <c r="H374" s="11" t="s">
        <v>357</v>
      </c>
      <c r="I374" s="11" t="s">
        <v>38</v>
      </c>
    </row>
    <row r="375" spans="1:9" ht="19.95" customHeight="1" x14ac:dyDescent="0.3">
      <c r="A375" s="23">
        <v>46274.774651446758</v>
      </c>
      <c r="B375" s="16" t="s">
        <v>440</v>
      </c>
      <c r="C375" s="14" t="s">
        <v>353</v>
      </c>
      <c r="D375" s="14" t="s">
        <v>771</v>
      </c>
      <c r="E375" s="14" t="s">
        <v>142</v>
      </c>
      <c r="F375" s="14" t="s">
        <v>424</v>
      </c>
      <c r="G375" s="14" t="s">
        <v>356</v>
      </c>
      <c r="H375" s="14" t="s">
        <v>357</v>
      </c>
      <c r="I375" s="14" t="s">
        <v>38</v>
      </c>
    </row>
    <row r="376" spans="1:9" ht="19.95" customHeight="1" x14ac:dyDescent="0.3">
      <c r="A376" s="21">
        <v>46274.77465107639</v>
      </c>
      <c r="B376" s="13" t="s">
        <v>440</v>
      </c>
      <c r="C376" s="11" t="s">
        <v>353</v>
      </c>
      <c r="D376" s="11" t="s">
        <v>772</v>
      </c>
      <c r="E376" s="11" t="s">
        <v>142</v>
      </c>
      <c r="F376" s="11" t="s">
        <v>355</v>
      </c>
      <c r="G376" s="11" t="s">
        <v>356</v>
      </c>
      <c r="H376" s="11" t="s">
        <v>357</v>
      </c>
      <c r="I376" s="11" t="s">
        <v>38</v>
      </c>
    </row>
    <row r="377" spans="1:9" ht="19.95" customHeight="1" x14ac:dyDescent="0.3">
      <c r="A377" s="23">
        <v>46274.774650914347</v>
      </c>
      <c r="B377" s="16" t="s">
        <v>440</v>
      </c>
      <c r="C377" s="14" t="s">
        <v>353</v>
      </c>
      <c r="D377" s="14" t="s">
        <v>773</v>
      </c>
      <c r="E377" s="14" t="s">
        <v>145</v>
      </c>
      <c r="F377" s="14" t="s">
        <v>355</v>
      </c>
      <c r="G377" s="14" t="s">
        <v>356</v>
      </c>
      <c r="H377" s="14" t="s">
        <v>357</v>
      </c>
      <c r="I377" s="14" t="s">
        <v>38</v>
      </c>
    </row>
    <row r="378" spans="1:9" ht="19.95" customHeight="1" x14ac:dyDescent="0.3">
      <c r="A378" s="21">
        <v>46274.774650763888</v>
      </c>
      <c r="B378" s="13" t="s">
        <v>440</v>
      </c>
      <c r="C378" s="11" t="s">
        <v>353</v>
      </c>
      <c r="D378" s="11" t="s">
        <v>774</v>
      </c>
      <c r="E378" s="11" t="s">
        <v>145</v>
      </c>
      <c r="F378" s="11" t="s">
        <v>355</v>
      </c>
      <c r="G378" s="11" t="s">
        <v>356</v>
      </c>
      <c r="H378" s="11" t="s">
        <v>357</v>
      </c>
      <c r="I378" s="11" t="s">
        <v>38</v>
      </c>
    </row>
    <row r="379" spans="1:9" ht="19.95" customHeight="1" x14ac:dyDescent="0.3">
      <c r="A379" s="23">
        <v>46274.774650624997</v>
      </c>
      <c r="B379" s="16" t="s">
        <v>440</v>
      </c>
      <c r="C379" s="14" t="s">
        <v>353</v>
      </c>
      <c r="D379" s="14" t="s">
        <v>775</v>
      </c>
      <c r="E379" s="14" t="s">
        <v>142</v>
      </c>
      <c r="F379" s="14" t="s">
        <v>355</v>
      </c>
      <c r="G379" s="14" t="s">
        <v>356</v>
      </c>
      <c r="H379" s="14" t="s">
        <v>357</v>
      </c>
      <c r="I379" s="14" t="s">
        <v>38</v>
      </c>
    </row>
    <row r="380" spans="1:9" ht="19.95" customHeight="1" x14ac:dyDescent="0.3">
      <c r="A380" s="21">
        <v>46274.77465053241</v>
      </c>
      <c r="B380" s="13" t="s">
        <v>440</v>
      </c>
      <c r="C380" s="11" t="s">
        <v>353</v>
      </c>
      <c r="D380" s="11" t="s">
        <v>776</v>
      </c>
      <c r="E380" s="11" t="s">
        <v>145</v>
      </c>
      <c r="F380" s="11" t="s">
        <v>355</v>
      </c>
      <c r="G380" s="11" t="s">
        <v>356</v>
      </c>
      <c r="H380" s="11" t="s">
        <v>357</v>
      </c>
      <c r="I380" s="11" t="s">
        <v>38</v>
      </c>
    </row>
    <row r="381" spans="1:9" ht="19.95" customHeight="1" x14ac:dyDescent="0.3">
      <c r="A381" s="23">
        <v>46274.774650405103</v>
      </c>
      <c r="B381" s="16" t="s">
        <v>440</v>
      </c>
      <c r="C381" s="14" t="s">
        <v>353</v>
      </c>
      <c r="D381" s="14" t="s">
        <v>777</v>
      </c>
      <c r="E381" s="14" t="s">
        <v>145</v>
      </c>
      <c r="F381" s="14" t="s">
        <v>355</v>
      </c>
      <c r="G381" s="14" t="s">
        <v>356</v>
      </c>
      <c r="H381" s="14" t="s">
        <v>357</v>
      </c>
      <c r="I381" s="14" t="s">
        <v>38</v>
      </c>
    </row>
    <row r="382" spans="1:9" ht="19.95" customHeight="1" x14ac:dyDescent="0.3">
      <c r="A382" s="21">
        <v>46274.774650277781</v>
      </c>
      <c r="B382" s="13" t="s">
        <v>440</v>
      </c>
      <c r="C382" s="11" t="s">
        <v>353</v>
      </c>
      <c r="D382" s="11" t="s">
        <v>778</v>
      </c>
      <c r="E382" s="11" t="s">
        <v>142</v>
      </c>
      <c r="F382" s="11" t="s">
        <v>355</v>
      </c>
      <c r="G382" s="11" t="s">
        <v>356</v>
      </c>
      <c r="H382" s="11" t="s">
        <v>357</v>
      </c>
      <c r="I382" s="11" t="s">
        <v>38</v>
      </c>
    </row>
    <row r="383" spans="1:9" ht="19.95" customHeight="1" x14ac:dyDescent="0.3">
      <c r="A383" s="23">
        <v>46274.774650162028</v>
      </c>
      <c r="B383" s="16" t="s">
        <v>440</v>
      </c>
      <c r="C383" s="14" t="s">
        <v>353</v>
      </c>
      <c r="D383" s="14" t="s">
        <v>779</v>
      </c>
      <c r="E383" s="14" t="s">
        <v>145</v>
      </c>
      <c r="F383" s="14" t="s">
        <v>355</v>
      </c>
      <c r="G383" s="14" t="s">
        <v>356</v>
      </c>
      <c r="H383" s="14" t="s">
        <v>357</v>
      </c>
      <c r="I383" s="14" t="s">
        <v>38</v>
      </c>
    </row>
    <row r="384" spans="1:9" ht="19.95" customHeight="1" x14ac:dyDescent="0.3">
      <c r="A384" s="21">
        <v>46274.774650046304</v>
      </c>
      <c r="B384" s="13" t="s">
        <v>440</v>
      </c>
      <c r="C384" s="11" t="s">
        <v>353</v>
      </c>
      <c r="D384" s="11" t="s">
        <v>780</v>
      </c>
      <c r="E384" s="11" t="s">
        <v>142</v>
      </c>
      <c r="F384" s="11" t="s">
        <v>424</v>
      </c>
      <c r="G384" s="11" t="s">
        <v>356</v>
      </c>
      <c r="H384" s="11" t="s">
        <v>357</v>
      </c>
      <c r="I384" s="11" t="s">
        <v>38</v>
      </c>
    </row>
    <row r="385" spans="1:9" ht="19.95" customHeight="1" x14ac:dyDescent="0.3">
      <c r="A385" s="23">
        <v>46274.774649942126</v>
      </c>
      <c r="B385" s="16" t="s">
        <v>440</v>
      </c>
      <c r="C385" s="14" t="s">
        <v>353</v>
      </c>
      <c r="D385" s="14" t="s">
        <v>781</v>
      </c>
      <c r="E385" s="14" t="s">
        <v>142</v>
      </c>
      <c r="F385" s="14" t="s">
        <v>355</v>
      </c>
      <c r="G385" s="14" t="s">
        <v>356</v>
      </c>
      <c r="H385" s="14" t="s">
        <v>357</v>
      </c>
      <c r="I385" s="14" t="s">
        <v>38</v>
      </c>
    </row>
    <row r="386" spans="1:9" ht="19.95" customHeight="1" x14ac:dyDescent="0.3">
      <c r="A386" s="21">
        <v>46274.774646909733</v>
      </c>
      <c r="B386" s="13" t="s">
        <v>440</v>
      </c>
      <c r="C386" s="11" t="s">
        <v>353</v>
      </c>
      <c r="D386" s="11" t="s">
        <v>782</v>
      </c>
      <c r="E386" s="11" t="s">
        <v>145</v>
      </c>
      <c r="F386" s="11" t="s">
        <v>446</v>
      </c>
      <c r="G386" s="11" t="s">
        <v>356</v>
      </c>
      <c r="H386" s="11" t="s">
        <v>357</v>
      </c>
      <c r="I386" s="11" t="s">
        <v>38</v>
      </c>
    </row>
    <row r="387" spans="1:9" ht="19.95" customHeight="1" x14ac:dyDescent="0.3">
      <c r="A387" s="23">
        <v>46274.774634699083</v>
      </c>
      <c r="B387" s="16" t="s">
        <v>440</v>
      </c>
      <c r="C387" s="14" t="s">
        <v>427</v>
      </c>
      <c r="D387" s="14" t="s">
        <v>783</v>
      </c>
      <c r="E387" s="14" t="s">
        <v>142</v>
      </c>
      <c r="F387" s="14" t="s">
        <v>355</v>
      </c>
      <c r="G387" s="14" t="s">
        <v>356</v>
      </c>
      <c r="H387" s="14" t="s">
        <v>357</v>
      </c>
      <c r="I387" s="14" t="s">
        <v>784</v>
      </c>
    </row>
    <row r="388" spans="1:9" ht="19.95" customHeight="1" x14ac:dyDescent="0.3">
      <c r="A388" s="21">
        <v>46274.612482604163</v>
      </c>
      <c r="B388" s="13" t="s">
        <v>440</v>
      </c>
      <c r="C388" s="11" t="s">
        <v>353</v>
      </c>
      <c r="D388" s="11" t="s">
        <v>785</v>
      </c>
      <c r="E388" s="11" t="s">
        <v>145</v>
      </c>
      <c r="F388" s="11" t="s">
        <v>446</v>
      </c>
      <c r="G388" s="11" t="s">
        <v>356</v>
      </c>
      <c r="H388" s="11" t="s">
        <v>357</v>
      </c>
      <c r="I388" s="11" t="s">
        <v>38</v>
      </c>
    </row>
    <row r="389" spans="1:9" ht="19.95" customHeight="1" x14ac:dyDescent="0.3">
      <c r="A389" s="23">
        <v>46274.595136863427</v>
      </c>
      <c r="B389" s="16" t="s">
        <v>440</v>
      </c>
      <c r="C389" s="14" t="s">
        <v>353</v>
      </c>
      <c r="D389" s="14" t="s">
        <v>786</v>
      </c>
      <c r="E389" s="14" t="s">
        <v>145</v>
      </c>
      <c r="F389" s="14" t="s">
        <v>424</v>
      </c>
      <c r="G389" s="14" t="s">
        <v>356</v>
      </c>
      <c r="H389" s="14" t="s">
        <v>357</v>
      </c>
      <c r="I389" s="14" t="s">
        <v>787</v>
      </c>
    </row>
    <row r="390" spans="1:9" ht="19.95" customHeight="1" x14ac:dyDescent="0.3">
      <c r="A390" s="21">
        <v>46274.563381666667</v>
      </c>
      <c r="B390" s="13" t="s">
        <v>440</v>
      </c>
      <c r="C390" s="11" t="s">
        <v>353</v>
      </c>
      <c r="D390" s="11" t="s">
        <v>788</v>
      </c>
      <c r="E390" s="11" t="s">
        <v>361</v>
      </c>
      <c r="F390" s="11" t="s">
        <v>432</v>
      </c>
      <c r="G390" s="11" t="s">
        <v>356</v>
      </c>
      <c r="H390" s="11" t="s">
        <v>357</v>
      </c>
      <c r="I390" s="11" t="s">
        <v>38</v>
      </c>
    </row>
    <row r="391" spans="1:9" ht="19.95" customHeight="1" x14ac:dyDescent="0.3">
      <c r="A391" s="23">
        <v>46274.476737638892</v>
      </c>
      <c r="B391" s="16" t="s">
        <v>440</v>
      </c>
      <c r="C391" s="14" t="s">
        <v>353</v>
      </c>
      <c r="D391" s="14" t="s">
        <v>789</v>
      </c>
      <c r="E391" s="14" t="s">
        <v>145</v>
      </c>
      <c r="F391" s="14" t="s">
        <v>424</v>
      </c>
      <c r="G391" s="14" t="s">
        <v>356</v>
      </c>
      <c r="H391" s="14" t="s">
        <v>357</v>
      </c>
      <c r="I391" s="14" t="s">
        <v>421</v>
      </c>
    </row>
    <row r="392" spans="1:9" ht="19.95" customHeight="1" x14ac:dyDescent="0.3">
      <c r="A392" s="21">
        <v>46274.386919884259</v>
      </c>
      <c r="B392" s="13" t="s">
        <v>440</v>
      </c>
      <c r="C392" s="11" t="s">
        <v>353</v>
      </c>
      <c r="D392" s="11" t="s">
        <v>790</v>
      </c>
      <c r="E392" s="11" t="s">
        <v>145</v>
      </c>
      <c r="F392" s="11" t="s">
        <v>362</v>
      </c>
      <c r="G392" s="11" t="s">
        <v>356</v>
      </c>
      <c r="H392" s="11" t="s">
        <v>357</v>
      </c>
      <c r="I392" s="11" t="s">
        <v>38</v>
      </c>
    </row>
    <row r="393" spans="1:9" ht="19.95" customHeight="1" x14ac:dyDescent="0.3">
      <c r="A393" s="23">
        <v>46274.02716258102</v>
      </c>
      <c r="B393" s="16" t="s">
        <v>440</v>
      </c>
      <c r="C393" s="14" t="s">
        <v>353</v>
      </c>
      <c r="D393" s="14" t="s">
        <v>791</v>
      </c>
      <c r="E393" s="14" t="s">
        <v>145</v>
      </c>
      <c r="F393" s="14" t="s">
        <v>355</v>
      </c>
      <c r="G393" s="14" t="s">
        <v>356</v>
      </c>
      <c r="H393" s="14" t="s">
        <v>357</v>
      </c>
      <c r="I393" s="14" t="s">
        <v>38</v>
      </c>
    </row>
    <row r="394" spans="1:9" ht="19.95" customHeight="1" x14ac:dyDescent="0.3">
      <c r="A394" s="21">
        <v>46274.019109085653</v>
      </c>
      <c r="B394" s="13" t="s">
        <v>440</v>
      </c>
      <c r="C394" s="11" t="s">
        <v>353</v>
      </c>
      <c r="D394" s="11" t="s">
        <v>792</v>
      </c>
      <c r="E394" s="11" t="s">
        <v>145</v>
      </c>
      <c r="F394" s="11" t="s">
        <v>355</v>
      </c>
      <c r="G394" s="11" t="s">
        <v>356</v>
      </c>
      <c r="H394" s="11" t="s">
        <v>357</v>
      </c>
      <c r="I394" s="11" t="s">
        <v>38</v>
      </c>
    </row>
    <row r="395" spans="1:9" ht="19.95" customHeight="1" x14ac:dyDescent="0.3">
      <c r="A395" s="23">
        <v>46274.004578449072</v>
      </c>
      <c r="B395" s="16" t="s">
        <v>440</v>
      </c>
      <c r="C395" s="14" t="s">
        <v>353</v>
      </c>
      <c r="D395" s="14" t="s">
        <v>793</v>
      </c>
      <c r="E395" s="14" t="s">
        <v>145</v>
      </c>
      <c r="F395" s="14" t="s">
        <v>362</v>
      </c>
      <c r="G395" s="14" t="s">
        <v>356</v>
      </c>
      <c r="H395" s="14" t="s">
        <v>357</v>
      </c>
      <c r="I395" s="14" t="s">
        <v>794</v>
      </c>
    </row>
    <row r="396" spans="1:9" ht="19.95" customHeight="1" x14ac:dyDescent="0.3">
      <c r="A396" s="21">
        <v>46273.934776145827</v>
      </c>
      <c r="B396" s="13" t="s">
        <v>440</v>
      </c>
      <c r="C396" s="11" t="s">
        <v>353</v>
      </c>
      <c r="D396" s="11" t="s">
        <v>795</v>
      </c>
      <c r="E396" s="11" t="s">
        <v>145</v>
      </c>
      <c r="F396" s="11" t="s">
        <v>446</v>
      </c>
      <c r="G396" s="11" t="s">
        <v>356</v>
      </c>
      <c r="H396" s="11" t="s">
        <v>357</v>
      </c>
      <c r="I396" s="11" t="s">
        <v>38</v>
      </c>
    </row>
    <row r="397" spans="1:9" ht="19.95" customHeight="1" x14ac:dyDescent="0.3">
      <c r="A397" s="23">
        <v>46273.915888912037</v>
      </c>
      <c r="B397" s="16" t="s">
        <v>440</v>
      </c>
      <c r="C397" s="14" t="s">
        <v>353</v>
      </c>
      <c r="D397" s="14" t="s">
        <v>796</v>
      </c>
      <c r="E397" s="14" t="s">
        <v>142</v>
      </c>
      <c r="F397" s="14" t="s">
        <v>355</v>
      </c>
      <c r="G397" s="14" t="s">
        <v>356</v>
      </c>
      <c r="H397" s="14" t="s">
        <v>357</v>
      </c>
      <c r="I397" s="14" t="s">
        <v>38</v>
      </c>
    </row>
    <row r="398" spans="1:9" ht="19.95" customHeight="1" x14ac:dyDescent="0.3">
      <c r="A398" s="21">
        <v>46273.862279895831</v>
      </c>
      <c r="B398" s="13" t="s">
        <v>440</v>
      </c>
      <c r="C398" s="11" t="s">
        <v>353</v>
      </c>
      <c r="D398" s="11" t="s">
        <v>797</v>
      </c>
      <c r="E398" s="11" t="s">
        <v>145</v>
      </c>
      <c r="F398" s="11" t="s">
        <v>446</v>
      </c>
      <c r="G398" s="11" t="s">
        <v>356</v>
      </c>
      <c r="H398" s="11" t="s">
        <v>357</v>
      </c>
      <c r="I398" s="11" t="s">
        <v>634</v>
      </c>
    </row>
    <row r="399" spans="1:9" ht="19.95" customHeight="1" x14ac:dyDescent="0.3">
      <c r="A399" s="23">
        <v>46273.765578460647</v>
      </c>
      <c r="B399" s="16" t="s">
        <v>440</v>
      </c>
      <c r="C399" s="14" t="s">
        <v>353</v>
      </c>
      <c r="D399" s="14" t="s">
        <v>798</v>
      </c>
      <c r="E399" s="14" t="s">
        <v>145</v>
      </c>
      <c r="F399" s="14" t="s">
        <v>355</v>
      </c>
      <c r="G399" s="14" t="s">
        <v>356</v>
      </c>
      <c r="H399" s="14" t="s">
        <v>357</v>
      </c>
      <c r="I399" s="14" t="s">
        <v>38</v>
      </c>
    </row>
    <row r="400" spans="1:9" ht="19.95" customHeight="1" x14ac:dyDescent="0.3">
      <c r="A400" s="21">
        <v>46273.693949456021</v>
      </c>
      <c r="B400" s="13" t="s">
        <v>440</v>
      </c>
      <c r="C400" s="11" t="s">
        <v>353</v>
      </c>
      <c r="D400" s="11" t="s">
        <v>799</v>
      </c>
      <c r="E400" s="11" t="s">
        <v>145</v>
      </c>
      <c r="F400" s="11" t="s">
        <v>446</v>
      </c>
      <c r="G400" s="11" t="s">
        <v>356</v>
      </c>
      <c r="H400" s="11" t="s">
        <v>357</v>
      </c>
      <c r="I400" s="11" t="s">
        <v>38</v>
      </c>
    </row>
    <row r="401" spans="1:9" ht="19.95" customHeight="1" x14ac:dyDescent="0.3">
      <c r="A401" s="23">
        <v>46273.634842766201</v>
      </c>
      <c r="B401" s="16" t="s">
        <v>440</v>
      </c>
      <c r="C401" s="14" t="s">
        <v>353</v>
      </c>
      <c r="D401" s="14" t="s">
        <v>800</v>
      </c>
      <c r="E401" s="14" t="s">
        <v>145</v>
      </c>
      <c r="F401" s="14" t="s">
        <v>355</v>
      </c>
      <c r="G401" s="14" t="s">
        <v>356</v>
      </c>
      <c r="H401" s="14" t="s">
        <v>357</v>
      </c>
      <c r="I401" s="14" t="s">
        <v>38</v>
      </c>
    </row>
    <row r="402" spans="1:9" ht="19.95" customHeight="1" x14ac:dyDescent="0.3">
      <c r="A402" s="21">
        <v>46273.467810798611</v>
      </c>
      <c r="B402" s="13" t="s">
        <v>440</v>
      </c>
      <c r="C402" s="11" t="s">
        <v>801</v>
      </c>
      <c r="D402" s="11" t="s">
        <v>802</v>
      </c>
      <c r="E402" s="11" t="s">
        <v>145</v>
      </c>
      <c r="F402" s="11" t="s">
        <v>355</v>
      </c>
      <c r="G402" s="11" t="s">
        <v>356</v>
      </c>
      <c r="H402" s="11" t="s">
        <v>357</v>
      </c>
      <c r="I402" s="11" t="s">
        <v>38</v>
      </c>
    </row>
    <row r="403" spans="1:9" ht="19.95" customHeight="1" x14ac:dyDescent="0.3">
      <c r="A403" s="23">
        <v>46273.467802685183</v>
      </c>
      <c r="B403" s="16" t="s">
        <v>440</v>
      </c>
      <c r="C403" s="14" t="s">
        <v>353</v>
      </c>
      <c r="D403" s="14" t="s">
        <v>803</v>
      </c>
      <c r="E403" s="14" t="s">
        <v>145</v>
      </c>
      <c r="F403" s="14" t="s">
        <v>355</v>
      </c>
      <c r="G403" s="14" t="s">
        <v>356</v>
      </c>
      <c r="H403" s="14" t="s">
        <v>357</v>
      </c>
      <c r="I403" s="14" t="s">
        <v>804</v>
      </c>
    </row>
    <row r="404" spans="1:9" ht="19.95" customHeight="1" x14ac:dyDescent="0.3">
      <c r="A404" s="21">
        <v>46291.589622534717</v>
      </c>
      <c r="B404" s="26" t="s">
        <v>363</v>
      </c>
      <c r="C404" s="11" t="s">
        <v>805</v>
      </c>
      <c r="D404" s="11" t="s">
        <v>806</v>
      </c>
      <c r="E404" s="11" t="s">
        <v>807</v>
      </c>
      <c r="F404" s="11" t="s">
        <v>808</v>
      </c>
      <c r="G404" s="11" t="s">
        <v>152</v>
      </c>
      <c r="H404" s="11" t="s">
        <v>809</v>
      </c>
      <c r="I404" s="11" t="s">
        <v>38</v>
      </c>
    </row>
    <row r="405" spans="1:9" ht="19.95" customHeight="1" x14ac:dyDescent="0.3">
      <c r="A405" s="23">
        <v>46290.707312939812</v>
      </c>
      <c r="B405" s="25" t="s">
        <v>363</v>
      </c>
      <c r="C405" s="14" t="s">
        <v>805</v>
      </c>
      <c r="D405" s="14" t="s">
        <v>810</v>
      </c>
      <c r="E405" s="14" t="s">
        <v>807</v>
      </c>
      <c r="F405" s="14" t="s">
        <v>811</v>
      </c>
      <c r="G405" s="14" t="s">
        <v>155</v>
      </c>
      <c r="H405" s="14" t="s">
        <v>812</v>
      </c>
      <c r="I405" s="14" t="s">
        <v>813</v>
      </c>
    </row>
    <row r="406" spans="1:9" ht="19.95" customHeight="1" x14ac:dyDescent="0.3">
      <c r="A406" s="21">
        <v>46290.636335266201</v>
      </c>
      <c r="B406" s="26" t="s">
        <v>363</v>
      </c>
      <c r="C406" s="11" t="s">
        <v>805</v>
      </c>
      <c r="D406" s="11" t="s">
        <v>814</v>
      </c>
      <c r="E406" s="11" t="s">
        <v>807</v>
      </c>
      <c r="F406" s="11" t="s">
        <v>811</v>
      </c>
      <c r="G406" s="11" t="s">
        <v>155</v>
      </c>
      <c r="H406" s="11" t="s">
        <v>812</v>
      </c>
      <c r="I406" s="11" t="s">
        <v>815</v>
      </c>
    </row>
    <row r="407" spans="1:9" ht="19.95" customHeight="1" x14ac:dyDescent="0.3">
      <c r="A407" s="23">
        <v>46290.546739004632</v>
      </c>
      <c r="B407" s="25" t="s">
        <v>363</v>
      </c>
      <c r="C407" s="14" t="s">
        <v>805</v>
      </c>
      <c r="D407" s="14" t="s">
        <v>816</v>
      </c>
      <c r="E407" s="14" t="s">
        <v>807</v>
      </c>
      <c r="F407" s="14" t="s">
        <v>811</v>
      </c>
      <c r="G407" s="14" t="s">
        <v>155</v>
      </c>
      <c r="H407" s="14" t="s">
        <v>812</v>
      </c>
      <c r="I407" s="14" t="s">
        <v>817</v>
      </c>
    </row>
    <row r="408" spans="1:9" ht="19.95" customHeight="1" x14ac:dyDescent="0.3">
      <c r="A408" s="21">
        <v>46289.924186840282</v>
      </c>
      <c r="B408" s="26" t="s">
        <v>363</v>
      </c>
      <c r="C408" s="11" t="s">
        <v>805</v>
      </c>
      <c r="D408" s="11" t="s">
        <v>818</v>
      </c>
      <c r="E408" s="11" t="s">
        <v>807</v>
      </c>
      <c r="F408" s="11" t="s">
        <v>811</v>
      </c>
      <c r="G408" s="11" t="s">
        <v>150</v>
      </c>
      <c r="H408" s="11" t="s">
        <v>812</v>
      </c>
      <c r="I408" s="11" t="s">
        <v>819</v>
      </c>
    </row>
    <row r="409" spans="1:9" ht="19.95" customHeight="1" x14ac:dyDescent="0.3">
      <c r="A409" s="23">
        <v>46289.786957442127</v>
      </c>
      <c r="B409" s="25" t="s">
        <v>363</v>
      </c>
      <c r="C409" s="14" t="s">
        <v>805</v>
      </c>
      <c r="D409" s="14" t="s">
        <v>820</v>
      </c>
      <c r="E409" s="14" t="s">
        <v>807</v>
      </c>
      <c r="F409" s="14" t="s">
        <v>808</v>
      </c>
      <c r="G409" s="14" t="s">
        <v>150</v>
      </c>
      <c r="H409" s="14" t="s">
        <v>809</v>
      </c>
      <c r="I409" s="14" t="s">
        <v>38</v>
      </c>
    </row>
    <row r="410" spans="1:9" ht="19.95" customHeight="1" x14ac:dyDescent="0.3">
      <c r="A410" s="21">
        <v>46288.545605601852</v>
      </c>
      <c r="B410" s="26" t="s">
        <v>363</v>
      </c>
      <c r="C410" s="11" t="s">
        <v>805</v>
      </c>
      <c r="D410" s="11" t="s">
        <v>821</v>
      </c>
      <c r="E410" s="11" t="s">
        <v>807</v>
      </c>
      <c r="F410" s="11" t="s">
        <v>811</v>
      </c>
      <c r="G410" s="11" t="s">
        <v>158</v>
      </c>
      <c r="H410" s="11" t="s">
        <v>812</v>
      </c>
      <c r="I410" s="11" t="s">
        <v>822</v>
      </c>
    </row>
    <row r="411" spans="1:9" ht="19.95" customHeight="1" x14ac:dyDescent="0.3">
      <c r="A411" s="23">
        <v>46287.722794733803</v>
      </c>
      <c r="B411" s="25" t="s">
        <v>363</v>
      </c>
      <c r="C411" s="14" t="s">
        <v>805</v>
      </c>
      <c r="D411" s="14" t="s">
        <v>823</v>
      </c>
      <c r="E411" s="14" t="s">
        <v>807</v>
      </c>
      <c r="F411" s="14" t="s">
        <v>808</v>
      </c>
      <c r="G411" s="14" t="s">
        <v>158</v>
      </c>
      <c r="H411" s="14" t="s">
        <v>809</v>
      </c>
      <c r="I411" s="14" t="s">
        <v>824</v>
      </c>
    </row>
    <row r="412" spans="1:9" ht="19.95" customHeight="1" x14ac:dyDescent="0.3">
      <c r="A412" s="21">
        <v>46287.493922152767</v>
      </c>
      <c r="B412" s="26" t="s">
        <v>363</v>
      </c>
      <c r="C412" s="11" t="s">
        <v>805</v>
      </c>
      <c r="D412" s="11" t="s">
        <v>825</v>
      </c>
      <c r="E412" s="11" t="s">
        <v>807</v>
      </c>
      <c r="F412" s="11" t="s">
        <v>811</v>
      </c>
      <c r="G412" s="11" t="s">
        <v>158</v>
      </c>
      <c r="H412" s="11" t="s">
        <v>812</v>
      </c>
      <c r="I412" s="11" t="s">
        <v>826</v>
      </c>
    </row>
    <row r="413" spans="1:9" ht="19.95" customHeight="1" x14ac:dyDescent="0.3">
      <c r="A413" s="23">
        <v>46286.524892986112</v>
      </c>
      <c r="B413" s="16" t="s">
        <v>440</v>
      </c>
      <c r="C413" s="14" t="s">
        <v>805</v>
      </c>
      <c r="D413" s="14" t="s">
        <v>827</v>
      </c>
      <c r="E413" s="14" t="s">
        <v>807</v>
      </c>
      <c r="F413" s="14" t="s">
        <v>811</v>
      </c>
      <c r="G413" s="14" t="s">
        <v>155</v>
      </c>
      <c r="H413" s="14" t="s">
        <v>812</v>
      </c>
      <c r="I413" s="14" t="s">
        <v>828</v>
      </c>
    </row>
    <row r="414" spans="1:9" ht="19.95" customHeight="1" x14ac:dyDescent="0.3">
      <c r="A414" s="21">
        <v>46286.482666064818</v>
      </c>
      <c r="B414" s="13" t="s">
        <v>440</v>
      </c>
      <c r="C414" s="11" t="s">
        <v>805</v>
      </c>
      <c r="D414" s="11" t="s">
        <v>829</v>
      </c>
      <c r="E414" s="11" t="s">
        <v>807</v>
      </c>
      <c r="F414" s="11" t="s">
        <v>808</v>
      </c>
      <c r="G414" s="11" t="s">
        <v>158</v>
      </c>
      <c r="H414" s="11" t="s">
        <v>809</v>
      </c>
      <c r="I414" s="11" t="s">
        <v>38</v>
      </c>
    </row>
    <row r="415" spans="1:9" ht="19.95" customHeight="1" x14ac:dyDescent="0.3">
      <c r="A415" s="23">
        <v>46284.73942607639</v>
      </c>
      <c r="B415" s="16" t="s">
        <v>440</v>
      </c>
      <c r="C415" s="14" t="s">
        <v>805</v>
      </c>
      <c r="D415" s="14" t="s">
        <v>830</v>
      </c>
      <c r="E415" s="14" t="s">
        <v>807</v>
      </c>
      <c r="F415" s="14" t="s">
        <v>811</v>
      </c>
      <c r="G415" s="14" t="s">
        <v>155</v>
      </c>
      <c r="H415" s="14" t="s">
        <v>812</v>
      </c>
      <c r="I415" s="14"/>
    </row>
    <row r="416" spans="1:9" ht="19.95" customHeight="1" x14ac:dyDescent="0.3">
      <c r="A416" s="21">
        <v>46284.694956064814</v>
      </c>
      <c r="B416" s="13" t="s">
        <v>440</v>
      </c>
      <c r="C416" s="11" t="s">
        <v>805</v>
      </c>
      <c r="D416" s="11" t="s">
        <v>831</v>
      </c>
      <c r="E416" s="11" t="s">
        <v>807</v>
      </c>
      <c r="F416" s="11" t="s">
        <v>811</v>
      </c>
      <c r="G416" s="11" t="s">
        <v>145</v>
      </c>
      <c r="H416" s="11" t="s">
        <v>812</v>
      </c>
      <c r="I416" s="11" t="s">
        <v>38</v>
      </c>
    </row>
    <row r="417" spans="1:9" ht="19.95" customHeight="1" x14ac:dyDescent="0.3">
      <c r="A417" s="23">
        <v>46284.677473958327</v>
      </c>
      <c r="B417" s="16" t="s">
        <v>440</v>
      </c>
      <c r="C417" s="14" t="s">
        <v>805</v>
      </c>
      <c r="D417" s="14" t="s">
        <v>832</v>
      </c>
      <c r="E417" s="14" t="s">
        <v>807</v>
      </c>
      <c r="F417" s="14" t="s">
        <v>811</v>
      </c>
      <c r="G417" s="14" t="s">
        <v>158</v>
      </c>
      <c r="H417" s="14" t="s">
        <v>812</v>
      </c>
      <c r="I417" s="14" t="s">
        <v>38</v>
      </c>
    </row>
    <row r="418" spans="1:9" ht="19.95" customHeight="1" x14ac:dyDescent="0.3">
      <c r="A418" s="21">
        <v>46284.667526365738</v>
      </c>
      <c r="B418" s="13" t="s">
        <v>440</v>
      </c>
      <c r="C418" s="11" t="s">
        <v>805</v>
      </c>
      <c r="D418" s="11" t="s">
        <v>833</v>
      </c>
      <c r="E418" s="11" t="s">
        <v>807</v>
      </c>
      <c r="F418" s="11" t="s">
        <v>811</v>
      </c>
      <c r="G418" s="11" t="s">
        <v>158</v>
      </c>
      <c r="H418" s="11" t="s">
        <v>812</v>
      </c>
      <c r="I418" s="11" t="s">
        <v>38</v>
      </c>
    </row>
    <row r="419" spans="1:9" ht="19.95" customHeight="1" x14ac:dyDescent="0.3">
      <c r="A419" s="23">
        <v>46284.448109421297</v>
      </c>
      <c r="B419" s="16" t="s">
        <v>440</v>
      </c>
      <c r="C419" s="14" t="s">
        <v>805</v>
      </c>
      <c r="D419" s="14" t="s">
        <v>834</v>
      </c>
      <c r="E419" s="14" t="s">
        <v>807</v>
      </c>
      <c r="F419" s="14" t="s">
        <v>808</v>
      </c>
      <c r="G419" s="14" t="s">
        <v>147</v>
      </c>
      <c r="H419" s="14" t="s">
        <v>809</v>
      </c>
      <c r="I419" s="14" t="s">
        <v>38</v>
      </c>
    </row>
    <row r="420" spans="1:9" ht="19.95" customHeight="1" x14ac:dyDescent="0.3">
      <c r="A420" s="21">
        <v>46283.66760054398</v>
      </c>
      <c r="B420" s="13" t="s">
        <v>440</v>
      </c>
      <c r="C420" s="11" t="s">
        <v>805</v>
      </c>
      <c r="D420" s="11" t="s">
        <v>835</v>
      </c>
      <c r="E420" s="11" t="s">
        <v>807</v>
      </c>
      <c r="F420" s="11" t="s">
        <v>811</v>
      </c>
      <c r="G420" s="11" t="s">
        <v>152</v>
      </c>
      <c r="H420" s="11" t="s">
        <v>812</v>
      </c>
      <c r="I420" s="11" t="s">
        <v>38</v>
      </c>
    </row>
    <row r="421" spans="1:9" ht="19.95" customHeight="1" x14ac:dyDescent="0.3">
      <c r="A421" s="23">
        <v>46282.727023356492</v>
      </c>
      <c r="B421" s="16" t="s">
        <v>440</v>
      </c>
      <c r="C421" s="14" t="s">
        <v>805</v>
      </c>
      <c r="D421" s="14" t="s">
        <v>836</v>
      </c>
      <c r="E421" s="14" t="s">
        <v>807</v>
      </c>
      <c r="F421" s="14" t="s">
        <v>811</v>
      </c>
      <c r="G421" s="14" t="s">
        <v>152</v>
      </c>
      <c r="H421" s="14" t="s">
        <v>812</v>
      </c>
      <c r="I421" s="14" t="s">
        <v>38</v>
      </c>
    </row>
    <row r="422" spans="1:9" ht="19.95" customHeight="1" x14ac:dyDescent="0.3">
      <c r="A422" s="21">
        <v>46279.535929131947</v>
      </c>
      <c r="B422" s="13" t="s">
        <v>440</v>
      </c>
      <c r="C422" s="11" t="s">
        <v>805</v>
      </c>
      <c r="D422" s="11" t="s">
        <v>837</v>
      </c>
      <c r="E422" s="11" t="s">
        <v>807</v>
      </c>
      <c r="F422" s="11" t="s">
        <v>811</v>
      </c>
      <c r="G422" s="11" t="s">
        <v>150</v>
      </c>
      <c r="H422" s="11" t="s">
        <v>812</v>
      </c>
      <c r="I422" s="11" t="s">
        <v>38</v>
      </c>
    </row>
    <row r="423" spans="1:9" ht="19.95" customHeight="1" x14ac:dyDescent="0.3">
      <c r="A423" s="23">
        <v>46278.970367164351</v>
      </c>
      <c r="B423" s="16" t="s">
        <v>440</v>
      </c>
      <c r="C423" s="14" t="s">
        <v>805</v>
      </c>
      <c r="D423" s="14" t="s">
        <v>838</v>
      </c>
      <c r="E423" s="14" t="s">
        <v>807</v>
      </c>
      <c r="F423" s="14" t="s">
        <v>811</v>
      </c>
      <c r="G423" s="14" t="s">
        <v>155</v>
      </c>
      <c r="H423" s="14" t="s">
        <v>812</v>
      </c>
      <c r="I423" s="14" t="s">
        <v>839</v>
      </c>
    </row>
    <row r="424" spans="1:9" ht="19.95" customHeight="1" x14ac:dyDescent="0.3">
      <c r="A424" s="21">
        <v>46275.790292546299</v>
      </c>
      <c r="B424" s="13" t="s">
        <v>440</v>
      </c>
      <c r="C424" s="11" t="s">
        <v>805</v>
      </c>
      <c r="D424" s="11" t="s">
        <v>840</v>
      </c>
      <c r="E424" s="11" t="s">
        <v>807</v>
      </c>
      <c r="F424" s="11" t="s">
        <v>811</v>
      </c>
      <c r="G424" s="11" t="s">
        <v>150</v>
      </c>
      <c r="H424" s="11" t="s">
        <v>812</v>
      </c>
      <c r="I424" s="11" t="s">
        <v>38</v>
      </c>
    </row>
    <row r="425" spans="1:9" ht="19.95" customHeight="1" x14ac:dyDescent="0.3">
      <c r="A425" s="23">
        <v>46275.615290138892</v>
      </c>
      <c r="B425" s="16" t="s">
        <v>440</v>
      </c>
      <c r="C425" s="14" t="s">
        <v>805</v>
      </c>
      <c r="D425" s="14" t="s">
        <v>841</v>
      </c>
      <c r="E425" s="14" t="s">
        <v>807</v>
      </c>
      <c r="F425" s="14" t="s">
        <v>811</v>
      </c>
      <c r="G425" s="14" t="s">
        <v>155</v>
      </c>
      <c r="H425" s="14" t="s">
        <v>812</v>
      </c>
      <c r="I425" s="14" t="s">
        <v>842</v>
      </c>
    </row>
    <row r="426" spans="1:9" ht="19.95" customHeight="1" x14ac:dyDescent="0.3">
      <c r="A426" s="21">
        <v>46274.788703252307</v>
      </c>
      <c r="B426" s="13" t="s">
        <v>440</v>
      </c>
      <c r="C426" s="11" t="s">
        <v>805</v>
      </c>
      <c r="D426" s="11" t="s">
        <v>843</v>
      </c>
      <c r="E426" s="11" t="s">
        <v>807</v>
      </c>
      <c r="F426" s="11" t="s">
        <v>811</v>
      </c>
      <c r="G426" s="11" t="s">
        <v>150</v>
      </c>
      <c r="H426" s="11" t="s">
        <v>812</v>
      </c>
      <c r="I426" s="11" t="s">
        <v>38</v>
      </c>
    </row>
    <row r="427" spans="1:9" ht="19.95" customHeight="1" x14ac:dyDescent="0.3">
      <c r="A427" s="23">
        <v>46274.537445937502</v>
      </c>
      <c r="B427" s="16" t="s">
        <v>440</v>
      </c>
      <c r="C427" s="14" t="s">
        <v>805</v>
      </c>
      <c r="D427" s="14" t="s">
        <v>844</v>
      </c>
      <c r="E427" s="14" t="s">
        <v>807</v>
      </c>
      <c r="F427" s="14" t="s">
        <v>811</v>
      </c>
      <c r="G427" s="14" t="s">
        <v>150</v>
      </c>
      <c r="H427" s="14" t="s">
        <v>812</v>
      </c>
      <c r="I427" s="14" t="s">
        <v>38</v>
      </c>
    </row>
    <row r="428" spans="1:9" ht="19.95" customHeight="1" x14ac:dyDescent="0.3">
      <c r="A428" s="21">
        <v>46273.591018368053</v>
      </c>
      <c r="B428" s="13" t="s">
        <v>440</v>
      </c>
      <c r="C428" s="11" t="s">
        <v>805</v>
      </c>
      <c r="D428" s="11" t="s">
        <v>845</v>
      </c>
      <c r="E428" s="11" t="s">
        <v>807</v>
      </c>
      <c r="F428" s="11" t="s">
        <v>811</v>
      </c>
      <c r="G428" s="11" t="s">
        <v>155</v>
      </c>
      <c r="H428" s="11" t="s">
        <v>812</v>
      </c>
      <c r="I428" s="11" t="s">
        <v>846</v>
      </c>
    </row>
    <row r="429" spans="1:9" ht="19.95" customHeight="1" x14ac:dyDescent="0.3">
      <c r="A429" s="23">
        <v>46269.674324236112</v>
      </c>
      <c r="B429" s="16" t="s">
        <v>440</v>
      </c>
      <c r="C429" s="14" t="s">
        <v>805</v>
      </c>
      <c r="D429" s="14" t="s">
        <v>847</v>
      </c>
      <c r="E429" s="14" t="s">
        <v>807</v>
      </c>
      <c r="F429" s="14" t="s">
        <v>808</v>
      </c>
      <c r="G429" s="14" t="s">
        <v>152</v>
      </c>
      <c r="H429" s="14" t="s">
        <v>809</v>
      </c>
      <c r="I429" s="14" t="s">
        <v>38</v>
      </c>
    </row>
    <row r="430" spans="1:9" ht="19.95" customHeight="1" x14ac:dyDescent="0.3">
      <c r="A430" s="21">
        <v>46268.544077708328</v>
      </c>
      <c r="B430" s="13" t="s">
        <v>440</v>
      </c>
      <c r="C430" s="11" t="s">
        <v>805</v>
      </c>
      <c r="D430" s="11" t="s">
        <v>848</v>
      </c>
      <c r="E430" s="11" t="s">
        <v>807</v>
      </c>
      <c r="F430" s="11" t="s">
        <v>811</v>
      </c>
      <c r="G430" s="11" t="s">
        <v>147</v>
      </c>
      <c r="H430" s="11" t="s">
        <v>812</v>
      </c>
      <c r="I430" s="11" t="s">
        <v>38</v>
      </c>
    </row>
    <row r="431" spans="1:9" ht="19.95" customHeight="1" x14ac:dyDescent="0.3">
      <c r="A431" s="23">
        <v>46268.534062326391</v>
      </c>
      <c r="B431" s="16" t="s">
        <v>440</v>
      </c>
      <c r="C431" s="14" t="s">
        <v>805</v>
      </c>
      <c r="D431" s="14" t="s">
        <v>849</v>
      </c>
      <c r="E431" s="14" t="s">
        <v>807</v>
      </c>
      <c r="F431" s="14" t="s">
        <v>808</v>
      </c>
      <c r="G431" s="14" t="s">
        <v>147</v>
      </c>
      <c r="H431" s="14" t="s">
        <v>809</v>
      </c>
      <c r="I431" s="14" t="s">
        <v>38</v>
      </c>
    </row>
    <row r="432" spans="1:9" ht="19.95" customHeight="1" x14ac:dyDescent="0.3">
      <c r="A432" s="21">
        <v>46267.730736030091</v>
      </c>
      <c r="B432" s="13" t="s">
        <v>440</v>
      </c>
      <c r="C432" s="11" t="s">
        <v>805</v>
      </c>
      <c r="D432" s="11" t="s">
        <v>850</v>
      </c>
      <c r="E432" s="11" t="s">
        <v>807</v>
      </c>
      <c r="F432" s="11" t="s">
        <v>851</v>
      </c>
      <c r="G432" s="11" t="s">
        <v>147</v>
      </c>
      <c r="H432" s="11" t="s">
        <v>852</v>
      </c>
      <c r="I432" s="11" t="s">
        <v>38</v>
      </c>
    </row>
    <row r="433" spans="1:9" ht="19.95" customHeight="1" x14ac:dyDescent="0.3">
      <c r="A433" s="23">
        <v>46263.449494826389</v>
      </c>
      <c r="B433" s="16" t="s">
        <v>853</v>
      </c>
      <c r="C433" s="14" t="s">
        <v>805</v>
      </c>
      <c r="D433" s="14" t="s">
        <v>854</v>
      </c>
      <c r="E433" s="14" t="s">
        <v>807</v>
      </c>
      <c r="F433" s="14" t="s">
        <v>808</v>
      </c>
      <c r="G433" s="14" t="s">
        <v>147</v>
      </c>
      <c r="H433" s="14" t="s">
        <v>809</v>
      </c>
      <c r="I433" s="14" t="s">
        <v>38</v>
      </c>
    </row>
    <row r="434" spans="1:9" ht="19.95" customHeight="1" x14ac:dyDescent="0.3">
      <c r="A434" s="21">
        <v>46261.494817361112</v>
      </c>
      <c r="B434" s="13" t="s">
        <v>853</v>
      </c>
      <c r="C434" s="11" t="s">
        <v>805</v>
      </c>
      <c r="D434" s="11" t="s">
        <v>855</v>
      </c>
      <c r="E434" s="11" t="s">
        <v>807</v>
      </c>
      <c r="F434" s="11" t="s">
        <v>811</v>
      </c>
      <c r="G434" s="11" t="s">
        <v>147</v>
      </c>
      <c r="H434" s="11" t="s">
        <v>812</v>
      </c>
      <c r="I434" s="11" t="s">
        <v>38</v>
      </c>
    </row>
    <row r="435" spans="1:9" ht="19.95" customHeight="1" x14ac:dyDescent="0.3">
      <c r="A435" s="23">
        <v>46261.449805810182</v>
      </c>
      <c r="B435" s="16" t="s">
        <v>853</v>
      </c>
      <c r="C435" s="14" t="s">
        <v>805</v>
      </c>
      <c r="D435" s="14" t="s">
        <v>856</v>
      </c>
      <c r="E435" s="14" t="s">
        <v>807</v>
      </c>
      <c r="F435" s="14" t="s">
        <v>811</v>
      </c>
      <c r="G435" s="14" t="s">
        <v>147</v>
      </c>
      <c r="H435" s="14" t="s">
        <v>812</v>
      </c>
      <c r="I435" s="14" t="s">
        <v>38</v>
      </c>
    </row>
    <row r="436" spans="1:9" ht="19.95" customHeight="1" x14ac:dyDescent="0.3">
      <c r="A436" s="21">
        <v>46260.694869120372</v>
      </c>
      <c r="B436" s="13" t="s">
        <v>853</v>
      </c>
      <c r="C436" s="11" t="s">
        <v>805</v>
      </c>
      <c r="D436" s="11" t="s">
        <v>857</v>
      </c>
      <c r="E436" s="11" t="s">
        <v>807</v>
      </c>
      <c r="F436" s="11" t="s">
        <v>811</v>
      </c>
      <c r="G436" s="11" t="s">
        <v>152</v>
      </c>
      <c r="H436" s="11" t="s">
        <v>812</v>
      </c>
      <c r="I436" s="11" t="s">
        <v>38</v>
      </c>
    </row>
    <row r="437" spans="1:9" ht="19.95" customHeight="1" x14ac:dyDescent="0.3">
      <c r="A437" s="23">
        <v>46260.655924525461</v>
      </c>
      <c r="B437" s="16" t="s">
        <v>853</v>
      </c>
      <c r="C437" s="14" t="s">
        <v>805</v>
      </c>
      <c r="D437" s="14" t="s">
        <v>858</v>
      </c>
      <c r="E437" s="14" t="s">
        <v>807</v>
      </c>
      <c r="F437" s="14" t="s">
        <v>811</v>
      </c>
      <c r="G437" s="14" t="s">
        <v>152</v>
      </c>
      <c r="H437" s="14" t="s">
        <v>812</v>
      </c>
      <c r="I437" s="14" t="s">
        <v>38</v>
      </c>
    </row>
    <row r="438" spans="1:9" ht="19.95" customHeight="1" x14ac:dyDescent="0.3">
      <c r="A438" s="21">
        <v>46260.436558298607</v>
      </c>
      <c r="B438" s="13" t="s">
        <v>853</v>
      </c>
      <c r="C438" s="11" t="s">
        <v>805</v>
      </c>
      <c r="D438" s="11" t="s">
        <v>859</v>
      </c>
      <c r="E438" s="11" t="s">
        <v>807</v>
      </c>
      <c r="F438" s="11" t="s">
        <v>811</v>
      </c>
      <c r="G438" s="11" t="s">
        <v>147</v>
      </c>
      <c r="H438" s="11" t="s">
        <v>812</v>
      </c>
      <c r="I438" s="11" t="s">
        <v>38</v>
      </c>
    </row>
    <row r="439" spans="1:9" ht="19.95" customHeight="1" x14ac:dyDescent="0.3">
      <c r="A439" s="23">
        <v>46256.467718125001</v>
      </c>
      <c r="B439" s="16" t="s">
        <v>853</v>
      </c>
      <c r="C439" s="14" t="s">
        <v>805</v>
      </c>
      <c r="D439" s="14" t="s">
        <v>860</v>
      </c>
      <c r="E439" s="14" t="s">
        <v>807</v>
      </c>
      <c r="F439" s="14" t="s">
        <v>811</v>
      </c>
      <c r="G439" s="14" t="s">
        <v>147</v>
      </c>
      <c r="H439" s="14" t="s">
        <v>812</v>
      </c>
      <c r="I439" s="14" t="s">
        <v>38</v>
      </c>
    </row>
    <row r="440" spans="1:9" ht="19.95" customHeight="1" x14ac:dyDescent="0.3">
      <c r="A440" s="21">
        <v>46256.467391712962</v>
      </c>
      <c r="B440" s="13" t="s">
        <v>853</v>
      </c>
      <c r="C440" s="11" t="s">
        <v>805</v>
      </c>
      <c r="D440" s="11" t="s">
        <v>861</v>
      </c>
      <c r="E440" s="11" t="s">
        <v>807</v>
      </c>
      <c r="F440" s="11" t="s">
        <v>811</v>
      </c>
      <c r="G440" s="11" t="s">
        <v>152</v>
      </c>
      <c r="H440" s="11" t="s">
        <v>812</v>
      </c>
      <c r="I440" s="11" t="s">
        <v>38</v>
      </c>
    </row>
    <row r="441" spans="1:9" ht="19.95" customHeight="1" x14ac:dyDescent="0.3">
      <c r="A441" s="23">
        <v>46254.554743113433</v>
      </c>
      <c r="B441" s="16" t="s">
        <v>853</v>
      </c>
      <c r="C441" s="14" t="s">
        <v>805</v>
      </c>
      <c r="D441" s="14" t="s">
        <v>862</v>
      </c>
      <c r="E441" s="14" t="s">
        <v>807</v>
      </c>
      <c r="F441" s="14" t="s">
        <v>811</v>
      </c>
      <c r="G441" s="14" t="s">
        <v>147</v>
      </c>
      <c r="H441" s="14" t="s">
        <v>812</v>
      </c>
      <c r="I441" s="14" t="s">
        <v>38</v>
      </c>
    </row>
    <row r="442" spans="1:9" ht="19.95" customHeight="1" x14ac:dyDescent="0.3">
      <c r="A442" s="21">
        <v>46254.514963946764</v>
      </c>
      <c r="B442" s="13" t="s">
        <v>853</v>
      </c>
      <c r="C442" s="11" t="s">
        <v>805</v>
      </c>
      <c r="D442" s="11" t="s">
        <v>863</v>
      </c>
      <c r="E442" s="11" t="s">
        <v>807</v>
      </c>
      <c r="F442" s="11" t="s">
        <v>811</v>
      </c>
      <c r="G442" s="11" t="s">
        <v>147</v>
      </c>
      <c r="H442" s="11" t="s">
        <v>812</v>
      </c>
      <c r="I442" s="11" t="s">
        <v>38</v>
      </c>
    </row>
    <row r="443" spans="1:9" ht="19.95" customHeight="1" x14ac:dyDescent="0.3">
      <c r="A443" s="23">
        <v>46254.434359907413</v>
      </c>
      <c r="B443" s="16" t="s">
        <v>853</v>
      </c>
      <c r="C443" s="14" t="s">
        <v>805</v>
      </c>
      <c r="D443" s="14" t="s">
        <v>864</v>
      </c>
      <c r="E443" s="14" t="s">
        <v>807</v>
      </c>
      <c r="F443" s="14" t="s">
        <v>811</v>
      </c>
      <c r="G443" s="14" t="s">
        <v>150</v>
      </c>
      <c r="H443" s="14" t="s">
        <v>812</v>
      </c>
      <c r="I443" s="14" t="s">
        <v>38</v>
      </c>
    </row>
    <row r="444" spans="1:9" ht="19.95" customHeight="1" x14ac:dyDescent="0.3">
      <c r="A444" s="21">
        <v>46253.501598460651</v>
      </c>
      <c r="B444" s="13" t="s">
        <v>853</v>
      </c>
      <c r="C444" s="11" t="s">
        <v>805</v>
      </c>
      <c r="D444" s="11" t="s">
        <v>865</v>
      </c>
      <c r="E444" s="11" t="s">
        <v>807</v>
      </c>
      <c r="F444" s="11" t="s">
        <v>808</v>
      </c>
      <c r="G444" s="11" t="s">
        <v>150</v>
      </c>
      <c r="H444" s="11" t="s">
        <v>809</v>
      </c>
      <c r="I444" s="11" t="s">
        <v>38</v>
      </c>
    </row>
    <row r="445" spans="1:9" ht="19.95" customHeight="1" x14ac:dyDescent="0.3">
      <c r="A445" s="23">
        <v>46251.518367245371</v>
      </c>
      <c r="B445" s="16" t="s">
        <v>853</v>
      </c>
      <c r="C445" s="14" t="s">
        <v>805</v>
      </c>
      <c r="D445" s="14" t="s">
        <v>866</v>
      </c>
      <c r="E445" s="14" t="s">
        <v>807</v>
      </c>
      <c r="F445" s="14" t="s">
        <v>811</v>
      </c>
      <c r="G445" s="14" t="s">
        <v>147</v>
      </c>
      <c r="H445" s="14" t="s">
        <v>812</v>
      </c>
      <c r="I445" s="14" t="s">
        <v>38</v>
      </c>
    </row>
    <row r="446" spans="1:9" ht="19.95" customHeight="1" x14ac:dyDescent="0.3">
      <c r="A446" s="21">
        <v>46251.511085891201</v>
      </c>
      <c r="B446" s="13" t="s">
        <v>853</v>
      </c>
      <c r="C446" s="11" t="s">
        <v>805</v>
      </c>
      <c r="D446" s="11" t="s">
        <v>867</v>
      </c>
      <c r="E446" s="11" t="s">
        <v>807</v>
      </c>
      <c r="F446" s="11" t="s">
        <v>811</v>
      </c>
      <c r="G446" s="11" t="s">
        <v>147</v>
      </c>
      <c r="H446" s="11" t="s">
        <v>812</v>
      </c>
      <c r="I446" s="11" t="s">
        <v>38</v>
      </c>
    </row>
    <row r="447" spans="1:9" ht="19.95" customHeight="1" x14ac:dyDescent="0.3">
      <c r="A447" s="23">
        <v>46251.443684537036</v>
      </c>
      <c r="B447" s="16" t="s">
        <v>853</v>
      </c>
      <c r="C447" s="14" t="s">
        <v>805</v>
      </c>
      <c r="D447" s="14" t="s">
        <v>868</v>
      </c>
      <c r="E447" s="14" t="s">
        <v>807</v>
      </c>
      <c r="F447" s="14" t="s">
        <v>808</v>
      </c>
      <c r="G447" s="14" t="s">
        <v>152</v>
      </c>
      <c r="H447" s="14" t="s">
        <v>809</v>
      </c>
      <c r="I447" s="14" t="s">
        <v>38</v>
      </c>
    </row>
    <row r="448" spans="1:9" ht="19.95" customHeight="1" x14ac:dyDescent="0.3">
      <c r="A448" s="21">
        <v>46251.434711516202</v>
      </c>
      <c r="B448" s="13" t="s">
        <v>853</v>
      </c>
      <c r="C448" s="11" t="s">
        <v>805</v>
      </c>
      <c r="D448" s="11" t="s">
        <v>869</v>
      </c>
      <c r="E448" s="11" t="s">
        <v>807</v>
      </c>
      <c r="F448" s="11" t="s">
        <v>811</v>
      </c>
      <c r="G448" s="11" t="s">
        <v>152</v>
      </c>
      <c r="H448" s="11" t="s">
        <v>812</v>
      </c>
      <c r="I448" s="11" t="s">
        <v>38</v>
      </c>
    </row>
    <row r="449" spans="1:9" ht="19.95" customHeight="1" x14ac:dyDescent="0.3">
      <c r="A449" s="23">
        <v>46249.035441122687</v>
      </c>
      <c r="B449" s="16" t="s">
        <v>853</v>
      </c>
      <c r="C449" s="14" t="s">
        <v>805</v>
      </c>
      <c r="D449" s="14" t="s">
        <v>870</v>
      </c>
      <c r="E449" s="14" t="s">
        <v>807</v>
      </c>
      <c r="F449" s="14" t="s">
        <v>811</v>
      </c>
      <c r="G449" s="14" t="s">
        <v>155</v>
      </c>
      <c r="H449" s="14" t="s">
        <v>812</v>
      </c>
      <c r="I449" s="14" t="s">
        <v>38</v>
      </c>
    </row>
    <row r="450" spans="1:9" ht="19.95" customHeight="1" x14ac:dyDescent="0.3">
      <c r="A450" s="21">
        <v>46248.507181550929</v>
      </c>
      <c r="B450" s="13" t="s">
        <v>853</v>
      </c>
      <c r="C450" s="11" t="s">
        <v>805</v>
      </c>
      <c r="D450" s="11" t="s">
        <v>871</v>
      </c>
      <c r="E450" s="11" t="s">
        <v>807</v>
      </c>
      <c r="F450" s="11" t="s">
        <v>811</v>
      </c>
      <c r="G450" s="11" t="s">
        <v>152</v>
      </c>
      <c r="H450" s="11" t="s">
        <v>812</v>
      </c>
      <c r="I450" s="11" t="s">
        <v>38</v>
      </c>
    </row>
    <row r="451" spans="1:9" ht="19.95" customHeight="1" x14ac:dyDescent="0.3">
      <c r="A451" s="23">
        <v>46247.791047638893</v>
      </c>
      <c r="B451" s="16" t="s">
        <v>853</v>
      </c>
      <c r="C451" s="14" t="s">
        <v>805</v>
      </c>
      <c r="D451" s="14" t="s">
        <v>872</v>
      </c>
      <c r="E451" s="14" t="s">
        <v>807</v>
      </c>
      <c r="F451" s="14" t="s">
        <v>811</v>
      </c>
      <c r="G451" s="14" t="s">
        <v>150</v>
      </c>
      <c r="H451" s="14" t="s">
        <v>812</v>
      </c>
      <c r="I451" s="14" t="s">
        <v>38</v>
      </c>
    </row>
    <row r="452" spans="1:9" ht="19.95" customHeight="1" x14ac:dyDescent="0.3">
      <c r="A452" s="21">
        <v>46247.549537037034</v>
      </c>
      <c r="B452" s="13" t="s">
        <v>853</v>
      </c>
      <c r="C452" s="11" t="s">
        <v>805</v>
      </c>
      <c r="D452" s="11" t="s">
        <v>873</v>
      </c>
      <c r="E452" s="11" t="s">
        <v>807</v>
      </c>
      <c r="F452" s="11" t="s">
        <v>808</v>
      </c>
      <c r="G452" s="11" t="s">
        <v>152</v>
      </c>
      <c r="H452" s="11" t="s">
        <v>809</v>
      </c>
      <c r="I452" s="11" t="s">
        <v>38</v>
      </c>
    </row>
    <row r="453" spans="1:9" ht="19.95" customHeight="1" x14ac:dyDescent="0.3">
      <c r="A453" s="23">
        <v>46242.546443935193</v>
      </c>
      <c r="B453" s="16" t="s">
        <v>853</v>
      </c>
      <c r="C453" s="14" t="s">
        <v>805</v>
      </c>
      <c r="D453" s="14" t="s">
        <v>874</v>
      </c>
      <c r="E453" s="14" t="s">
        <v>807</v>
      </c>
      <c r="F453" s="14" t="s">
        <v>811</v>
      </c>
      <c r="G453" s="14" t="s">
        <v>152</v>
      </c>
      <c r="H453" s="14" t="s">
        <v>812</v>
      </c>
      <c r="I453" s="14" t="s">
        <v>38</v>
      </c>
    </row>
    <row r="454" spans="1:9" ht="19.95" customHeight="1" x14ac:dyDescent="0.3">
      <c r="A454" s="21">
        <v>46235.698494108787</v>
      </c>
      <c r="B454" s="13" t="s">
        <v>853</v>
      </c>
      <c r="C454" s="11" t="s">
        <v>805</v>
      </c>
      <c r="D454" s="11" t="s">
        <v>875</v>
      </c>
      <c r="E454" s="11" t="s">
        <v>807</v>
      </c>
      <c r="F454" s="11" t="s">
        <v>811</v>
      </c>
      <c r="G454" s="11" t="s">
        <v>147</v>
      </c>
      <c r="H454" s="11" t="s">
        <v>812</v>
      </c>
      <c r="I454" s="11" t="s">
        <v>38</v>
      </c>
    </row>
    <row r="455" spans="1:9" ht="19.95" customHeight="1" x14ac:dyDescent="0.3">
      <c r="A455" s="23">
        <v>46235.676282233799</v>
      </c>
      <c r="B455" s="16" t="s">
        <v>853</v>
      </c>
      <c r="C455" s="14" t="s">
        <v>805</v>
      </c>
      <c r="D455" s="14" t="s">
        <v>876</v>
      </c>
      <c r="E455" s="14" t="s">
        <v>807</v>
      </c>
      <c r="F455" s="14" t="s">
        <v>877</v>
      </c>
      <c r="G455" s="14" t="s">
        <v>147</v>
      </c>
      <c r="H455" s="14" t="s">
        <v>878</v>
      </c>
      <c r="I455" s="14" t="s">
        <v>38</v>
      </c>
    </row>
    <row r="456" spans="1:9" ht="19.95" customHeight="1" x14ac:dyDescent="0.3">
      <c r="A456" s="21">
        <v>46235.533348506942</v>
      </c>
      <c r="B456" s="13" t="s">
        <v>853</v>
      </c>
      <c r="C456" s="11" t="s">
        <v>805</v>
      </c>
      <c r="D456" s="11" t="s">
        <v>879</v>
      </c>
      <c r="E456" s="11" t="s">
        <v>807</v>
      </c>
      <c r="F456" s="11" t="s">
        <v>811</v>
      </c>
      <c r="G456" s="11" t="s">
        <v>150</v>
      </c>
      <c r="H456" s="11" t="s">
        <v>812</v>
      </c>
      <c r="I456" s="11" t="s">
        <v>38</v>
      </c>
    </row>
    <row r="457" spans="1:9" ht="19.95" customHeight="1" x14ac:dyDescent="0.3">
      <c r="A457" s="23">
        <v>46235.525774340284</v>
      </c>
      <c r="B457" s="16" t="s">
        <v>853</v>
      </c>
      <c r="C457" s="14" t="s">
        <v>805</v>
      </c>
      <c r="D457" s="14" t="s">
        <v>880</v>
      </c>
      <c r="E457" s="14" t="s">
        <v>807</v>
      </c>
      <c r="F457" s="14" t="s">
        <v>811</v>
      </c>
      <c r="G457" s="14" t="s">
        <v>150</v>
      </c>
      <c r="H457" s="14" t="s">
        <v>812</v>
      </c>
      <c r="I457" s="14" t="s">
        <v>38</v>
      </c>
    </row>
    <row r="458" spans="1:9" ht="19.95" customHeight="1" x14ac:dyDescent="0.3">
      <c r="A458" s="21">
        <v>46234.746391620371</v>
      </c>
      <c r="B458" s="13" t="s">
        <v>853</v>
      </c>
      <c r="C458" s="11" t="s">
        <v>805</v>
      </c>
      <c r="D458" s="11" t="s">
        <v>881</v>
      </c>
      <c r="E458" s="11" t="s">
        <v>807</v>
      </c>
      <c r="F458" s="11" t="s">
        <v>877</v>
      </c>
      <c r="G458" s="11" t="s">
        <v>150</v>
      </c>
      <c r="H458" s="11" t="s">
        <v>878</v>
      </c>
      <c r="I458" s="11" t="s">
        <v>38</v>
      </c>
    </row>
    <row r="459" spans="1:9" ht="19.95" customHeight="1" x14ac:dyDescent="0.3">
      <c r="A459" s="23">
        <v>46234.493869814818</v>
      </c>
      <c r="B459" s="16" t="s">
        <v>853</v>
      </c>
      <c r="C459" s="14" t="s">
        <v>805</v>
      </c>
      <c r="D459" s="14" t="s">
        <v>882</v>
      </c>
      <c r="E459" s="14" t="s">
        <v>807</v>
      </c>
      <c r="F459" s="14" t="s">
        <v>811</v>
      </c>
      <c r="G459" s="14" t="s">
        <v>152</v>
      </c>
      <c r="H459" s="14" t="s">
        <v>812</v>
      </c>
      <c r="I459" s="14" t="s">
        <v>38</v>
      </c>
    </row>
    <row r="460" spans="1:9" ht="19.95" customHeight="1" x14ac:dyDescent="0.3">
      <c r="A460" s="21">
        <v>46233.79106959491</v>
      </c>
      <c r="B460" s="13" t="s">
        <v>853</v>
      </c>
      <c r="C460" s="11" t="s">
        <v>805</v>
      </c>
      <c r="D460" s="11" t="s">
        <v>872</v>
      </c>
      <c r="E460" s="11" t="s">
        <v>807</v>
      </c>
      <c r="F460" s="11" t="s">
        <v>811</v>
      </c>
      <c r="G460" s="11" t="s">
        <v>150</v>
      </c>
      <c r="H460" s="11" t="s">
        <v>812</v>
      </c>
      <c r="I460" s="11" t="s">
        <v>38</v>
      </c>
    </row>
    <row r="461" spans="1:9" ht="19.95" customHeight="1" x14ac:dyDescent="0.3">
      <c r="A461" s="23">
        <v>46233.668024803243</v>
      </c>
      <c r="B461" s="16" t="s">
        <v>853</v>
      </c>
      <c r="C461" s="14" t="s">
        <v>805</v>
      </c>
      <c r="D461" s="14" t="s">
        <v>883</v>
      </c>
      <c r="E461" s="14" t="s">
        <v>807</v>
      </c>
      <c r="F461" s="14" t="s">
        <v>811</v>
      </c>
      <c r="G461" s="14" t="s">
        <v>150</v>
      </c>
      <c r="H461" s="14" t="s">
        <v>812</v>
      </c>
      <c r="I461" s="14" t="s">
        <v>38</v>
      </c>
    </row>
    <row r="462" spans="1:9" ht="19.95" customHeight="1" x14ac:dyDescent="0.3">
      <c r="A462" s="21">
        <v>46233.472116724537</v>
      </c>
      <c r="B462" s="13" t="s">
        <v>853</v>
      </c>
      <c r="C462" s="11" t="s">
        <v>805</v>
      </c>
      <c r="D462" s="11" t="s">
        <v>884</v>
      </c>
      <c r="E462" s="11" t="s">
        <v>807</v>
      </c>
      <c r="F462" s="11" t="s">
        <v>811</v>
      </c>
      <c r="G462" s="11" t="s">
        <v>150</v>
      </c>
      <c r="H462" s="11" t="s">
        <v>812</v>
      </c>
      <c r="I462" s="11" t="s">
        <v>38</v>
      </c>
    </row>
    <row r="463" spans="1:9" ht="19.95" customHeight="1" x14ac:dyDescent="0.3">
      <c r="A463" s="23">
        <v>46231.504507395832</v>
      </c>
      <c r="B463" s="16" t="s">
        <v>853</v>
      </c>
      <c r="C463" s="14" t="s">
        <v>805</v>
      </c>
      <c r="D463" s="14" t="s">
        <v>885</v>
      </c>
      <c r="E463" s="14" t="s">
        <v>807</v>
      </c>
      <c r="F463" s="14" t="s">
        <v>811</v>
      </c>
      <c r="G463" s="14" t="s">
        <v>150</v>
      </c>
      <c r="H463" s="14" t="s">
        <v>812</v>
      </c>
      <c r="I463" s="14" t="s">
        <v>886</v>
      </c>
    </row>
    <row r="464" spans="1:9" ht="19.95" customHeight="1" x14ac:dyDescent="0.3">
      <c r="A464" s="21">
        <v>46231.475527662027</v>
      </c>
      <c r="B464" s="13" t="s">
        <v>853</v>
      </c>
      <c r="C464" s="11" t="s">
        <v>805</v>
      </c>
      <c r="D464" s="11" t="s">
        <v>887</v>
      </c>
      <c r="E464" s="11" t="s">
        <v>807</v>
      </c>
      <c r="F464" s="11" t="s">
        <v>811</v>
      </c>
      <c r="G464" s="11" t="s">
        <v>150</v>
      </c>
      <c r="H464" s="11" t="s">
        <v>812</v>
      </c>
      <c r="I464" s="11" t="s">
        <v>38</v>
      </c>
    </row>
    <row r="465" spans="1:9" ht="19.95" customHeight="1" x14ac:dyDescent="0.3">
      <c r="A465" s="23">
        <v>46230.570697395837</v>
      </c>
      <c r="B465" s="16" t="s">
        <v>853</v>
      </c>
      <c r="C465" s="14" t="s">
        <v>805</v>
      </c>
      <c r="D465" s="14" t="s">
        <v>888</v>
      </c>
      <c r="E465" s="14" t="s">
        <v>807</v>
      </c>
      <c r="F465" s="14" t="s">
        <v>811</v>
      </c>
      <c r="G465" s="14" t="s">
        <v>150</v>
      </c>
      <c r="H465" s="14" t="s">
        <v>812</v>
      </c>
      <c r="I465" s="14" t="s">
        <v>38</v>
      </c>
    </row>
    <row r="466" spans="1:9" ht="19.95" customHeight="1" x14ac:dyDescent="0.3">
      <c r="A466" s="21">
        <v>46230.563050115743</v>
      </c>
      <c r="B466" s="13" t="s">
        <v>853</v>
      </c>
      <c r="C466" s="11" t="s">
        <v>805</v>
      </c>
      <c r="D466" s="11" t="s">
        <v>889</v>
      </c>
      <c r="E466" s="11" t="s">
        <v>807</v>
      </c>
      <c r="F466" s="11" t="s">
        <v>811</v>
      </c>
      <c r="G466" s="11" t="s">
        <v>150</v>
      </c>
      <c r="H466" s="11" t="s">
        <v>812</v>
      </c>
      <c r="I466" s="11" t="s">
        <v>38</v>
      </c>
    </row>
    <row r="467" spans="1:9" ht="19.95" customHeight="1" x14ac:dyDescent="0.3">
      <c r="A467" s="23">
        <v>46230.555033495373</v>
      </c>
      <c r="B467" s="16" t="s">
        <v>853</v>
      </c>
      <c r="C467" s="14" t="s">
        <v>805</v>
      </c>
      <c r="D467" s="14" t="s">
        <v>890</v>
      </c>
      <c r="E467" s="14" t="s">
        <v>807</v>
      </c>
      <c r="F467" s="14" t="s">
        <v>811</v>
      </c>
      <c r="G467" s="14" t="s">
        <v>150</v>
      </c>
      <c r="H467" s="14" t="s">
        <v>812</v>
      </c>
      <c r="I467" s="14" t="s">
        <v>891</v>
      </c>
    </row>
    <row r="468" spans="1:9" ht="19.95" customHeight="1" x14ac:dyDescent="0.3">
      <c r="A468" s="21">
        <v>46226.533962719906</v>
      </c>
      <c r="B468" s="13" t="s">
        <v>853</v>
      </c>
      <c r="C468" s="11" t="s">
        <v>805</v>
      </c>
      <c r="D468" s="11" t="s">
        <v>892</v>
      </c>
      <c r="E468" s="11" t="s">
        <v>807</v>
      </c>
      <c r="F468" s="11" t="s">
        <v>811</v>
      </c>
      <c r="G468" s="11" t="s">
        <v>150</v>
      </c>
      <c r="H468" s="11" t="s">
        <v>812</v>
      </c>
      <c r="I468" s="11" t="s">
        <v>38</v>
      </c>
    </row>
    <row r="469" spans="1:9" ht="19.95" customHeight="1" x14ac:dyDescent="0.3">
      <c r="A469" s="23">
        <v>46223.758859895832</v>
      </c>
      <c r="B469" s="16" t="s">
        <v>853</v>
      </c>
      <c r="C469" s="14" t="s">
        <v>805</v>
      </c>
      <c r="D469" s="14" t="s">
        <v>893</v>
      </c>
      <c r="E469" s="14" t="s">
        <v>807</v>
      </c>
      <c r="F469" s="14" t="s">
        <v>811</v>
      </c>
      <c r="G469" s="14" t="s">
        <v>147</v>
      </c>
      <c r="H469" s="14" t="s">
        <v>812</v>
      </c>
      <c r="I469" s="14" t="s">
        <v>38</v>
      </c>
    </row>
    <row r="470" spans="1:9" ht="19.95" customHeight="1" x14ac:dyDescent="0.3">
      <c r="A470" s="21">
        <v>46223.742143124997</v>
      </c>
      <c r="B470" s="13" t="s">
        <v>853</v>
      </c>
      <c r="C470" s="11" t="s">
        <v>805</v>
      </c>
      <c r="D470" s="11" t="s">
        <v>894</v>
      </c>
      <c r="E470" s="11" t="s">
        <v>807</v>
      </c>
      <c r="F470" s="11" t="s">
        <v>811</v>
      </c>
      <c r="G470" s="11" t="s">
        <v>152</v>
      </c>
      <c r="H470" s="11" t="s">
        <v>812</v>
      </c>
      <c r="I470" s="11" t="s">
        <v>38</v>
      </c>
    </row>
    <row r="471" spans="1:9" ht="19.95" customHeight="1" x14ac:dyDescent="0.3">
      <c r="A471" s="23">
        <v>46223.741138819452</v>
      </c>
      <c r="B471" s="16" t="s">
        <v>853</v>
      </c>
      <c r="C471" s="14" t="s">
        <v>805</v>
      </c>
      <c r="D471" s="14" t="s">
        <v>895</v>
      </c>
      <c r="E471" s="14" t="s">
        <v>807</v>
      </c>
      <c r="F471" s="14" t="s">
        <v>811</v>
      </c>
      <c r="G471" s="14" t="s">
        <v>147</v>
      </c>
      <c r="H471" s="14" t="s">
        <v>812</v>
      </c>
      <c r="I471" s="14" t="s">
        <v>38</v>
      </c>
    </row>
    <row r="472" spans="1:9" ht="19.95" customHeight="1" x14ac:dyDescent="0.3">
      <c r="A472" s="21">
        <v>46223.739486759259</v>
      </c>
      <c r="B472" s="13" t="s">
        <v>853</v>
      </c>
      <c r="C472" s="11" t="s">
        <v>805</v>
      </c>
      <c r="D472" s="11" t="s">
        <v>896</v>
      </c>
      <c r="E472" s="11" t="s">
        <v>807</v>
      </c>
      <c r="F472" s="11" t="s">
        <v>811</v>
      </c>
      <c r="G472" s="11" t="s">
        <v>150</v>
      </c>
      <c r="H472" s="11" t="s">
        <v>812</v>
      </c>
      <c r="I472" s="11" t="s">
        <v>38</v>
      </c>
    </row>
    <row r="473" spans="1:9" ht="19.95" customHeight="1" x14ac:dyDescent="0.3">
      <c r="A473" s="23">
        <v>46223.723138344911</v>
      </c>
      <c r="B473" s="16" t="s">
        <v>853</v>
      </c>
      <c r="C473" s="14" t="s">
        <v>805</v>
      </c>
      <c r="D473" s="14" t="s">
        <v>897</v>
      </c>
      <c r="E473" s="14" t="s">
        <v>807</v>
      </c>
      <c r="F473" s="14" t="s">
        <v>811</v>
      </c>
      <c r="G473" s="14" t="s">
        <v>147</v>
      </c>
      <c r="H473" s="14" t="s">
        <v>812</v>
      </c>
      <c r="I473" s="14" t="s">
        <v>38</v>
      </c>
    </row>
    <row r="474" spans="1:9" ht="19.95" customHeight="1" x14ac:dyDescent="0.3">
      <c r="A474" s="21">
        <v>46223.713335567132</v>
      </c>
      <c r="B474" s="13" t="s">
        <v>853</v>
      </c>
      <c r="C474" s="11" t="s">
        <v>805</v>
      </c>
      <c r="D474" s="11" t="s">
        <v>898</v>
      </c>
      <c r="E474" s="11" t="s">
        <v>807</v>
      </c>
      <c r="F474" s="11" t="s">
        <v>811</v>
      </c>
      <c r="G474" s="11" t="s">
        <v>152</v>
      </c>
      <c r="H474" s="11" t="s">
        <v>812</v>
      </c>
      <c r="I474" s="11" t="s">
        <v>899</v>
      </c>
    </row>
    <row r="475" spans="1:9" ht="19.95" customHeight="1" x14ac:dyDescent="0.3">
      <c r="A475" s="23">
        <v>46223.707593541672</v>
      </c>
      <c r="B475" s="16" t="s">
        <v>853</v>
      </c>
      <c r="C475" s="14" t="s">
        <v>805</v>
      </c>
      <c r="D475" s="14" t="s">
        <v>900</v>
      </c>
      <c r="E475" s="14" t="s">
        <v>807</v>
      </c>
      <c r="F475" s="14" t="s">
        <v>811</v>
      </c>
      <c r="G475" s="14" t="s">
        <v>150</v>
      </c>
      <c r="H475" s="14" t="s">
        <v>812</v>
      </c>
      <c r="I475" s="14" t="s">
        <v>38</v>
      </c>
    </row>
    <row r="476" spans="1:9" ht="19.95" customHeight="1" x14ac:dyDescent="0.3">
      <c r="A476" s="21">
        <v>46223.637680671287</v>
      </c>
      <c r="B476" s="13" t="s">
        <v>853</v>
      </c>
      <c r="C476" s="11" t="s">
        <v>805</v>
      </c>
      <c r="D476" s="11" t="s">
        <v>901</v>
      </c>
      <c r="E476" s="11" t="s">
        <v>807</v>
      </c>
      <c r="F476" s="11" t="s">
        <v>811</v>
      </c>
      <c r="G476" s="11" t="s">
        <v>150</v>
      </c>
      <c r="H476" s="11" t="s">
        <v>812</v>
      </c>
      <c r="I476" s="11" t="s">
        <v>38</v>
      </c>
    </row>
    <row r="477" spans="1:9" ht="19.95" customHeight="1" x14ac:dyDescent="0.3">
      <c r="A477" s="23">
        <v>46223.552672662037</v>
      </c>
      <c r="B477" s="16" t="s">
        <v>853</v>
      </c>
      <c r="C477" s="14" t="s">
        <v>805</v>
      </c>
      <c r="D477" s="14" t="s">
        <v>902</v>
      </c>
      <c r="E477" s="14" t="s">
        <v>807</v>
      </c>
      <c r="F477" s="14" t="s">
        <v>811</v>
      </c>
      <c r="G477" s="14" t="s">
        <v>152</v>
      </c>
      <c r="H477" s="14" t="s">
        <v>812</v>
      </c>
      <c r="I477" s="14" t="s">
        <v>903</v>
      </c>
    </row>
    <row r="478" spans="1:9" ht="19.95" customHeight="1" x14ac:dyDescent="0.3">
      <c r="A478" s="21">
        <v>46223.539957581022</v>
      </c>
      <c r="B478" s="13" t="s">
        <v>853</v>
      </c>
      <c r="C478" s="11" t="s">
        <v>805</v>
      </c>
      <c r="D478" s="11" t="s">
        <v>904</v>
      </c>
      <c r="E478" s="11" t="s">
        <v>807</v>
      </c>
      <c r="F478" s="11" t="s">
        <v>811</v>
      </c>
      <c r="G478" s="11" t="s">
        <v>147</v>
      </c>
      <c r="H478" s="11" t="s">
        <v>812</v>
      </c>
      <c r="I478" s="11" t="s">
        <v>38</v>
      </c>
    </row>
    <row r="479" spans="1:9" ht="19.95" customHeight="1" x14ac:dyDescent="0.3">
      <c r="A479" s="23">
        <v>46223.518312881948</v>
      </c>
      <c r="B479" s="16" t="s">
        <v>853</v>
      </c>
      <c r="C479" s="14" t="s">
        <v>805</v>
      </c>
      <c r="D479" s="14" t="s">
        <v>905</v>
      </c>
      <c r="E479" s="14" t="s">
        <v>807</v>
      </c>
      <c r="F479" s="14" t="s">
        <v>811</v>
      </c>
      <c r="G479" s="14" t="s">
        <v>150</v>
      </c>
      <c r="H479" s="14" t="s">
        <v>812</v>
      </c>
      <c r="I479" s="14" t="s">
        <v>38</v>
      </c>
    </row>
    <row r="480" spans="1:9" ht="19.95" customHeight="1" x14ac:dyDescent="0.3">
      <c r="A480" s="21">
        <v>46220.742379594907</v>
      </c>
      <c r="B480" s="13" t="s">
        <v>853</v>
      </c>
      <c r="C480" s="11" t="s">
        <v>805</v>
      </c>
      <c r="D480" s="11" t="s">
        <v>906</v>
      </c>
      <c r="E480" s="11" t="s">
        <v>807</v>
      </c>
      <c r="F480" s="11" t="s">
        <v>811</v>
      </c>
      <c r="G480" s="11" t="s">
        <v>152</v>
      </c>
      <c r="H480" s="11" t="s">
        <v>812</v>
      </c>
      <c r="I480" s="11" t="s">
        <v>907</v>
      </c>
    </row>
    <row r="481" spans="1:9" ht="19.95" customHeight="1" x14ac:dyDescent="0.3">
      <c r="A481" s="23">
        <v>46220.713135983788</v>
      </c>
      <c r="B481" s="16" t="s">
        <v>853</v>
      </c>
      <c r="C481" s="14" t="s">
        <v>805</v>
      </c>
      <c r="D481" s="14" t="s">
        <v>908</v>
      </c>
      <c r="E481" s="14" t="s">
        <v>807</v>
      </c>
      <c r="F481" s="14" t="s">
        <v>811</v>
      </c>
      <c r="G481" s="14" t="s">
        <v>152</v>
      </c>
      <c r="H481" s="14" t="s">
        <v>812</v>
      </c>
      <c r="I481" s="14" t="s">
        <v>909</v>
      </c>
    </row>
  </sheetData>
  <autoFilter ref="A1:I48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6"/>
  <sheetViews>
    <sheetView workbookViewId="0">
      <pane ySplit="1" topLeftCell="A722" activePane="bottomLeft" state="frozen"/>
      <selection pane="bottomLeft"/>
    </sheetView>
  </sheetViews>
  <sheetFormatPr defaultRowHeight="14.4" x14ac:dyDescent="0.3"/>
  <cols>
    <col min="1" max="1" width="22" customWidth="1"/>
    <col min="2" max="2" width="25" customWidth="1"/>
    <col min="3" max="4" width="42" customWidth="1"/>
    <col min="5" max="5" width="23" customWidth="1"/>
    <col min="6" max="6" width="28" customWidth="1"/>
    <col min="7" max="7" width="33" customWidth="1"/>
    <col min="8" max="8" width="36" customWidth="1"/>
    <col min="9" max="9" width="65" customWidth="1"/>
  </cols>
  <sheetData>
    <row r="1" spans="1:9" ht="28.05" customHeight="1" x14ac:dyDescent="0.3">
      <c r="A1" s="20" t="s">
        <v>343</v>
      </c>
      <c r="B1" s="20" t="s">
        <v>344</v>
      </c>
      <c r="C1" s="20" t="s">
        <v>345</v>
      </c>
      <c r="D1" s="20" t="s">
        <v>346</v>
      </c>
      <c r="E1" s="20" t="s">
        <v>347</v>
      </c>
      <c r="F1" s="20" t="s">
        <v>348</v>
      </c>
      <c r="G1" s="20" t="s">
        <v>349</v>
      </c>
      <c r="H1" s="20" t="s">
        <v>350</v>
      </c>
      <c r="I1" s="20" t="s">
        <v>351</v>
      </c>
    </row>
    <row r="2" spans="1:9" ht="19.95" customHeight="1" x14ac:dyDescent="0.3">
      <c r="A2" s="21">
        <v>46293.75859085648</v>
      </c>
      <c r="B2" s="22" t="s">
        <v>352</v>
      </c>
      <c r="C2" s="11" t="s">
        <v>910</v>
      </c>
      <c r="D2" s="11" t="s">
        <v>911</v>
      </c>
      <c r="E2" s="11" t="s">
        <v>145</v>
      </c>
      <c r="F2" s="11" t="s">
        <v>355</v>
      </c>
      <c r="G2" s="11" t="s">
        <v>152</v>
      </c>
      <c r="H2" s="11" t="s">
        <v>355</v>
      </c>
      <c r="I2" s="11" t="s">
        <v>912</v>
      </c>
    </row>
    <row r="3" spans="1:9" ht="19.95" customHeight="1" x14ac:dyDescent="0.3">
      <c r="A3" s="23">
        <v>46293.672635277777</v>
      </c>
      <c r="B3" s="24" t="s">
        <v>352</v>
      </c>
      <c r="C3" s="14" t="s">
        <v>427</v>
      </c>
      <c r="D3" s="14" t="s">
        <v>913</v>
      </c>
      <c r="E3" s="14" t="s">
        <v>145</v>
      </c>
      <c r="F3" s="14" t="s">
        <v>355</v>
      </c>
      <c r="G3" s="14" t="s">
        <v>356</v>
      </c>
      <c r="H3" s="14" t="s">
        <v>357</v>
      </c>
      <c r="I3" s="14" t="s">
        <v>38</v>
      </c>
    </row>
    <row r="4" spans="1:9" ht="19.95" customHeight="1" x14ac:dyDescent="0.3">
      <c r="A4" s="21">
        <v>46293.649024317128</v>
      </c>
      <c r="B4" s="22" t="s">
        <v>352</v>
      </c>
      <c r="C4" s="11" t="s">
        <v>427</v>
      </c>
      <c r="D4" s="11" t="s">
        <v>914</v>
      </c>
      <c r="E4" s="11" t="s">
        <v>145</v>
      </c>
      <c r="F4" s="11" t="s">
        <v>355</v>
      </c>
      <c r="G4" s="11" t="s">
        <v>356</v>
      </c>
      <c r="H4" s="11" t="s">
        <v>357</v>
      </c>
      <c r="I4" s="11" t="s">
        <v>38</v>
      </c>
    </row>
    <row r="5" spans="1:9" ht="19.95" customHeight="1" x14ac:dyDescent="0.3">
      <c r="A5" s="23">
        <v>46293.575138402783</v>
      </c>
      <c r="B5" s="24" t="s">
        <v>352</v>
      </c>
      <c r="C5" s="14" t="s">
        <v>427</v>
      </c>
      <c r="D5" s="14" t="s">
        <v>915</v>
      </c>
      <c r="E5" s="14" t="s">
        <v>145</v>
      </c>
      <c r="F5" s="14" t="s">
        <v>355</v>
      </c>
      <c r="G5" s="14" t="s">
        <v>356</v>
      </c>
      <c r="H5" s="14" t="s">
        <v>357</v>
      </c>
      <c r="I5" s="14" t="s">
        <v>38</v>
      </c>
    </row>
    <row r="6" spans="1:9" ht="19.95" customHeight="1" x14ac:dyDescent="0.3">
      <c r="A6" s="21">
        <v>46293.556037129631</v>
      </c>
      <c r="B6" s="22" t="s">
        <v>352</v>
      </c>
      <c r="C6" s="11" t="s">
        <v>916</v>
      </c>
      <c r="D6" s="11" t="s">
        <v>917</v>
      </c>
      <c r="E6" s="11" t="s">
        <v>145</v>
      </c>
      <c r="F6" s="11" t="s">
        <v>380</v>
      </c>
      <c r="G6" s="11" t="s">
        <v>139</v>
      </c>
      <c r="H6" s="11" t="s">
        <v>381</v>
      </c>
      <c r="I6" s="11" t="s">
        <v>918</v>
      </c>
    </row>
    <row r="7" spans="1:9" ht="19.95" customHeight="1" x14ac:dyDescent="0.3">
      <c r="A7" s="23">
        <v>46293.515729432867</v>
      </c>
      <c r="B7" s="24" t="s">
        <v>352</v>
      </c>
      <c r="C7" s="14" t="s">
        <v>427</v>
      </c>
      <c r="D7" s="14" t="s">
        <v>919</v>
      </c>
      <c r="E7" s="14" t="s">
        <v>145</v>
      </c>
      <c r="F7" s="14" t="s">
        <v>355</v>
      </c>
      <c r="G7" s="14" t="s">
        <v>356</v>
      </c>
      <c r="H7" s="14" t="s">
        <v>357</v>
      </c>
      <c r="I7" s="14" t="s">
        <v>38</v>
      </c>
    </row>
    <row r="8" spans="1:9" ht="19.95" customHeight="1" x14ac:dyDescent="0.3">
      <c r="A8" s="21">
        <v>46293.510167962973</v>
      </c>
      <c r="B8" s="22" t="s">
        <v>352</v>
      </c>
      <c r="C8" s="11" t="s">
        <v>920</v>
      </c>
      <c r="D8" s="11" t="s">
        <v>921</v>
      </c>
      <c r="E8" s="11" t="s">
        <v>145</v>
      </c>
      <c r="F8" s="11" t="s">
        <v>355</v>
      </c>
      <c r="G8" s="11" t="s">
        <v>356</v>
      </c>
      <c r="H8" s="11" t="s">
        <v>357</v>
      </c>
      <c r="I8" s="11" t="s">
        <v>38</v>
      </c>
    </row>
    <row r="9" spans="1:9" ht="19.95" customHeight="1" x14ac:dyDescent="0.3">
      <c r="A9" s="23">
        <v>46293.456000937498</v>
      </c>
      <c r="B9" s="24" t="s">
        <v>352</v>
      </c>
      <c r="C9" s="14" t="s">
        <v>427</v>
      </c>
      <c r="D9" s="14" t="s">
        <v>922</v>
      </c>
      <c r="E9" s="14" t="s">
        <v>145</v>
      </c>
      <c r="F9" s="14" t="s">
        <v>380</v>
      </c>
      <c r="G9" s="14" t="s">
        <v>152</v>
      </c>
      <c r="H9" s="14" t="s">
        <v>381</v>
      </c>
      <c r="I9" s="14" t="s">
        <v>923</v>
      </c>
    </row>
    <row r="10" spans="1:9" ht="19.95" customHeight="1" x14ac:dyDescent="0.3">
      <c r="A10" s="21">
        <v>46293.453229872677</v>
      </c>
      <c r="B10" s="22" t="s">
        <v>352</v>
      </c>
      <c r="C10" s="11" t="s">
        <v>427</v>
      </c>
      <c r="D10" s="11" t="s">
        <v>924</v>
      </c>
      <c r="E10" s="11" t="s">
        <v>142</v>
      </c>
      <c r="F10" s="11" t="s">
        <v>355</v>
      </c>
      <c r="G10" s="11" t="s">
        <v>356</v>
      </c>
      <c r="H10" s="11" t="s">
        <v>357</v>
      </c>
      <c r="I10" s="11" t="s">
        <v>38</v>
      </c>
    </row>
    <row r="11" spans="1:9" ht="19.95" customHeight="1" x14ac:dyDescent="0.3">
      <c r="A11" s="23">
        <v>46293.437943680547</v>
      </c>
      <c r="B11" s="24" t="s">
        <v>352</v>
      </c>
      <c r="C11" s="14" t="s">
        <v>419</v>
      </c>
      <c r="D11" s="14" t="s">
        <v>925</v>
      </c>
      <c r="E11" s="14" t="s">
        <v>145</v>
      </c>
      <c r="F11" s="14" t="s">
        <v>355</v>
      </c>
      <c r="G11" s="14" t="s">
        <v>356</v>
      </c>
      <c r="H11" s="14" t="s">
        <v>357</v>
      </c>
      <c r="I11" s="14" t="s">
        <v>38</v>
      </c>
    </row>
    <row r="12" spans="1:9" ht="19.95" customHeight="1" x14ac:dyDescent="0.3">
      <c r="A12" s="21">
        <v>46293.396272847232</v>
      </c>
      <c r="B12" s="22" t="s">
        <v>352</v>
      </c>
      <c r="C12" s="11" t="s">
        <v>419</v>
      </c>
      <c r="D12" s="11" t="s">
        <v>926</v>
      </c>
      <c r="E12" s="11" t="s">
        <v>145</v>
      </c>
      <c r="F12" s="11" t="s">
        <v>355</v>
      </c>
      <c r="G12" s="11" t="s">
        <v>356</v>
      </c>
      <c r="H12" s="11" t="s">
        <v>357</v>
      </c>
      <c r="I12" s="11" t="s">
        <v>38</v>
      </c>
    </row>
    <row r="13" spans="1:9" ht="19.95" customHeight="1" x14ac:dyDescent="0.3">
      <c r="A13" s="23">
        <v>46293.338626111108</v>
      </c>
      <c r="B13" s="24" t="s">
        <v>352</v>
      </c>
      <c r="C13" s="14" t="s">
        <v>427</v>
      </c>
      <c r="D13" s="14" t="s">
        <v>927</v>
      </c>
      <c r="E13" s="14" t="s">
        <v>142</v>
      </c>
      <c r="F13" s="14" t="s">
        <v>355</v>
      </c>
      <c r="G13" s="14" t="s">
        <v>356</v>
      </c>
      <c r="H13" s="14" t="s">
        <v>357</v>
      </c>
      <c r="I13" s="14" t="s">
        <v>38</v>
      </c>
    </row>
    <row r="14" spans="1:9" ht="19.95" customHeight="1" x14ac:dyDescent="0.3">
      <c r="A14" s="21">
        <v>46292.900364629633</v>
      </c>
      <c r="B14" s="26" t="s">
        <v>363</v>
      </c>
      <c r="C14" s="11" t="s">
        <v>427</v>
      </c>
      <c r="D14" s="11" t="s">
        <v>928</v>
      </c>
      <c r="E14" s="11" t="s">
        <v>142</v>
      </c>
      <c r="F14" s="11" t="s">
        <v>355</v>
      </c>
      <c r="G14" s="11" t="s">
        <v>356</v>
      </c>
      <c r="H14" s="11" t="s">
        <v>357</v>
      </c>
      <c r="I14" s="11" t="s">
        <v>38</v>
      </c>
    </row>
    <row r="15" spans="1:9" ht="19.95" customHeight="1" x14ac:dyDescent="0.3">
      <c r="A15" s="23">
        <v>46292.787170023148</v>
      </c>
      <c r="B15" s="25" t="s">
        <v>363</v>
      </c>
      <c r="C15" s="14" t="s">
        <v>434</v>
      </c>
      <c r="D15" s="14" t="s">
        <v>929</v>
      </c>
      <c r="E15" s="14" t="s">
        <v>361</v>
      </c>
      <c r="F15" s="14" t="s">
        <v>355</v>
      </c>
      <c r="G15" s="14" t="s">
        <v>356</v>
      </c>
      <c r="H15" s="14" t="s">
        <v>357</v>
      </c>
      <c r="I15" s="14" t="s">
        <v>38</v>
      </c>
    </row>
    <row r="16" spans="1:9" ht="19.95" customHeight="1" x14ac:dyDescent="0.3">
      <c r="A16" s="21">
        <v>46292.780893240742</v>
      </c>
      <c r="B16" s="26" t="s">
        <v>363</v>
      </c>
      <c r="C16" s="11" t="s">
        <v>427</v>
      </c>
      <c r="D16" s="11" t="s">
        <v>367</v>
      </c>
      <c r="E16" s="11" t="s">
        <v>145</v>
      </c>
      <c r="F16" s="11" t="s">
        <v>355</v>
      </c>
      <c r="G16" s="11" t="s">
        <v>356</v>
      </c>
      <c r="H16" s="11" t="s">
        <v>357</v>
      </c>
      <c r="I16" s="11" t="s">
        <v>38</v>
      </c>
    </row>
    <row r="17" spans="1:9" ht="19.95" customHeight="1" x14ac:dyDescent="0.3">
      <c r="A17" s="23">
        <v>46292.725332592592</v>
      </c>
      <c r="B17" s="25" t="s">
        <v>363</v>
      </c>
      <c r="C17" s="14" t="s">
        <v>427</v>
      </c>
      <c r="D17" s="14" t="s">
        <v>930</v>
      </c>
      <c r="E17" s="14" t="s">
        <v>145</v>
      </c>
      <c r="F17" s="14" t="s">
        <v>355</v>
      </c>
      <c r="G17" s="14" t="s">
        <v>356</v>
      </c>
      <c r="H17" s="14" t="s">
        <v>357</v>
      </c>
      <c r="I17" s="14" t="s">
        <v>38</v>
      </c>
    </row>
    <row r="18" spans="1:9" ht="19.95" customHeight="1" x14ac:dyDescent="0.3">
      <c r="A18" s="21">
        <v>46292.710780150461</v>
      </c>
      <c r="B18" s="26" t="s">
        <v>363</v>
      </c>
      <c r="C18" s="11" t="s">
        <v>353</v>
      </c>
      <c r="D18" s="11" t="s">
        <v>931</v>
      </c>
      <c r="E18" s="11" t="s">
        <v>145</v>
      </c>
      <c r="F18" s="11" t="s">
        <v>380</v>
      </c>
      <c r="G18" s="11" t="s">
        <v>147</v>
      </c>
      <c r="H18" s="11" t="s">
        <v>381</v>
      </c>
      <c r="I18" s="11" t="s">
        <v>932</v>
      </c>
    </row>
    <row r="19" spans="1:9" ht="19.95" customHeight="1" x14ac:dyDescent="0.3">
      <c r="A19" s="23">
        <v>46292.710707384264</v>
      </c>
      <c r="B19" s="25" t="s">
        <v>363</v>
      </c>
      <c r="C19" s="14" t="s">
        <v>359</v>
      </c>
      <c r="D19" s="14" t="s">
        <v>931</v>
      </c>
      <c r="E19" s="14" t="s">
        <v>145</v>
      </c>
      <c r="F19" s="14" t="s">
        <v>355</v>
      </c>
      <c r="G19" s="14" t="s">
        <v>356</v>
      </c>
      <c r="H19" s="14" t="s">
        <v>357</v>
      </c>
      <c r="I19" s="14" t="s">
        <v>933</v>
      </c>
    </row>
    <row r="20" spans="1:9" ht="19.95" customHeight="1" x14ac:dyDescent="0.3">
      <c r="A20" s="21">
        <v>46292.701719421297</v>
      </c>
      <c r="B20" s="26" t="s">
        <v>363</v>
      </c>
      <c r="C20" s="11" t="s">
        <v>419</v>
      </c>
      <c r="D20" s="11" t="s">
        <v>934</v>
      </c>
      <c r="E20" s="11" t="s">
        <v>361</v>
      </c>
      <c r="F20" s="11" t="s">
        <v>355</v>
      </c>
      <c r="G20" s="11" t="s">
        <v>356</v>
      </c>
      <c r="H20" s="11" t="s">
        <v>357</v>
      </c>
      <c r="I20" s="11" t="s">
        <v>38</v>
      </c>
    </row>
    <row r="21" spans="1:9" ht="19.95" customHeight="1" x14ac:dyDescent="0.3">
      <c r="A21" s="23">
        <v>46292.700332719913</v>
      </c>
      <c r="B21" s="25" t="s">
        <v>363</v>
      </c>
      <c r="C21" s="14" t="s">
        <v>427</v>
      </c>
      <c r="D21" s="14" t="s">
        <v>935</v>
      </c>
      <c r="E21" s="14" t="s">
        <v>145</v>
      </c>
      <c r="F21" s="14" t="s">
        <v>355</v>
      </c>
      <c r="G21" s="14" t="s">
        <v>356</v>
      </c>
      <c r="H21" s="14" t="s">
        <v>357</v>
      </c>
      <c r="I21" s="14" t="s">
        <v>38</v>
      </c>
    </row>
    <row r="22" spans="1:9" ht="19.95" customHeight="1" x14ac:dyDescent="0.3">
      <c r="A22" s="21">
        <v>46292.67644693287</v>
      </c>
      <c r="B22" s="26" t="s">
        <v>363</v>
      </c>
      <c r="C22" s="11" t="s">
        <v>910</v>
      </c>
      <c r="D22" s="11" t="s">
        <v>936</v>
      </c>
      <c r="E22" s="11" t="s">
        <v>145</v>
      </c>
      <c r="F22" s="11" t="s">
        <v>424</v>
      </c>
      <c r="G22" s="11" t="s">
        <v>147</v>
      </c>
      <c r="H22" s="11" t="s">
        <v>247</v>
      </c>
      <c r="I22" s="11" t="s">
        <v>937</v>
      </c>
    </row>
    <row r="23" spans="1:9" ht="19.95" customHeight="1" x14ac:dyDescent="0.3">
      <c r="A23" s="23">
        <v>46292.641997395833</v>
      </c>
      <c r="B23" s="25" t="s">
        <v>363</v>
      </c>
      <c r="C23" s="14" t="s">
        <v>427</v>
      </c>
      <c r="D23" s="14" t="s">
        <v>938</v>
      </c>
      <c r="E23" s="14" t="s">
        <v>145</v>
      </c>
      <c r="F23" s="14" t="s">
        <v>355</v>
      </c>
      <c r="G23" s="14" t="s">
        <v>356</v>
      </c>
      <c r="H23" s="14" t="s">
        <v>357</v>
      </c>
      <c r="I23" s="14" t="s">
        <v>38</v>
      </c>
    </row>
    <row r="24" spans="1:9" ht="19.95" customHeight="1" x14ac:dyDescent="0.3">
      <c r="A24" s="21">
        <v>46292.582271342602</v>
      </c>
      <c r="B24" s="26" t="s">
        <v>363</v>
      </c>
      <c r="C24" s="11" t="s">
        <v>427</v>
      </c>
      <c r="D24" s="11" t="s">
        <v>939</v>
      </c>
      <c r="E24" s="11" t="s">
        <v>145</v>
      </c>
      <c r="F24" s="11" t="s">
        <v>355</v>
      </c>
      <c r="G24" s="11" t="s">
        <v>356</v>
      </c>
      <c r="H24" s="11" t="s">
        <v>357</v>
      </c>
      <c r="I24" s="11" t="s">
        <v>38</v>
      </c>
    </row>
    <row r="25" spans="1:9" ht="19.95" customHeight="1" x14ac:dyDescent="0.3">
      <c r="A25" s="23">
        <v>46292.578796215283</v>
      </c>
      <c r="B25" s="25" t="s">
        <v>363</v>
      </c>
      <c r="C25" s="14" t="s">
        <v>427</v>
      </c>
      <c r="D25" s="14" t="s">
        <v>940</v>
      </c>
      <c r="E25" s="14" t="s">
        <v>142</v>
      </c>
      <c r="F25" s="14" t="s">
        <v>355</v>
      </c>
      <c r="G25" s="14" t="s">
        <v>356</v>
      </c>
      <c r="H25" s="14" t="s">
        <v>357</v>
      </c>
      <c r="I25" s="14" t="s">
        <v>38</v>
      </c>
    </row>
    <row r="26" spans="1:9" ht="19.95" customHeight="1" x14ac:dyDescent="0.3">
      <c r="A26" s="21">
        <v>46292.565600439812</v>
      </c>
      <c r="B26" s="26" t="s">
        <v>363</v>
      </c>
      <c r="C26" s="11" t="s">
        <v>419</v>
      </c>
      <c r="D26" s="11" t="s">
        <v>941</v>
      </c>
      <c r="E26" s="11" t="s">
        <v>145</v>
      </c>
      <c r="F26" s="11" t="s">
        <v>355</v>
      </c>
      <c r="G26" s="11" t="s">
        <v>356</v>
      </c>
      <c r="H26" s="11" t="s">
        <v>357</v>
      </c>
      <c r="I26" s="11" t="s">
        <v>38</v>
      </c>
    </row>
    <row r="27" spans="1:9" ht="19.95" customHeight="1" x14ac:dyDescent="0.3">
      <c r="A27" s="23">
        <v>46292.519765150457</v>
      </c>
      <c r="B27" s="25" t="s">
        <v>363</v>
      </c>
      <c r="C27" s="14" t="s">
        <v>920</v>
      </c>
      <c r="D27" s="14" t="s">
        <v>942</v>
      </c>
      <c r="E27" s="14" t="s">
        <v>145</v>
      </c>
      <c r="F27" s="14" t="s">
        <v>355</v>
      </c>
      <c r="G27" s="14" t="s">
        <v>356</v>
      </c>
      <c r="H27" s="14" t="s">
        <v>357</v>
      </c>
      <c r="I27" s="14" t="s">
        <v>38</v>
      </c>
    </row>
    <row r="28" spans="1:9" ht="19.95" customHeight="1" x14ac:dyDescent="0.3">
      <c r="A28" s="21">
        <v>46292.519070949071</v>
      </c>
      <c r="B28" s="26" t="s">
        <v>363</v>
      </c>
      <c r="C28" s="11" t="s">
        <v>943</v>
      </c>
      <c r="D28" s="11" t="s">
        <v>944</v>
      </c>
      <c r="E28" s="11" t="s">
        <v>145</v>
      </c>
      <c r="F28" s="11" t="s">
        <v>355</v>
      </c>
      <c r="G28" s="11" t="s">
        <v>356</v>
      </c>
      <c r="H28" s="11" t="s">
        <v>357</v>
      </c>
      <c r="I28" s="11" t="s">
        <v>38</v>
      </c>
    </row>
    <row r="29" spans="1:9" ht="19.95" customHeight="1" x14ac:dyDescent="0.3">
      <c r="A29" s="23">
        <v>46292.464931631941</v>
      </c>
      <c r="B29" s="25" t="s">
        <v>363</v>
      </c>
      <c r="C29" s="14" t="s">
        <v>945</v>
      </c>
      <c r="D29" s="14" t="s">
        <v>946</v>
      </c>
      <c r="E29" s="14" t="s">
        <v>145</v>
      </c>
      <c r="F29" s="14" t="s">
        <v>424</v>
      </c>
      <c r="G29" s="14" t="s">
        <v>139</v>
      </c>
      <c r="H29" s="14" t="s">
        <v>242</v>
      </c>
      <c r="I29" s="14" t="s">
        <v>947</v>
      </c>
    </row>
    <row r="30" spans="1:9" ht="19.95" customHeight="1" x14ac:dyDescent="0.3">
      <c r="A30" s="21">
        <v>46292.429480891202</v>
      </c>
      <c r="B30" s="26" t="s">
        <v>363</v>
      </c>
      <c r="C30" s="11" t="s">
        <v>419</v>
      </c>
      <c r="D30" s="11" t="s">
        <v>948</v>
      </c>
      <c r="E30" s="11" t="s">
        <v>145</v>
      </c>
      <c r="F30" s="11" t="s">
        <v>355</v>
      </c>
      <c r="G30" s="11" t="s">
        <v>356</v>
      </c>
      <c r="H30" s="11" t="s">
        <v>357</v>
      </c>
      <c r="I30" s="11" t="s">
        <v>38</v>
      </c>
    </row>
    <row r="31" spans="1:9" ht="19.95" customHeight="1" x14ac:dyDescent="0.3">
      <c r="A31" s="23">
        <v>46292.400348634263</v>
      </c>
      <c r="B31" s="25" t="s">
        <v>363</v>
      </c>
      <c r="C31" s="14" t="s">
        <v>353</v>
      </c>
      <c r="D31" s="14" t="s">
        <v>949</v>
      </c>
      <c r="E31" s="14" t="s">
        <v>142</v>
      </c>
      <c r="F31" s="14" t="s">
        <v>355</v>
      </c>
      <c r="G31" s="14" t="s">
        <v>356</v>
      </c>
      <c r="H31" s="14" t="s">
        <v>357</v>
      </c>
      <c r="I31" s="14" t="s">
        <v>950</v>
      </c>
    </row>
    <row r="32" spans="1:9" ht="19.95" customHeight="1" x14ac:dyDescent="0.3">
      <c r="A32" s="21">
        <v>46292.399875381947</v>
      </c>
      <c r="B32" s="26" t="s">
        <v>363</v>
      </c>
      <c r="C32" s="11" t="s">
        <v>359</v>
      </c>
      <c r="D32" s="11" t="s">
        <v>949</v>
      </c>
      <c r="E32" s="11" t="s">
        <v>145</v>
      </c>
      <c r="F32" s="11" t="s">
        <v>380</v>
      </c>
      <c r="G32" s="11" t="s">
        <v>147</v>
      </c>
      <c r="H32" s="11" t="s">
        <v>381</v>
      </c>
      <c r="I32" s="11" t="s">
        <v>951</v>
      </c>
    </row>
    <row r="33" spans="1:9" ht="19.95" customHeight="1" x14ac:dyDescent="0.3">
      <c r="A33" s="23">
        <v>46292.359367187499</v>
      </c>
      <c r="B33" s="25" t="s">
        <v>363</v>
      </c>
      <c r="C33" s="14" t="s">
        <v>353</v>
      </c>
      <c r="D33" s="14" t="s">
        <v>952</v>
      </c>
      <c r="E33" s="14" t="s">
        <v>145</v>
      </c>
      <c r="F33" s="14" t="s">
        <v>355</v>
      </c>
      <c r="G33" s="14" t="s">
        <v>356</v>
      </c>
      <c r="H33" s="14" t="s">
        <v>357</v>
      </c>
      <c r="I33" s="14" t="s">
        <v>38</v>
      </c>
    </row>
    <row r="34" spans="1:9" ht="19.95" customHeight="1" x14ac:dyDescent="0.3">
      <c r="A34" s="21">
        <v>46292.359073298612</v>
      </c>
      <c r="B34" s="26" t="s">
        <v>363</v>
      </c>
      <c r="C34" s="11" t="s">
        <v>359</v>
      </c>
      <c r="D34" s="11" t="s">
        <v>952</v>
      </c>
      <c r="E34" s="11" t="s">
        <v>361</v>
      </c>
      <c r="F34" s="11" t="s">
        <v>355</v>
      </c>
      <c r="G34" s="11" t="s">
        <v>356</v>
      </c>
      <c r="H34" s="11" t="s">
        <v>357</v>
      </c>
      <c r="I34" s="11" t="s">
        <v>38</v>
      </c>
    </row>
    <row r="35" spans="1:9" ht="19.95" customHeight="1" x14ac:dyDescent="0.3">
      <c r="A35" s="23">
        <v>46292.001631342588</v>
      </c>
      <c r="B35" s="25" t="s">
        <v>363</v>
      </c>
      <c r="C35" s="14" t="s">
        <v>427</v>
      </c>
      <c r="D35" s="14" t="s">
        <v>953</v>
      </c>
      <c r="E35" s="14" t="s">
        <v>145</v>
      </c>
      <c r="F35" s="14" t="s">
        <v>355</v>
      </c>
      <c r="G35" s="14" t="s">
        <v>356</v>
      </c>
      <c r="H35" s="14" t="s">
        <v>357</v>
      </c>
      <c r="I35" s="14" t="s">
        <v>38</v>
      </c>
    </row>
    <row r="36" spans="1:9" ht="19.95" customHeight="1" x14ac:dyDescent="0.3">
      <c r="A36" s="21">
        <v>46291.975235729173</v>
      </c>
      <c r="B36" s="26" t="s">
        <v>363</v>
      </c>
      <c r="C36" s="11" t="s">
        <v>427</v>
      </c>
      <c r="D36" s="11" t="s">
        <v>954</v>
      </c>
      <c r="E36" s="11" t="s">
        <v>142</v>
      </c>
      <c r="F36" s="11" t="s">
        <v>355</v>
      </c>
      <c r="G36" s="11" t="s">
        <v>356</v>
      </c>
      <c r="H36" s="11" t="s">
        <v>357</v>
      </c>
      <c r="I36" s="11" t="s">
        <v>38</v>
      </c>
    </row>
    <row r="37" spans="1:9" ht="19.95" customHeight="1" x14ac:dyDescent="0.3">
      <c r="A37" s="23">
        <v>46291.878693217594</v>
      </c>
      <c r="B37" s="25" t="s">
        <v>363</v>
      </c>
      <c r="C37" s="14" t="s">
        <v>427</v>
      </c>
      <c r="D37" s="14" t="s">
        <v>955</v>
      </c>
      <c r="E37" s="14" t="s">
        <v>361</v>
      </c>
      <c r="F37" s="14" t="s">
        <v>355</v>
      </c>
      <c r="G37" s="14" t="s">
        <v>356</v>
      </c>
      <c r="H37" s="14" t="s">
        <v>357</v>
      </c>
      <c r="I37" s="14" t="s">
        <v>38</v>
      </c>
    </row>
    <row r="38" spans="1:9" ht="19.95" customHeight="1" x14ac:dyDescent="0.3">
      <c r="A38" s="21">
        <v>46291.87244097222</v>
      </c>
      <c r="B38" s="26" t="s">
        <v>363</v>
      </c>
      <c r="C38" s="11" t="s">
        <v>943</v>
      </c>
      <c r="D38" s="11" t="s">
        <v>956</v>
      </c>
      <c r="E38" s="11" t="s">
        <v>145</v>
      </c>
      <c r="F38" s="11" t="s">
        <v>355</v>
      </c>
      <c r="G38" s="11" t="s">
        <v>356</v>
      </c>
      <c r="H38" s="11" t="s">
        <v>357</v>
      </c>
      <c r="I38" s="11" t="s">
        <v>38</v>
      </c>
    </row>
    <row r="39" spans="1:9" ht="19.95" customHeight="1" x14ac:dyDescent="0.3">
      <c r="A39" s="23">
        <v>46291.85160559028</v>
      </c>
      <c r="B39" s="25" t="s">
        <v>363</v>
      </c>
      <c r="C39" s="14" t="s">
        <v>427</v>
      </c>
      <c r="D39" s="14" t="s">
        <v>957</v>
      </c>
      <c r="E39" s="14" t="s">
        <v>145</v>
      </c>
      <c r="F39" s="14" t="s">
        <v>355</v>
      </c>
      <c r="G39" s="14" t="s">
        <v>356</v>
      </c>
      <c r="H39" s="14" t="s">
        <v>357</v>
      </c>
      <c r="I39" s="14" t="s">
        <v>38</v>
      </c>
    </row>
    <row r="40" spans="1:9" ht="19.95" customHeight="1" x14ac:dyDescent="0.3">
      <c r="A40" s="21">
        <v>46291.72173016204</v>
      </c>
      <c r="B40" s="26" t="s">
        <v>363</v>
      </c>
      <c r="C40" s="11" t="s">
        <v>419</v>
      </c>
      <c r="D40" s="11" t="s">
        <v>958</v>
      </c>
      <c r="E40" s="11" t="s">
        <v>142</v>
      </c>
      <c r="F40" s="11" t="s">
        <v>355</v>
      </c>
      <c r="G40" s="11" t="s">
        <v>356</v>
      </c>
      <c r="H40" s="11" t="s">
        <v>357</v>
      </c>
      <c r="I40" s="11" t="s">
        <v>959</v>
      </c>
    </row>
    <row r="41" spans="1:9" ht="19.95" customHeight="1" x14ac:dyDescent="0.3">
      <c r="A41" s="23">
        <v>46291.719646585647</v>
      </c>
      <c r="B41" s="25" t="s">
        <v>363</v>
      </c>
      <c r="C41" s="14" t="s">
        <v>419</v>
      </c>
      <c r="D41" s="14" t="s">
        <v>960</v>
      </c>
      <c r="E41" s="14" t="s">
        <v>145</v>
      </c>
      <c r="F41" s="14" t="s">
        <v>355</v>
      </c>
      <c r="G41" s="14" t="s">
        <v>356</v>
      </c>
      <c r="H41" s="14" t="s">
        <v>357</v>
      </c>
      <c r="I41" s="14" t="s">
        <v>38</v>
      </c>
    </row>
    <row r="42" spans="1:9" ht="19.95" customHeight="1" x14ac:dyDescent="0.3">
      <c r="A42" s="21">
        <v>46291.716887916657</v>
      </c>
      <c r="B42" s="26" t="s">
        <v>363</v>
      </c>
      <c r="C42" s="11" t="s">
        <v>484</v>
      </c>
      <c r="D42" s="11" t="s">
        <v>961</v>
      </c>
      <c r="E42" s="11" t="s">
        <v>361</v>
      </c>
      <c r="F42" s="11" t="s">
        <v>355</v>
      </c>
      <c r="G42" s="11" t="s">
        <v>356</v>
      </c>
      <c r="H42" s="11" t="s">
        <v>357</v>
      </c>
      <c r="I42" s="11" t="s">
        <v>38</v>
      </c>
    </row>
    <row r="43" spans="1:9" ht="19.95" customHeight="1" x14ac:dyDescent="0.3">
      <c r="A43" s="23">
        <v>46291.714094791663</v>
      </c>
      <c r="B43" s="25" t="s">
        <v>363</v>
      </c>
      <c r="C43" s="14" t="s">
        <v>427</v>
      </c>
      <c r="D43" s="14" t="s">
        <v>962</v>
      </c>
      <c r="E43" s="14" t="s">
        <v>145</v>
      </c>
      <c r="F43" s="14" t="s">
        <v>355</v>
      </c>
      <c r="G43" s="14" t="s">
        <v>356</v>
      </c>
      <c r="H43" s="14" t="s">
        <v>357</v>
      </c>
      <c r="I43" s="14" t="s">
        <v>963</v>
      </c>
    </row>
    <row r="44" spans="1:9" ht="19.95" customHeight="1" x14ac:dyDescent="0.3">
      <c r="A44" s="21">
        <v>46291.590508275462</v>
      </c>
      <c r="B44" s="26" t="s">
        <v>363</v>
      </c>
      <c r="C44" s="11" t="s">
        <v>462</v>
      </c>
      <c r="D44" s="11" t="s">
        <v>964</v>
      </c>
      <c r="E44" s="11" t="s">
        <v>145</v>
      </c>
      <c r="F44" s="11" t="s">
        <v>355</v>
      </c>
      <c r="G44" s="11" t="s">
        <v>356</v>
      </c>
      <c r="H44" s="11" t="s">
        <v>357</v>
      </c>
      <c r="I44" s="11" t="s">
        <v>38</v>
      </c>
    </row>
    <row r="45" spans="1:9" ht="19.95" customHeight="1" x14ac:dyDescent="0.3">
      <c r="A45" s="23">
        <v>46291.585614247677</v>
      </c>
      <c r="B45" s="25" t="s">
        <v>363</v>
      </c>
      <c r="C45" s="14" t="s">
        <v>419</v>
      </c>
      <c r="D45" s="14" t="s">
        <v>965</v>
      </c>
      <c r="E45" s="14" t="s">
        <v>145</v>
      </c>
      <c r="F45" s="14" t="s">
        <v>355</v>
      </c>
      <c r="G45" s="14" t="s">
        <v>356</v>
      </c>
      <c r="H45" s="14" t="s">
        <v>357</v>
      </c>
      <c r="I45" s="14" t="s">
        <v>966</v>
      </c>
    </row>
    <row r="46" spans="1:9" ht="19.95" customHeight="1" x14ac:dyDescent="0.3">
      <c r="A46" s="21">
        <v>46291.519684189807</v>
      </c>
      <c r="B46" s="26" t="s">
        <v>363</v>
      </c>
      <c r="C46" s="11" t="s">
        <v>353</v>
      </c>
      <c r="D46" s="11" t="s">
        <v>967</v>
      </c>
      <c r="E46" s="11" t="s">
        <v>142</v>
      </c>
      <c r="F46" s="11" t="s">
        <v>424</v>
      </c>
      <c r="G46" s="11" t="s">
        <v>147</v>
      </c>
      <c r="H46" s="11" t="s">
        <v>247</v>
      </c>
      <c r="I46" s="11" t="s">
        <v>968</v>
      </c>
    </row>
    <row r="47" spans="1:9" ht="19.95" customHeight="1" x14ac:dyDescent="0.3">
      <c r="A47" s="23">
        <v>46291.519097303237</v>
      </c>
      <c r="B47" s="25" t="s">
        <v>363</v>
      </c>
      <c r="C47" s="14" t="s">
        <v>359</v>
      </c>
      <c r="D47" s="14" t="s">
        <v>967</v>
      </c>
      <c r="E47" s="14" t="s">
        <v>145</v>
      </c>
      <c r="F47" s="14" t="s">
        <v>355</v>
      </c>
      <c r="G47" s="14" t="s">
        <v>356</v>
      </c>
      <c r="H47" s="14" t="s">
        <v>357</v>
      </c>
      <c r="I47" s="14" t="s">
        <v>969</v>
      </c>
    </row>
    <row r="48" spans="1:9" ht="19.95" customHeight="1" x14ac:dyDescent="0.3">
      <c r="A48" s="21">
        <v>46291.510617060187</v>
      </c>
      <c r="B48" s="26" t="s">
        <v>363</v>
      </c>
      <c r="C48" s="11" t="s">
        <v>427</v>
      </c>
      <c r="D48" s="11" t="s">
        <v>970</v>
      </c>
      <c r="E48" s="11" t="s">
        <v>145</v>
      </c>
      <c r="F48" s="11" t="s">
        <v>355</v>
      </c>
      <c r="G48" s="11" t="s">
        <v>356</v>
      </c>
      <c r="H48" s="11" t="s">
        <v>357</v>
      </c>
      <c r="I48" s="11" t="s">
        <v>38</v>
      </c>
    </row>
    <row r="49" spans="1:9" ht="19.95" customHeight="1" x14ac:dyDescent="0.3">
      <c r="A49" s="23">
        <v>46291.45783900463</v>
      </c>
      <c r="B49" s="25" t="s">
        <v>363</v>
      </c>
      <c r="C49" s="14" t="s">
        <v>427</v>
      </c>
      <c r="D49" s="14" t="s">
        <v>971</v>
      </c>
      <c r="E49" s="14" t="s">
        <v>145</v>
      </c>
      <c r="F49" s="14" t="s">
        <v>355</v>
      </c>
      <c r="G49" s="14" t="s">
        <v>356</v>
      </c>
      <c r="H49" s="14" t="s">
        <v>357</v>
      </c>
      <c r="I49" s="14" t="s">
        <v>38</v>
      </c>
    </row>
    <row r="50" spans="1:9" ht="19.95" customHeight="1" x14ac:dyDescent="0.3">
      <c r="A50" s="21">
        <v>46291.457834733803</v>
      </c>
      <c r="B50" s="26" t="s">
        <v>363</v>
      </c>
      <c r="C50" s="11" t="s">
        <v>427</v>
      </c>
      <c r="D50" s="11" t="s">
        <v>972</v>
      </c>
      <c r="E50" s="11" t="s">
        <v>145</v>
      </c>
      <c r="F50" s="11" t="s">
        <v>355</v>
      </c>
      <c r="G50" s="11" t="s">
        <v>356</v>
      </c>
      <c r="H50" s="11" t="s">
        <v>357</v>
      </c>
      <c r="I50" s="11" t="s">
        <v>38</v>
      </c>
    </row>
    <row r="51" spans="1:9" ht="19.95" customHeight="1" x14ac:dyDescent="0.3">
      <c r="A51" s="23">
        <v>46291.41338810185</v>
      </c>
      <c r="B51" s="25" t="s">
        <v>363</v>
      </c>
      <c r="C51" s="14" t="s">
        <v>427</v>
      </c>
      <c r="D51" s="14" t="s">
        <v>973</v>
      </c>
      <c r="E51" s="14" t="s">
        <v>145</v>
      </c>
      <c r="F51" s="14" t="s">
        <v>355</v>
      </c>
      <c r="G51" s="14" t="s">
        <v>356</v>
      </c>
      <c r="H51" s="14" t="s">
        <v>357</v>
      </c>
      <c r="I51" s="14" t="s">
        <v>38</v>
      </c>
    </row>
    <row r="52" spans="1:9" ht="19.95" customHeight="1" x14ac:dyDescent="0.3">
      <c r="A52" s="21">
        <v>46291.39462994213</v>
      </c>
      <c r="B52" s="26" t="s">
        <v>363</v>
      </c>
      <c r="C52" s="11" t="s">
        <v>427</v>
      </c>
      <c r="D52" s="11" t="s">
        <v>974</v>
      </c>
      <c r="E52" s="11" t="s">
        <v>145</v>
      </c>
      <c r="F52" s="11" t="s">
        <v>355</v>
      </c>
      <c r="G52" s="11" t="s">
        <v>356</v>
      </c>
      <c r="H52" s="11" t="s">
        <v>357</v>
      </c>
      <c r="I52" s="11" t="s">
        <v>38</v>
      </c>
    </row>
    <row r="53" spans="1:9" ht="19.95" customHeight="1" x14ac:dyDescent="0.3">
      <c r="A53" s="23">
        <v>46291.348096377318</v>
      </c>
      <c r="B53" s="25" t="s">
        <v>363</v>
      </c>
      <c r="C53" s="14" t="s">
        <v>427</v>
      </c>
      <c r="D53" s="14" t="s">
        <v>975</v>
      </c>
      <c r="E53" s="14" t="s">
        <v>145</v>
      </c>
      <c r="F53" s="14" t="s">
        <v>355</v>
      </c>
      <c r="G53" s="14" t="s">
        <v>356</v>
      </c>
      <c r="H53" s="14" t="s">
        <v>357</v>
      </c>
      <c r="I53" s="14" t="s">
        <v>38</v>
      </c>
    </row>
    <row r="54" spans="1:9" ht="19.95" customHeight="1" x14ac:dyDescent="0.3">
      <c r="A54" s="21">
        <v>46291.029997766207</v>
      </c>
      <c r="B54" s="26" t="s">
        <v>363</v>
      </c>
      <c r="C54" s="11" t="s">
        <v>427</v>
      </c>
      <c r="D54" s="11" t="s">
        <v>976</v>
      </c>
      <c r="E54" s="11" t="s">
        <v>145</v>
      </c>
      <c r="F54" s="11" t="s">
        <v>355</v>
      </c>
      <c r="G54" s="11" t="s">
        <v>356</v>
      </c>
      <c r="H54" s="11" t="s">
        <v>357</v>
      </c>
      <c r="I54" s="11" t="s">
        <v>38</v>
      </c>
    </row>
    <row r="55" spans="1:9" ht="19.95" customHeight="1" x14ac:dyDescent="0.3">
      <c r="A55" s="23">
        <v>46291.028604016203</v>
      </c>
      <c r="B55" s="25" t="s">
        <v>363</v>
      </c>
      <c r="C55" s="14" t="s">
        <v>427</v>
      </c>
      <c r="D55" s="14" t="s">
        <v>977</v>
      </c>
      <c r="E55" s="14" t="s">
        <v>145</v>
      </c>
      <c r="F55" s="14" t="s">
        <v>380</v>
      </c>
      <c r="G55" s="14" t="s">
        <v>152</v>
      </c>
      <c r="H55" s="14" t="s">
        <v>443</v>
      </c>
      <c r="I55" s="14" t="s">
        <v>978</v>
      </c>
    </row>
    <row r="56" spans="1:9" ht="19.95" customHeight="1" x14ac:dyDescent="0.3">
      <c r="A56" s="21">
        <v>46290.840387222219</v>
      </c>
      <c r="B56" s="26" t="s">
        <v>363</v>
      </c>
      <c r="C56" s="11" t="s">
        <v>427</v>
      </c>
      <c r="D56" s="11" t="s">
        <v>387</v>
      </c>
      <c r="E56" s="11" t="s">
        <v>145</v>
      </c>
      <c r="F56" s="11" t="s">
        <v>355</v>
      </c>
      <c r="G56" s="11" t="s">
        <v>356</v>
      </c>
      <c r="H56" s="11" t="s">
        <v>357</v>
      </c>
      <c r="I56" s="11" t="s">
        <v>38</v>
      </c>
    </row>
    <row r="57" spans="1:9" ht="19.95" customHeight="1" x14ac:dyDescent="0.3">
      <c r="A57" s="23">
        <v>46290.818854930563</v>
      </c>
      <c r="B57" s="25" t="s">
        <v>363</v>
      </c>
      <c r="C57" s="14" t="s">
        <v>943</v>
      </c>
      <c r="D57" s="14" t="s">
        <v>979</v>
      </c>
      <c r="E57" s="14" t="s">
        <v>145</v>
      </c>
      <c r="F57" s="14" t="s">
        <v>355</v>
      </c>
      <c r="G57" s="14" t="s">
        <v>356</v>
      </c>
      <c r="H57" s="14" t="s">
        <v>357</v>
      </c>
      <c r="I57" s="14" t="s">
        <v>38</v>
      </c>
    </row>
    <row r="58" spans="1:9" ht="19.95" customHeight="1" x14ac:dyDescent="0.3">
      <c r="A58" s="21">
        <v>46290.807747395833</v>
      </c>
      <c r="B58" s="26" t="s">
        <v>363</v>
      </c>
      <c r="C58" s="11" t="s">
        <v>427</v>
      </c>
      <c r="D58" s="11" t="s">
        <v>980</v>
      </c>
      <c r="E58" s="11" t="s">
        <v>142</v>
      </c>
      <c r="F58" s="11" t="s">
        <v>355</v>
      </c>
      <c r="G58" s="11" t="s">
        <v>356</v>
      </c>
      <c r="H58" s="11" t="s">
        <v>357</v>
      </c>
      <c r="I58" s="11" t="s">
        <v>38</v>
      </c>
    </row>
    <row r="59" spans="1:9" ht="19.95" customHeight="1" x14ac:dyDescent="0.3">
      <c r="A59" s="23">
        <v>46290.804967974538</v>
      </c>
      <c r="B59" s="25" t="s">
        <v>363</v>
      </c>
      <c r="C59" s="14" t="s">
        <v>427</v>
      </c>
      <c r="D59" s="14" t="s">
        <v>981</v>
      </c>
      <c r="E59" s="14" t="s">
        <v>145</v>
      </c>
      <c r="F59" s="14" t="s">
        <v>380</v>
      </c>
      <c r="G59" s="14" t="s">
        <v>150</v>
      </c>
      <c r="H59" s="14" t="s">
        <v>508</v>
      </c>
      <c r="I59" s="14" t="s">
        <v>982</v>
      </c>
    </row>
    <row r="60" spans="1:9" ht="19.95" customHeight="1" x14ac:dyDescent="0.3">
      <c r="A60" s="21">
        <v>46290.795940300923</v>
      </c>
      <c r="B60" s="26" t="s">
        <v>363</v>
      </c>
      <c r="C60" s="11" t="s">
        <v>427</v>
      </c>
      <c r="D60" s="11" t="s">
        <v>983</v>
      </c>
      <c r="E60" s="11" t="s">
        <v>145</v>
      </c>
      <c r="F60" s="11" t="s">
        <v>355</v>
      </c>
      <c r="G60" s="11" t="s">
        <v>356</v>
      </c>
      <c r="H60" s="11" t="s">
        <v>357</v>
      </c>
      <c r="I60" s="11" t="s">
        <v>38</v>
      </c>
    </row>
    <row r="61" spans="1:9" ht="19.95" customHeight="1" x14ac:dyDescent="0.3">
      <c r="A61" s="23">
        <v>46290.792467141197</v>
      </c>
      <c r="B61" s="25" t="s">
        <v>363</v>
      </c>
      <c r="C61" s="14" t="s">
        <v>427</v>
      </c>
      <c r="D61" s="14" t="s">
        <v>984</v>
      </c>
      <c r="E61" s="14" t="s">
        <v>145</v>
      </c>
      <c r="F61" s="14" t="s">
        <v>355</v>
      </c>
      <c r="G61" s="14" t="s">
        <v>356</v>
      </c>
      <c r="H61" s="14" t="s">
        <v>357</v>
      </c>
      <c r="I61" s="14" t="s">
        <v>38</v>
      </c>
    </row>
    <row r="62" spans="1:9" ht="19.95" customHeight="1" x14ac:dyDescent="0.3">
      <c r="A62" s="21">
        <v>46290.775099305552</v>
      </c>
      <c r="B62" s="26" t="s">
        <v>363</v>
      </c>
      <c r="C62" s="11" t="s">
        <v>419</v>
      </c>
      <c r="D62" s="11" t="s">
        <v>985</v>
      </c>
      <c r="E62" s="11" t="s">
        <v>145</v>
      </c>
      <c r="F62" s="11" t="s">
        <v>424</v>
      </c>
      <c r="G62" s="11" t="s">
        <v>150</v>
      </c>
      <c r="H62" s="11" t="s">
        <v>252</v>
      </c>
      <c r="I62" s="11" t="s">
        <v>986</v>
      </c>
    </row>
    <row r="63" spans="1:9" ht="19.95" customHeight="1" x14ac:dyDescent="0.3">
      <c r="A63" s="23">
        <v>46290.767491932871</v>
      </c>
      <c r="B63" s="25" t="s">
        <v>363</v>
      </c>
      <c r="C63" s="14" t="s">
        <v>462</v>
      </c>
      <c r="D63" s="14" t="s">
        <v>987</v>
      </c>
      <c r="E63" s="14" t="s">
        <v>145</v>
      </c>
      <c r="F63" s="14" t="s">
        <v>424</v>
      </c>
      <c r="G63" s="14" t="s">
        <v>139</v>
      </c>
      <c r="H63" s="14" t="s">
        <v>242</v>
      </c>
      <c r="I63" s="14" t="s">
        <v>988</v>
      </c>
    </row>
    <row r="64" spans="1:9" ht="19.95" customHeight="1" x14ac:dyDescent="0.3">
      <c r="A64" s="21">
        <v>46290.71371074074</v>
      </c>
      <c r="B64" s="26" t="s">
        <v>363</v>
      </c>
      <c r="C64" s="11" t="s">
        <v>419</v>
      </c>
      <c r="D64" s="11" t="s">
        <v>989</v>
      </c>
      <c r="E64" s="11" t="s">
        <v>145</v>
      </c>
      <c r="F64" s="11" t="s">
        <v>355</v>
      </c>
      <c r="G64" s="11" t="s">
        <v>356</v>
      </c>
      <c r="H64" s="11" t="s">
        <v>357</v>
      </c>
      <c r="I64" s="11" t="s">
        <v>38</v>
      </c>
    </row>
    <row r="65" spans="1:9" ht="19.95" customHeight="1" x14ac:dyDescent="0.3">
      <c r="A65" s="23">
        <v>46290.696346562501</v>
      </c>
      <c r="B65" s="25" t="s">
        <v>363</v>
      </c>
      <c r="C65" s="14" t="s">
        <v>419</v>
      </c>
      <c r="D65" s="14" t="s">
        <v>990</v>
      </c>
      <c r="E65" s="14" t="s">
        <v>145</v>
      </c>
      <c r="F65" s="14" t="s">
        <v>380</v>
      </c>
      <c r="G65" s="14" t="s">
        <v>147</v>
      </c>
      <c r="H65" s="14" t="s">
        <v>443</v>
      </c>
      <c r="I65" s="14" t="s">
        <v>991</v>
      </c>
    </row>
    <row r="66" spans="1:9" ht="19.95" customHeight="1" x14ac:dyDescent="0.3">
      <c r="A66" s="21">
        <v>46290.689410196763</v>
      </c>
      <c r="B66" s="26" t="s">
        <v>363</v>
      </c>
      <c r="C66" s="11" t="s">
        <v>427</v>
      </c>
      <c r="D66" s="11" t="s">
        <v>992</v>
      </c>
      <c r="E66" s="11" t="s">
        <v>142</v>
      </c>
      <c r="F66" s="11" t="s">
        <v>355</v>
      </c>
      <c r="G66" s="11" t="s">
        <v>356</v>
      </c>
      <c r="H66" s="11" t="s">
        <v>357</v>
      </c>
      <c r="I66" s="11" t="s">
        <v>38</v>
      </c>
    </row>
    <row r="67" spans="1:9" ht="19.95" customHeight="1" x14ac:dyDescent="0.3">
      <c r="A67" s="23">
        <v>46290.675519687502</v>
      </c>
      <c r="B67" s="25" t="s">
        <v>363</v>
      </c>
      <c r="C67" s="14" t="s">
        <v>427</v>
      </c>
      <c r="D67" s="14" t="s">
        <v>993</v>
      </c>
      <c r="E67" s="14" t="s">
        <v>361</v>
      </c>
      <c r="F67" s="14" t="s">
        <v>355</v>
      </c>
      <c r="G67" s="14" t="s">
        <v>356</v>
      </c>
      <c r="H67" s="14" t="s">
        <v>357</v>
      </c>
      <c r="I67" s="14" t="s">
        <v>38</v>
      </c>
    </row>
    <row r="68" spans="1:9" ht="19.95" customHeight="1" x14ac:dyDescent="0.3">
      <c r="A68" s="21">
        <v>46290.65746008102</v>
      </c>
      <c r="B68" s="26" t="s">
        <v>363</v>
      </c>
      <c r="C68" s="11" t="s">
        <v>427</v>
      </c>
      <c r="D68" s="11" t="s">
        <v>994</v>
      </c>
      <c r="E68" s="11" t="s">
        <v>142</v>
      </c>
      <c r="F68" s="11" t="s">
        <v>355</v>
      </c>
      <c r="G68" s="11" t="s">
        <v>356</v>
      </c>
      <c r="H68" s="11" t="s">
        <v>357</v>
      </c>
      <c r="I68" s="11" t="s">
        <v>38</v>
      </c>
    </row>
    <row r="69" spans="1:9" ht="19.95" customHeight="1" x14ac:dyDescent="0.3">
      <c r="A69" s="23">
        <v>46290.635471574067</v>
      </c>
      <c r="B69" s="25" t="s">
        <v>363</v>
      </c>
      <c r="C69" s="14" t="s">
        <v>427</v>
      </c>
      <c r="D69" s="14" t="s">
        <v>995</v>
      </c>
      <c r="E69" s="14" t="s">
        <v>142</v>
      </c>
      <c r="F69" s="14" t="s">
        <v>355</v>
      </c>
      <c r="G69" s="14" t="s">
        <v>356</v>
      </c>
      <c r="H69" s="14" t="s">
        <v>357</v>
      </c>
      <c r="I69" s="14" t="s">
        <v>38</v>
      </c>
    </row>
    <row r="70" spans="1:9" ht="19.95" customHeight="1" x14ac:dyDescent="0.3">
      <c r="A70" s="21">
        <v>46290.570775798609</v>
      </c>
      <c r="B70" s="26" t="s">
        <v>363</v>
      </c>
      <c r="C70" s="11" t="s">
        <v>419</v>
      </c>
      <c r="D70" s="11" t="s">
        <v>996</v>
      </c>
      <c r="E70" s="11" t="s">
        <v>145</v>
      </c>
      <c r="F70" s="11" t="s">
        <v>355</v>
      </c>
      <c r="G70" s="11" t="s">
        <v>356</v>
      </c>
      <c r="H70" s="11" t="s">
        <v>357</v>
      </c>
      <c r="I70" s="11" t="s">
        <v>38</v>
      </c>
    </row>
    <row r="71" spans="1:9" ht="19.95" customHeight="1" x14ac:dyDescent="0.3">
      <c r="A71" s="23">
        <v>46290.554110069454</v>
      </c>
      <c r="B71" s="25" t="s">
        <v>363</v>
      </c>
      <c r="C71" s="14" t="s">
        <v>997</v>
      </c>
      <c r="D71" s="14" t="s">
        <v>998</v>
      </c>
      <c r="E71" s="14" t="s">
        <v>145</v>
      </c>
      <c r="F71" s="14" t="s">
        <v>355</v>
      </c>
      <c r="G71" s="14" t="s">
        <v>356</v>
      </c>
      <c r="H71" s="14" t="s">
        <v>357</v>
      </c>
      <c r="I71" s="14" t="s">
        <v>38</v>
      </c>
    </row>
    <row r="72" spans="1:9" ht="19.95" customHeight="1" x14ac:dyDescent="0.3">
      <c r="A72" s="21">
        <v>46290.55132770833</v>
      </c>
      <c r="B72" s="26" t="s">
        <v>363</v>
      </c>
      <c r="C72" s="11" t="s">
        <v>487</v>
      </c>
      <c r="D72" s="11" t="s">
        <v>999</v>
      </c>
      <c r="E72" s="11" t="s">
        <v>361</v>
      </c>
      <c r="F72" s="11" t="s">
        <v>355</v>
      </c>
      <c r="G72" s="11" t="s">
        <v>356</v>
      </c>
      <c r="H72" s="11" t="s">
        <v>357</v>
      </c>
      <c r="I72" s="11" t="s">
        <v>38</v>
      </c>
    </row>
    <row r="73" spans="1:9" ht="19.95" customHeight="1" x14ac:dyDescent="0.3">
      <c r="A73" s="23">
        <v>46290.270075520843</v>
      </c>
      <c r="B73" s="25" t="s">
        <v>363</v>
      </c>
      <c r="C73" s="14" t="s">
        <v>945</v>
      </c>
      <c r="D73" s="14" t="s">
        <v>1000</v>
      </c>
      <c r="E73" s="14" t="s">
        <v>145</v>
      </c>
      <c r="F73" s="14" t="s">
        <v>177</v>
      </c>
      <c r="G73" s="14" t="s">
        <v>356</v>
      </c>
      <c r="H73" s="14" t="s">
        <v>357</v>
      </c>
      <c r="I73" s="14" t="s">
        <v>1001</v>
      </c>
    </row>
    <row r="74" spans="1:9" ht="19.95" customHeight="1" x14ac:dyDescent="0.3">
      <c r="A74" s="21">
        <v>46290.081161215283</v>
      </c>
      <c r="B74" s="26" t="s">
        <v>363</v>
      </c>
      <c r="C74" s="11" t="s">
        <v>434</v>
      </c>
      <c r="D74" s="11" t="s">
        <v>1002</v>
      </c>
      <c r="E74" s="11" t="s">
        <v>145</v>
      </c>
      <c r="F74" s="11" t="s">
        <v>177</v>
      </c>
      <c r="G74" s="11" t="s">
        <v>356</v>
      </c>
      <c r="H74" s="11" t="s">
        <v>357</v>
      </c>
      <c r="I74" s="11" t="s">
        <v>1003</v>
      </c>
    </row>
    <row r="75" spans="1:9" ht="19.95" customHeight="1" x14ac:dyDescent="0.3">
      <c r="A75" s="23">
        <v>46289.84917277778</v>
      </c>
      <c r="B75" s="25" t="s">
        <v>363</v>
      </c>
      <c r="C75" s="14" t="s">
        <v>419</v>
      </c>
      <c r="D75" s="14" t="s">
        <v>1004</v>
      </c>
      <c r="E75" s="14" t="s">
        <v>145</v>
      </c>
      <c r="F75" s="14" t="s">
        <v>432</v>
      </c>
      <c r="G75" s="14" t="s">
        <v>356</v>
      </c>
      <c r="H75" s="14" t="s">
        <v>357</v>
      </c>
      <c r="I75" s="14" t="s">
        <v>433</v>
      </c>
    </row>
    <row r="76" spans="1:9" ht="19.95" customHeight="1" x14ac:dyDescent="0.3">
      <c r="A76" s="21">
        <v>46289.641328703707</v>
      </c>
      <c r="B76" s="26" t="s">
        <v>363</v>
      </c>
      <c r="C76" s="11" t="s">
        <v>430</v>
      </c>
      <c r="D76" s="11" t="s">
        <v>1005</v>
      </c>
      <c r="E76" s="11" t="s">
        <v>145</v>
      </c>
      <c r="F76" s="11" t="s">
        <v>1006</v>
      </c>
      <c r="G76" s="11" t="s">
        <v>150</v>
      </c>
      <c r="H76" s="11" t="s">
        <v>508</v>
      </c>
      <c r="I76" s="11" t="s">
        <v>1007</v>
      </c>
    </row>
    <row r="77" spans="1:9" ht="19.95" customHeight="1" x14ac:dyDescent="0.3">
      <c r="A77" s="23">
        <v>46289.616347106479</v>
      </c>
      <c r="B77" s="25" t="s">
        <v>363</v>
      </c>
      <c r="C77" s="14" t="s">
        <v>484</v>
      </c>
      <c r="D77" s="14" t="s">
        <v>1008</v>
      </c>
      <c r="E77" s="14" t="s">
        <v>145</v>
      </c>
      <c r="F77" s="14" t="s">
        <v>432</v>
      </c>
      <c r="G77" s="14" t="s">
        <v>356</v>
      </c>
      <c r="H77" s="14" t="s">
        <v>357</v>
      </c>
      <c r="I77" s="14" t="s">
        <v>433</v>
      </c>
    </row>
    <row r="78" spans="1:9" ht="19.95" customHeight="1" x14ac:dyDescent="0.3">
      <c r="A78" s="21">
        <v>46289.575353796303</v>
      </c>
      <c r="B78" s="26" t="s">
        <v>363</v>
      </c>
      <c r="C78" s="11" t="s">
        <v>1009</v>
      </c>
      <c r="D78" s="11" t="s">
        <v>1010</v>
      </c>
      <c r="E78" s="11" t="s">
        <v>145</v>
      </c>
      <c r="F78" s="11" t="s">
        <v>355</v>
      </c>
      <c r="G78" s="11" t="s">
        <v>356</v>
      </c>
      <c r="H78" s="11" t="s">
        <v>357</v>
      </c>
      <c r="I78" s="11" t="s">
        <v>1011</v>
      </c>
    </row>
    <row r="79" spans="1:9" ht="19.95" customHeight="1" x14ac:dyDescent="0.3">
      <c r="A79" s="23">
        <v>46289.566371990739</v>
      </c>
      <c r="B79" s="25" t="s">
        <v>363</v>
      </c>
      <c r="C79" s="14" t="s">
        <v>1012</v>
      </c>
      <c r="D79" s="14" t="s">
        <v>1013</v>
      </c>
      <c r="E79" s="14" t="s">
        <v>361</v>
      </c>
      <c r="F79" s="14" t="s">
        <v>1006</v>
      </c>
      <c r="G79" s="14" t="s">
        <v>147</v>
      </c>
      <c r="H79" s="14" t="s">
        <v>1014</v>
      </c>
      <c r="I79" s="14" t="s">
        <v>1015</v>
      </c>
    </row>
    <row r="80" spans="1:9" ht="19.95" customHeight="1" x14ac:dyDescent="0.3">
      <c r="A80" s="21">
        <v>46289.563371180557</v>
      </c>
      <c r="B80" s="26" t="s">
        <v>363</v>
      </c>
      <c r="C80" s="11" t="s">
        <v>389</v>
      </c>
      <c r="D80" s="11" t="s">
        <v>1016</v>
      </c>
      <c r="E80" s="11" t="s">
        <v>145</v>
      </c>
      <c r="F80" s="11" t="s">
        <v>355</v>
      </c>
      <c r="G80" s="11" t="s">
        <v>356</v>
      </c>
      <c r="H80" s="11" t="s">
        <v>357</v>
      </c>
      <c r="I80" s="11" t="s">
        <v>1017</v>
      </c>
    </row>
    <row r="81" spans="1:9" ht="19.95" customHeight="1" x14ac:dyDescent="0.3">
      <c r="A81" s="23">
        <v>46289.562359108793</v>
      </c>
      <c r="B81" s="25" t="s">
        <v>363</v>
      </c>
      <c r="C81" s="14" t="s">
        <v>389</v>
      </c>
      <c r="D81" s="14" t="s">
        <v>1016</v>
      </c>
      <c r="E81" s="14" t="s">
        <v>142</v>
      </c>
      <c r="F81" s="14" t="s">
        <v>355</v>
      </c>
      <c r="G81" s="14" t="s">
        <v>356</v>
      </c>
      <c r="H81" s="14" t="s">
        <v>357</v>
      </c>
      <c r="I81" s="14" t="s">
        <v>1017</v>
      </c>
    </row>
    <row r="82" spans="1:9" ht="19.95" customHeight="1" x14ac:dyDescent="0.3">
      <c r="A82" s="21">
        <v>46289.562233310193</v>
      </c>
      <c r="B82" s="26" t="s">
        <v>363</v>
      </c>
      <c r="C82" s="11" t="s">
        <v>389</v>
      </c>
      <c r="D82" s="11" t="s">
        <v>1016</v>
      </c>
      <c r="E82" s="11" t="s">
        <v>145</v>
      </c>
      <c r="F82" s="11" t="s">
        <v>355</v>
      </c>
      <c r="G82" s="11" t="s">
        <v>356</v>
      </c>
      <c r="H82" s="11" t="s">
        <v>357</v>
      </c>
      <c r="I82" s="11" t="s">
        <v>1017</v>
      </c>
    </row>
    <row r="83" spans="1:9" ht="19.95" customHeight="1" x14ac:dyDescent="0.3">
      <c r="A83" s="23">
        <v>46289.561810335646</v>
      </c>
      <c r="B83" s="25" t="s">
        <v>363</v>
      </c>
      <c r="C83" s="14" t="s">
        <v>389</v>
      </c>
      <c r="D83" s="14" t="s">
        <v>1016</v>
      </c>
      <c r="E83" s="14" t="s">
        <v>145</v>
      </c>
      <c r="F83" s="14" t="s">
        <v>355</v>
      </c>
      <c r="G83" s="14" t="s">
        <v>356</v>
      </c>
      <c r="H83" s="14" t="s">
        <v>357</v>
      </c>
      <c r="I83" s="14" t="s">
        <v>1017</v>
      </c>
    </row>
    <row r="84" spans="1:9" ht="19.95" customHeight="1" x14ac:dyDescent="0.3">
      <c r="A84" s="21">
        <v>46289.56002109954</v>
      </c>
      <c r="B84" s="26" t="s">
        <v>363</v>
      </c>
      <c r="C84" s="11" t="s">
        <v>389</v>
      </c>
      <c r="D84" s="11" t="s">
        <v>1016</v>
      </c>
      <c r="E84" s="11" t="s">
        <v>142</v>
      </c>
      <c r="F84" s="11" t="s">
        <v>355</v>
      </c>
      <c r="G84" s="11" t="s">
        <v>356</v>
      </c>
      <c r="H84" s="11" t="s">
        <v>357</v>
      </c>
      <c r="I84" s="11" t="s">
        <v>1017</v>
      </c>
    </row>
    <row r="85" spans="1:9" ht="19.95" customHeight="1" x14ac:dyDescent="0.3">
      <c r="A85" s="23">
        <v>46289.559674236109</v>
      </c>
      <c r="B85" s="25" t="s">
        <v>363</v>
      </c>
      <c r="C85" s="14" t="s">
        <v>389</v>
      </c>
      <c r="D85" s="14" t="s">
        <v>1016</v>
      </c>
      <c r="E85" s="14" t="s">
        <v>145</v>
      </c>
      <c r="F85" s="14" t="s">
        <v>355</v>
      </c>
      <c r="G85" s="14" t="s">
        <v>356</v>
      </c>
      <c r="H85" s="14" t="s">
        <v>357</v>
      </c>
      <c r="I85" s="14" t="s">
        <v>1017</v>
      </c>
    </row>
    <row r="86" spans="1:9" ht="19.95" customHeight="1" x14ac:dyDescent="0.3">
      <c r="A86" s="21">
        <v>46289.559629675918</v>
      </c>
      <c r="B86" s="26" t="s">
        <v>363</v>
      </c>
      <c r="C86" s="11" t="s">
        <v>389</v>
      </c>
      <c r="D86" s="11" t="s">
        <v>1016</v>
      </c>
      <c r="E86" s="11" t="s">
        <v>145</v>
      </c>
      <c r="F86" s="11" t="s">
        <v>355</v>
      </c>
      <c r="G86" s="11" t="s">
        <v>356</v>
      </c>
      <c r="H86" s="11" t="s">
        <v>357</v>
      </c>
      <c r="I86" s="11" t="s">
        <v>1017</v>
      </c>
    </row>
    <row r="87" spans="1:9" ht="19.95" customHeight="1" x14ac:dyDescent="0.3">
      <c r="A87" s="23">
        <v>46289.559589687502</v>
      </c>
      <c r="B87" s="25" t="s">
        <v>363</v>
      </c>
      <c r="C87" s="14" t="s">
        <v>389</v>
      </c>
      <c r="D87" s="14" t="s">
        <v>1016</v>
      </c>
      <c r="E87" s="14" t="s">
        <v>145</v>
      </c>
      <c r="F87" s="14" t="s">
        <v>355</v>
      </c>
      <c r="G87" s="14" t="s">
        <v>356</v>
      </c>
      <c r="H87" s="14" t="s">
        <v>357</v>
      </c>
      <c r="I87" s="14" t="s">
        <v>1017</v>
      </c>
    </row>
    <row r="88" spans="1:9" ht="19.95" customHeight="1" x14ac:dyDescent="0.3">
      <c r="A88" s="21">
        <v>46289.51979096065</v>
      </c>
      <c r="B88" s="26" t="s">
        <v>363</v>
      </c>
      <c r="C88" s="11" t="s">
        <v>419</v>
      </c>
      <c r="D88" s="11" t="s">
        <v>1018</v>
      </c>
      <c r="E88" s="11" t="s">
        <v>145</v>
      </c>
      <c r="F88" s="11" t="s">
        <v>428</v>
      </c>
      <c r="G88" s="11" t="s">
        <v>356</v>
      </c>
      <c r="H88" s="11" t="s">
        <v>357</v>
      </c>
      <c r="I88" s="11" t="s">
        <v>1019</v>
      </c>
    </row>
    <row r="89" spans="1:9" ht="19.95" customHeight="1" x14ac:dyDescent="0.3">
      <c r="A89" s="23">
        <v>46289.457459687503</v>
      </c>
      <c r="B89" s="25" t="s">
        <v>363</v>
      </c>
      <c r="C89" s="14" t="s">
        <v>430</v>
      </c>
      <c r="D89" s="14" t="s">
        <v>1020</v>
      </c>
      <c r="E89" s="14" t="s">
        <v>145</v>
      </c>
      <c r="F89" s="14" t="s">
        <v>428</v>
      </c>
      <c r="G89" s="14" t="s">
        <v>356</v>
      </c>
      <c r="H89" s="14" t="s">
        <v>357</v>
      </c>
      <c r="I89" s="14" t="s">
        <v>1021</v>
      </c>
    </row>
    <row r="90" spans="1:9" ht="19.95" customHeight="1" x14ac:dyDescent="0.3">
      <c r="A90" s="21">
        <v>46288.993508912034</v>
      </c>
      <c r="B90" s="26" t="s">
        <v>363</v>
      </c>
      <c r="C90" s="11" t="s">
        <v>1009</v>
      </c>
      <c r="D90" s="11" t="s">
        <v>1022</v>
      </c>
      <c r="E90" s="11" t="s">
        <v>145</v>
      </c>
      <c r="F90" s="11" t="s">
        <v>355</v>
      </c>
      <c r="G90" s="11" t="s">
        <v>356</v>
      </c>
      <c r="H90" s="11" t="s">
        <v>357</v>
      </c>
      <c r="I90" s="11" t="s">
        <v>38</v>
      </c>
    </row>
    <row r="91" spans="1:9" ht="19.95" customHeight="1" x14ac:dyDescent="0.3">
      <c r="A91" s="23">
        <v>46288.784041064813</v>
      </c>
      <c r="B91" s="25" t="s">
        <v>363</v>
      </c>
      <c r="C91" s="14" t="s">
        <v>419</v>
      </c>
      <c r="D91" s="14" t="s">
        <v>1023</v>
      </c>
      <c r="E91" s="14" t="s">
        <v>145</v>
      </c>
      <c r="F91" s="14" t="s">
        <v>428</v>
      </c>
      <c r="G91" s="14" t="s">
        <v>356</v>
      </c>
      <c r="H91" s="14" t="s">
        <v>357</v>
      </c>
      <c r="I91" s="14" t="s">
        <v>1024</v>
      </c>
    </row>
    <row r="92" spans="1:9" ht="19.95" customHeight="1" x14ac:dyDescent="0.3">
      <c r="A92" s="21">
        <v>46288.719660277777</v>
      </c>
      <c r="B92" s="26" t="s">
        <v>363</v>
      </c>
      <c r="C92" s="11" t="s">
        <v>1025</v>
      </c>
      <c r="D92" s="11" t="s">
        <v>1026</v>
      </c>
      <c r="E92" s="11" t="s">
        <v>142</v>
      </c>
      <c r="F92" s="11" t="s">
        <v>380</v>
      </c>
      <c r="G92" s="11" t="s">
        <v>139</v>
      </c>
      <c r="H92" s="11" t="s">
        <v>381</v>
      </c>
      <c r="I92" s="11" t="s">
        <v>1027</v>
      </c>
    </row>
    <row r="93" spans="1:9" ht="19.95" customHeight="1" x14ac:dyDescent="0.3">
      <c r="A93" s="23">
        <v>46288.689273483797</v>
      </c>
      <c r="B93" s="25" t="s">
        <v>363</v>
      </c>
      <c r="C93" s="14" t="s">
        <v>1028</v>
      </c>
      <c r="D93" s="14" t="s">
        <v>1029</v>
      </c>
      <c r="E93" s="14" t="s">
        <v>142</v>
      </c>
      <c r="F93" s="14" t="s">
        <v>380</v>
      </c>
      <c r="G93" s="14" t="s">
        <v>139</v>
      </c>
      <c r="H93" s="14" t="s">
        <v>381</v>
      </c>
      <c r="I93" s="14" t="s">
        <v>1030</v>
      </c>
    </row>
    <row r="94" spans="1:9" ht="19.95" customHeight="1" x14ac:dyDescent="0.3">
      <c r="A94" s="21">
        <v>46288.684005439813</v>
      </c>
      <c r="B94" s="26" t="s">
        <v>363</v>
      </c>
      <c r="C94" s="11" t="s">
        <v>427</v>
      </c>
      <c r="D94" s="11" t="s">
        <v>1031</v>
      </c>
      <c r="E94" s="11" t="s">
        <v>361</v>
      </c>
      <c r="F94" s="11" t="s">
        <v>446</v>
      </c>
      <c r="G94" s="11" t="s">
        <v>152</v>
      </c>
      <c r="H94" s="11" t="s">
        <v>443</v>
      </c>
      <c r="I94" s="11" t="s">
        <v>1032</v>
      </c>
    </row>
    <row r="95" spans="1:9" ht="19.95" customHeight="1" x14ac:dyDescent="0.3">
      <c r="A95" s="23">
        <v>46288.583451909719</v>
      </c>
      <c r="B95" s="25" t="s">
        <v>363</v>
      </c>
      <c r="C95" s="14" t="s">
        <v>419</v>
      </c>
      <c r="D95" s="14" t="s">
        <v>1033</v>
      </c>
      <c r="E95" s="14" t="s">
        <v>145</v>
      </c>
      <c r="F95" s="14" t="s">
        <v>428</v>
      </c>
      <c r="G95" s="14" t="s">
        <v>356</v>
      </c>
      <c r="H95" s="14" t="s">
        <v>357</v>
      </c>
      <c r="I95" s="14" t="s">
        <v>1034</v>
      </c>
    </row>
    <row r="96" spans="1:9" ht="19.95" customHeight="1" x14ac:dyDescent="0.3">
      <c r="A96" s="21">
        <v>46288.513960833327</v>
      </c>
      <c r="B96" s="26" t="s">
        <v>363</v>
      </c>
      <c r="C96" s="11" t="s">
        <v>427</v>
      </c>
      <c r="D96" s="11" t="s">
        <v>1035</v>
      </c>
      <c r="E96" s="11" t="s">
        <v>361</v>
      </c>
      <c r="F96" s="11" t="s">
        <v>424</v>
      </c>
      <c r="G96" s="11" t="s">
        <v>150</v>
      </c>
      <c r="H96" s="11" t="s">
        <v>247</v>
      </c>
      <c r="I96" s="11" t="s">
        <v>1036</v>
      </c>
    </row>
    <row r="97" spans="1:9" ht="19.95" customHeight="1" x14ac:dyDescent="0.3">
      <c r="A97" s="23">
        <v>46288.511272673612</v>
      </c>
      <c r="B97" s="25" t="s">
        <v>363</v>
      </c>
      <c r="C97" s="14" t="s">
        <v>427</v>
      </c>
      <c r="D97" s="14" t="s">
        <v>1037</v>
      </c>
      <c r="E97" s="14" t="s">
        <v>145</v>
      </c>
      <c r="F97" s="14" t="s">
        <v>1006</v>
      </c>
      <c r="G97" s="14" t="s">
        <v>150</v>
      </c>
      <c r="H97" s="14" t="s">
        <v>508</v>
      </c>
      <c r="I97" s="14" t="s">
        <v>1038</v>
      </c>
    </row>
    <row r="98" spans="1:9" ht="19.95" customHeight="1" x14ac:dyDescent="0.3">
      <c r="A98" s="21">
        <v>46288.510539525458</v>
      </c>
      <c r="B98" s="26" t="s">
        <v>363</v>
      </c>
      <c r="C98" s="11" t="s">
        <v>945</v>
      </c>
      <c r="D98" s="11" t="s">
        <v>1029</v>
      </c>
      <c r="E98" s="11" t="s">
        <v>142</v>
      </c>
      <c r="F98" s="11" t="s">
        <v>380</v>
      </c>
      <c r="G98" s="11" t="s">
        <v>139</v>
      </c>
      <c r="H98" s="11" t="s">
        <v>381</v>
      </c>
      <c r="I98" s="11" t="s">
        <v>1039</v>
      </c>
    </row>
    <row r="99" spans="1:9" ht="19.95" customHeight="1" x14ac:dyDescent="0.3">
      <c r="A99" s="23">
        <v>46288.508442071761</v>
      </c>
      <c r="B99" s="25" t="s">
        <v>363</v>
      </c>
      <c r="C99" s="14" t="s">
        <v>427</v>
      </c>
      <c r="D99" s="14" t="s">
        <v>1040</v>
      </c>
      <c r="E99" s="14" t="s">
        <v>145</v>
      </c>
      <c r="F99" s="14" t="s">
        <v>380</v>
      </c>
      <c r="G99" s="14" t="s">
        <v>150</v>
      </c>
      <c r="H99" s="14" t="s">
        <v>508</v>
      </c>
      <c r="I99" s="14" t="s">
        <v>1041</v>
      </c>
    </row>
    <row r="100" spans="1:9" ht="19.95" customHeight="1" x14ac:dyDescent="0.3">
      <c r="A100" s="21">
        <v>46288.47176429398</v>
      </c>
      <c r="B100" s="26" t="s">
        <v>363</v>
      </c>
      <c r="C100" s="11" t="s">
        <v>427</v>
      </c>
      <c r="D100" s="11" t="s">
        <v>1031</v>
      </c>
      <c r="E100" s="11" t="s">
        <v>361</v>
      </c>
      <c r="F100" s="11" t="s">
        <v>380</v>
      </c>
      <c r="G100" s="11" t="s">
        <v>152</v>
      </c>
      <c r="H100" s="11" t="s">
        <v>443</v>
      </c>
      <c r="I100" s="11" t="s">
        <v>1042</v>
      </c>
    </row>
    <row r="101" spans="1:9" ht="19.95" customHeight="1" x14ac:dyDescent="0.3">
      <c r="A101" s="23">
        <v>46288.471762731482</v>
      </c>
      <c r="B101" s="25" t="s">
        <v>363</v>
      </c>
      <c r="C101" s="14" t="s">
        <v>427</v>
      </c>
      <c r="D101" s="14" t="s">
        <v>1043</v>
      </c>
      <c r="E101" s="14" t="s">
        <v>142</v>
      </c>
      <c r="F101" s="14" t="s">
        <v>432</v>
      </c>
      <c r="G101" s="14" t="s">
        <v>356</v>
      </c>
      <c r="H101" s="14" t="s">
        <v>357</v>
      </c>
      <c r="I101" s="14" t="s">
        <v>1044</v>
      </c>
    </row>
    <row r="102" spans="1:9" ht="19.95" customHeight="1" x14ac:dyDescent="0.3">
      <c r="A102" s="21">
        <v>46288.471760949084</v>
      </c>
      <c r="B102" s="26" t="s">
        <v>363</v>
      </c>
      <c r="C102" s="11" t="s">
        <v>427</v>
      </c>
      <c r="D102" s="11" t="s">
        <v>1045</v>
      </c>
      <c r="E102" s="11" t="s">
        <v>142</v>
      </c>
      <c r="F102" s="11" t="s">
        <v>380</v>
      </c>
      <c r="G102" s="11" t="s">
        <v>152</v>
      </c>
      <c r="H102" s="11" t="s">
        <v>508</v>
      </c>
      <c r="I102" s="11" t="s">
        <v>1046</v>
      </c>
    </row>
    <row r="103" spans="1:9" ht="19.95" customHeight="1" x14ac:dyDescent="0.3">
      <c r="A103" s="23">
        <v>46288.471757430547</v>
      </c>
      <c r="B103" s="25" t="s">
        <v>363</v>
      </c>
      <c r="C103" s="14" t="s">
        <v>427</v>
      </c>
      <c r="D103" s="14" t="s">
        <v>1047</v>
      </c>
      <c r="E103" s="14" t="s">
        <v>145</v>
      </c>
      <c r="F103" s="14" t="s">
        <v>432</v>
      </c>
      <c r="G103" s="14" t="s">
        <v>356</v>
      </c>
      <c r="H103" s="14" t="s">
        <v>357</v>
      </c>
      <c r="I103" s="14" t="s">
        <v>38</v>
      </c>
    </row>
    <row r="104" spans="1:9" ht="19.95" customHeight="1" x14ac:dyDescent="0.3">
      <c r="A104" s="21">
        <v>46288.471755949067</v>
      </c>
      <c r="B104" s="26" t="s">
        <v>363</v>
      </c>
      <c r="C104" s="11" t="s">
        <v>427</v>
      </c>
      <c r="D104" s="11" t="s">
        <v>1035</v>
      </c>
      <c r="E104" s="11" t="s">
        <v>361</v>
      </c>
      <c r="F104" s="11" t="s">
        <v>380</v>
      </c>
      <c r="G104" s="11" t="s">
        <v>150</v>
      </c>
      <c r="H104" s="11" t="s">
        <v>247</v>
      </c>
      <c r="I104" s="11" t="s">
        <v>1048</v>
      </c>
    </row>
    <row r="105" spans="1:9" ht="19.95" customHeight="1" x14ac:dyDescent="0.3">
      <c r="A105" s="23">
        <v>46288.471754548613</v>
      </c>
      <c r="B105" s="25" t="s">
        <v>363</v>
      </c>
      <c r="C105" s="14" t="s">
        <v>427</v>
      </c>
      <c r="D105" s="14" t="s">
        <v>1037</v>
      </c>
      <c r="E105" s="14" t="s">
        <v>145</v>
      </c>
      <c r="F105" s="14" t="s">
        <v>380</v>
      </c>
      <c r="G105" s="14" t="s">
        <v>150</v>
      </c>
      <c r="H105" s="14" t="s">
        <v>508</v>
      </c>
      <c r="I105" s="14" t="s">
        <v>1049</v>
      </c>
    </row>
    <row r="106" spans="1:9" ht="19.95" customHeight="1" x14ac:dyDescent="0.3">
      <c r="A106" s="21">
        <v>46288.471753090278</v>
      </c>
      <c r="B106" s="26" t="s">
        <v>363</v>
      </c>
      <c r="C106" s="11" t="s">
        <v>427</v>
      </c>
      <c r="D106" s="11" t="s">
        <v>1040</v>
      </c>
      <c r="E106" s="11" t="s">
        <v>145</v>
      </c>
      <c r="F106" s="11" t="s">
        <v>380</v>
      </c>
      <c r="G106" s="11" t="s">
        <v>150</v>
      </c>
      <c r="H106" s="11" t="s">
        <v>508</v>
      </c>
      <c r="I106" s="11" t="s">
        <v>1050</v>
      </c>
    </row>
    <row r="107" spans="1:9" ht="19.95" customHeight="1" x14ac:dyDescent="0.3">
      <c r="A107" s="23">
        <v>46288.471751331017</v>
      </c>
      <c r="B107" s="25" t="s">
        <v>363</v>
      </c>
      <c r="C107" s="14" t="s">
        <v>427</v>
      </c>
      <c r="D107" s="14" t="s">
        <v>416</v>
      </c>
      <c r="E107" s="14" t="s">
        <v>145</v>
      </c>
      <c r="F107" s="14" t="s">
        <v>428</v>
      </c>
      <c r="G107" s="14" t="s">
        <v>356</v>
      </c>
      <c r="H107" s="14" t="s">
        <v>357</v>
      </c>
      <c r="I107" s="14" t="s">
        <v>1051</v>
      </c>
    </row>
    <row r="108" spans="1:9" ht="19.95" customHeight="1" x14ac:dyDescent="0.3">
      <c r="A108" s="21">
        <v>46288.461833229157</v>
      </c>
      <c r="B108" s="26" t="s">
        <v>363</v>
      </c>
      <c r="C108" s="11" t="s">
        <v>1052</v>
      </c>
      <c r="D108" s="11" t="s">
        <v>1053</v>
      </c>
      <c r="E108" s="11" t="s">
        <v>145</v>
      </c>
      <c r="F108" s="11" t="s">
        <v>380</v>
      </c>
      <c r="G108" s="11" t="s">
        <v>150</v>
      </c>
      <c r="H108" s="11" t="s">
        <v>425</v>
      </c>
      <c r="I108" s="11" t="s">
        <v>1054</v>
      </c>
    </row>
    <row r="109" spans="1:9" ht="19.95" customHeight="1" x14ac:dyDescent="0.3">
      <c r="A109" s="23">
        <v>46288.448034814814</v>
      </c>
      <c r="B109" s="25" t="s">
        <v>363</v>
      </c>
      <c r="C109" s="14" t="s">
        <v>419</v>
      </c>
      <c r="D109" s="14" t="s">
        <v>1053</v>
      </c>
      <c r="E109" s="14" t="s">
        <v>145</v>
      </c>
      <c r="F109" s="14" t="s">
        <v>380</v>
      </c>
      <c r="G109" s="14" t="s">
        <v>150</v>
      </c>
      <c r="H109" s="14" t="s">
        <v>425</v>
      </c>
      <c r="I109" s="14" t="s">
        <v>1055</v>
      </c>
    </row>
    <row r="110" spans="1:9" ht="19.95" customHeight="1" x14ac:dyDescent="0.3">
      <c r="A110" s="21">
        <v>46287.989699247693</v>
      </c>
      <c r="B110" s="26" t="s">
        <v>363</v>
      </c>
      <c r="C110" s="11" t="s">
        <v>484</v>
      </c>
      <c r="D110" s="11" t="s">
        <v>1056</v>
      </c>
      <c r="E110" s="11" t="s">
        <v>145</v>
      </c>
      <c r="F110" s="11" t="s">
        <v>424</v>
      </c>
      <c r="G110" s="11" t="s">
        <v>356</v>
      </c>
      <c r="H110" s="11" t="s">
        <v>357</v>
      </c>
      <c r="I110" s="11" t="s">
        <v>38</v>
      </c>
    </row>
    <row r="111" spans="1:9" ht="19.95" customHeight="1" x14ac:dyDescent="0.3">
      <c r="A111" s="23">
        <v>46287.710400393516</v>
      </c>
      <c r="B111" s="25" t="s">
        <v>363</v>
      </c>
      <c r="C111" s="14" t="s">
        <v>1057</v>
      </c>
      <c r="D111" s="14" t="s">
        <v>1058</v>
      </c>
      <c r="E111" s="14" t="s">
        <v>145</v>
      </c>
      <c r="F111" s="14" t="s">
        <v>380</v>
      </c>
      <c r="G111" s="14" t="s">
        <v>139</v>
      </c>
      <c r="H111" s="14" t="s">
        <v>381</v>
      </c>
      <c r="I111" s="14" t="s">
        <v>1059</v>
      </c>
    </row>
    <row r="112" spans="1:9" ht="19.95" customHeight="1" x14ac:dyDescent="0.3">
      <c r="A112" s="21">
        <v>46287.702362407414</v>
      </c>
      <c r="B112" s="26" t="s">
        <v>363</v>
      </c>
      <c r="C112" s="11" t="s">
        <v>1060</v>
      </c>
      <c r="D112" s="11" t="s">
        <v>1061</v>
      </c>
      <c r="E112" s="11" t="s">
        <v>145</v>
      </c>
      <c r="F112" s="11" t="s">
        <v>380</v>
      </c>
      <c r="G112" s="11" t="s">
        <v>147</v>
      </c>
      <c r="H112" s="11" t="s">
        <v>247</v>
      </c>
      <c r="I112" s="11" t="s">
        <v>1062</v>
      </c>
    </row>
    <row r="113" spans="1:9" ht="19.95" customHeight="1" x14ac:dyDescent="0.3">
      <c r="A113" s="23">
        <v>46287.694905868047</v>
      </c>
      <c r="B113" s="25" t="s">
        <v>363</v>
      </c>
      <c r="C113" s="14" t="s">
        <v>1028</v>
      </c>
      <c r="D113" s="14" t="s">
        <v>1063</v>
      </c>
      <c r="E113" s="14" t="s">
        <v>142</v>
      </c>
      <c r="F113" s="14" t="s">
        <v>380</v>
      </c>
      <c r="G113" s="14" t="s">
        <v>139</v>
      </c>
      <c r="H113" s="14" t="s">
        <v>381</v>
      </c>
      <c r="I113" s="14" t="s">
        <v>1064</v>
      </c>
    </row>
    <row r="114" spans="1:9" ht="19.95" customHeight="1" x14ac:dyDescent="0.3">
      <c r="A114" s="21">
        <v>46287.687616539362</v>
      </c>
      <c r="B114" s="26" t="s">
        <v>363</v>
      </c>
      <c r="C114" s="11" t="s">
        <v>462</v>
      </c>
      <c r="D114" s="11" t="s">
        <v>1065</v>
      </c>
      <c r="E114" s="11" t="s">
        <v>145</v>
      </c>
      <c r="F114" s="11" t="s">
        <v>424</v>
      </c>
      <c r="G114" s="11" t="s">
        <v>356</v>
      </c>
      <c r="H114" s="11" t="s">
        <v>357</v>
      </c>
      <c r="I114" s="11" t="s">
        <v>38</v>
      </c>
    </row>
    <row r="115" spans="1:9" ht="19.95" customHeight="1" x14ac:dyDescent="0.3">
      <c r="A115" s="23">
        <v>46287.677195682867</v>
      </c>
      <c r="B115" s="25" t="s">
        <v>363</v>
      </c>
      <c r="C115" s="14" t="s">
        <v>943</v>
      </c>
      <c r="D115" s="14" t="s">
        <v>1066</v>
      </c>
      <c r="E115" s="14" t="s">
        <v>142</v>
      </c>
      <c r="F115" s="14" t="s">
        <v>380</v>
      </c>
      <c r="G115" s="14" t="s">
        <v>150</v>
      </c>
      <c r="H115" s="14" t="s">
        <v>508</v>
      </c>
      <c r="I115" s="14" t="s">
        <v>1067</v>
      </c>
    </row>
    <row r="116" spans="1:9" ht="19.95" customHeight="1" x14ac:dyDescent="0.3">
      <c r="A116" s="21">
        <v>46287.609659641203</v>
      </c>
      <c r="B116" s="26" t="s">
        <v>363</v>
      </c>
      <c r="C116" s="11" t="s">
        <v>1068</v>
      </c>
      <c r="D116" s="11" t="s">
        <v>1069</v>
      </c>
      <c r="E116" s="11" t="s">
        <v>142</v>
      </c>
      <c r="F116" s="11" t="s">
        <v>380</v>
      </c>
      <c r="G116" s="11" t="s">
        <v>152</v>
      </c>
      <c r="H116" s="11" t="s">
        <v>443</v>
      </c>
      <c r="I116" s="11" t="s">
        <v>1070</v>
      </c>
    </row>
    <row r="117" spans="1:9" ht="19.95" customHeight="1" x14ac:dyDescent="0.3">
      <c r="A117" s="23">
        <v>46287.604281435182</v>
      </c>
      <c r="B117" s="25" t="s">
        <v>363</v>
      </c>
      <c r="C117" s="14" t="s">
        <v>484</v>
      </c>
      <c r="D117" s="14" t="s">
        <v>1058</v>
      </c>
      <c r="E117" s="14" t="s">
        <v>145</v>
      </c>
      <c r="F117" s="14" t="s">
        <v>380</v>
      </c>
      <c r="G117" s="14" t="s">
        <v>139</v>
      </c>
      <c r="H117" s="14" t="s">
        <v>381</v>
      </c>
      <c r="I117" s="14" t="s">
        <v>1071</v>
      </c>
    </row>
    <row r="118" spans="1:9" ht="19.95" customHeight="1" x14ac:dyDescent="0.3">
      <c r="A118" s="21">
        <v>46287.589148194442</v>
      </c>
      <c r="B118" s="26" t="s">
        <v>363</v>
      </c>
      <c r="C118" s="11" t="s">
        <v>1072</v>
      </c>
      <c r="D118" s="11" t="s">
        <v>1073</v>
      </c>
      <c r="E118" s="11" t="s">
        <v>145</v>
      </c>
      <c r="F118" s="11" t="s">
        <v>380</v>
      </c>
      <c r="G118" s="11" t="s">
        <v>147</v>
      </c>
      <c r="H118" s="11" t="s">
        <v>381</v>
      </c>
      <c r="I118" s="11" t="s">
        <v>1074</v>
      </c>
    </row>
    <row r="119" spans="1:9" ht="19.95" customHeight="1" x14ac:dyDescent="0.3">
      <c r="A119" s="23">
        <v>46287.552195555552</v>
      </c>
      <c r="B119" s="25" t="s">
        <v>363</v>
      </c>
      <c r="C119" s="14" t="s">
        <v>430</v>
      </c>
      <c r="D119" s="14" t="s">
        <v>1075</v>
      </c>
      <c r="E119" s="14" t="s">
        <v>145</v>
      </c>
      <c r="F119" s="14" t="s">
        <v>424</v>
      </c>
      <c r="G119" s="14" t="s">
        <v>150</v>
      </c>
      <c r="H119" s="14" t="s">
        <v>247</v>
      </c>
      <c r="I119" s="14" t="s">
        <v>1076</v>
      </c>
    </row>
    <row r="120" spans="1:9" ht="19.95" customHeight="1" x14ac:dyDescent="0.3">
      <c r="A120" s="21">
        <v>46287.354277233797</v>
      </c>
      <c r="B120" s="26" t="s">
        <v>363</v>
      </c>
      <c r="C120" s="11" t="s">
        <v>430</v>
      </c>
      <c r="D120" s="11" t="s">
        <v>1077</v>
      </c>
      <c r="E120" s="11" t="s">
        <v>145</v>
      </c>
      <c r="F120" s="11" t="s">
        <v>432</v>
      </c>
      <c r="G120" s="11" t="s">
        <v>356</v>
      </c>
      <c r="H120" s="11" t="s">
        <v>357</v>
      </c>
      <c r="I120" s="11" t="s">
        <v>38</v>
      </c>
    </row>
    <row r="121" spans="1:9" ht="19.95" customHeight="1" x14ac:dyDescent="0.3">
      <c r="A121" s="23">
        <v>46287.010524976853</v>
      </c>
      <c r="B121" s="25" t="s">
        <v>363</v>
      </c>
      <c r="C121" s="14" t="s">
        <v>943</v>
      </c>
      <c r="D121" s="14" t="s">
        <v>1061</v>
      </c>
      <c r="E121" s="14" t="s">
        <v>145</v>
      </c>
      <c r="F121" s="14" t="s">
        <v>380</v>
      </c>
      <c r="G121" s="14" t="s">
        <v>147</v>
      </c>
      <c r="H121" s="14" t="s">
        <v>247</v>
      </c>
      <c r="I121" s="14" t="s">
        <v>1078</v>
      </c>
    </row>
    <row r="122" spans="1:9" ht="19.95" customHeight="1" x14ac:dyDescent="0.3">
      <c r="A122" s="21">
        <v>46286.880459386572</v>
      </c>
      <c r="B122" s="26" t="s">
        <v>363</v>
      </c>
      <c r="C122" s="11" t="s">
        <v>359</v>
      </c>
      <c r="D122" s="11" t="s">
        <v>410</v>
      </c>
      <c r="E122" s="11" t="s">
        <v>142</v>
      </c>
      <c r="F122" s="11" t="s">
        <v>424</v>
      </c>
      <c r="G122" s="11" t="s">
        <v>152</v>
      </c>
      <c r="H122" s="11" t="s">
        <v>242</v>
      </c>
      <c r="I122" s="11" t="s">
        <v>1079</v>
      </c>
    </row>
    <row r="123" spans="1:9" ht="19.95" customHeight="1" x14ac:dyDescent="0.3">
      <c r="A123" s="23">
        <v>46286.802191631941</v>
      </c>
      <c r="B123" s="25" t="s">
        <v>363</v>
      </c>
      <c r="C123" s="14" t="s">
        <v>434</v>
      </c>
      <c r="D123" s="14" t="s">
        <v>1080</v>
      </c>
      <c r="E123" s="14" t="s">
        <v>142</v>
      </c>
      <c r="F123" s="14" t="s">
        <v>424</v>
      </c>
      <c r="G123" s="14" t="s">
        <v>356</v>
      </c>
      <c r="H123" s="14" t="s">
        <v>357</v>
      </c>
      <c r="I123" s="14" t="s">
        <v>38</v>
      </c>
    </row>
    <row r="124" spans="1:9" ht="19.95" customHeight="1" x14ac:dyDescent="0.3">
      <c r="A124" s="21">
        <v>46286.760523842589</v>
      </c>
      <c r="B124" s="26" t="s">
        <v>363</v>
      </c>
      <c r="C124" s="11" t="s">
        <v>920</v>
      </c>
      <c r="D124" s="11" t="s">
        <v>1069</v>
      </c>
      <c r="E124" s="11" t="s">
        <v>142</v>
      </c>
      <c r="F124" s="11" t="s">
        <v>380</v>
      </c>
      <c r="G124" s="11" t="s">
        <v>152</v>
      </c>
      <c r="H124" s="11" t="s">
        <v>443</v>
      </c>
      <c r="I124" s="11" t="s">
        <v>1081</v>
      </c>
    </row>
    <row r="125" spans="1:9" ht="19.95" customHeight="1" x14ac:dyDescent="0.3">
      <c r="A125" s="23">
        <v>46286.739694525473</v>
      </c>
      <c r="B125" s="16" t="s">
        <v>440</v>
      </c>
      <c r="C125" s="14" t="s">
        <v>945</v>
      </c>
      <c r="D125" s="14" t="s">
        <v>1063</v>
      </c>
      <c r="E125" s="14" t="s">
        <v>142</v>
      </c>
      <c r="F125" s="14" t="s">
        <v>380</v>
      </c>
      <c r="G125" s="14" t="s">
        <v>139</v>
      </c>
      <c r="H125" s="14" t="s">
        <v>381</v>
      </c>
      <c r="I125" s="14" t="s">
        <v>1082</v>
      </c>
    </row>
    <row r="126" spans="1:9" ht="19.95" customHeight="1" x14ac:dyDescent="0.3">
      <c r="A126" s="21">
        <v>46286.739690173607</v>
      </c>
      <c r="B126" s="13" t="s">
        <v>440</v>
      </c>
      <c r="C126" s="11" t="s">
        <v>1083</v>
      </c>
      <c r="D126" s="11" t="s">
        <v>1073</v>
      </c>
      <c r="E126" s="11" t="s">
        <v>145</v>
      </c>
      <c r="F126" s="11" t="s">
        <v>380</v>
      </c>
      <c r="G126" s="11" t="s">
        <v>147</v>
      </c>
      <c r="H126" s="11" t="s">
        <v>381</v>
      </c>
      <c r="I126" s="11" t="s">
        <v>1084</v>
      </c>
    </row>
    <row r="127" spans="1:9" ht="19.95" customHeight="1" x14ac:dyDescent="0.3">
      <c r="A127" s="23">
        <v>46286.730983946763</v>
      </c>
      <c r="B127" s="16" t="s">
        <v>440</v>
      </c>
      <c r="C127" s="14" t="s">
        <v>1085</v>
      </c>
      <c r="D127" s="14" t="s">
        <v>1086</v>
      </c>
      <c r="E127" s="14" t="s">
        <v>361</v>
      </c>
      <c r="F127" s="14" t="s">
        <v>1087</v>
      </c>
      <c r="G127" s="14" t="s">
        <v>152</v>
      </c>
      <c r="H127" s="14" t="s">
        <v>1087</v>
      </c>
      <c r="I127" s="14" t="s">
        <v>1088</v>
      </c>
    </row>
    <row r="128" spans="1:9" ht="19.95" customHeight="1" x14ac:dyDescent="0.3">
      <c r="A128" s="21">
        <v>46286.728891689818</v>
      </c>
      <c r="B128" s="13" t="s">
        <v>440</v>
      </c>
      <c r="C128" s="11" t="s">
        <v>1057</v>
      </c>
      <c r="D128" s="11" t="s">
        <v>1089</v>
      </c>
      <c r="E128" s="11" t="s">
        <v>142</v>
      </c>
      <c r="F128" s="11" t="s">
        <v>380</v>
      </c>
      <c r="G128" s="11" t="s">
        <v>139</v>
      </c>
      <c r="H128" s="11" t="s">
        <v>381</v>
      </c>
      <c r="I128" s="11" t="s">
        <v>1090</v>
      </c>
    </row>
    <row r="129" spans="1:9" ht="19.95" customHeight="1" x14ac:dyDescent="0.3">
      <c r="A129" s="23">
        <v>46286.699468356477</v>
      </c>
      <c r="B129" s="16" t="s">
        <v>440</v>
      </c>
      <c r="C129" s="14" t="s">
        <v>427</v>
      </c>
      <c r="D129" s="14" t="s">
        <v>1091</v>
      </c>
      <c r="E129" s="14" t="s">
        <v>145</v>
      </c>
      <c r="F129" s="14" t="s">
        <v>380</v>
      </c>
      <c r="G129" s="14" t="s">
        <v>147</v>
      </c>
      <c r="H129" s="14" t="s">
        <v>508</v>
      </c>
      <c r="I129" s="14" t="s">
        <v>1092</v>
      </c>
    </row>
    <row r="130" spans="1:9" ht="19.95" customHeight="1" x14ac:dyDescent="0.3">
      <c r="A130" s="21">
        <v>46286.696092465281</v>
      </c>
      <c r="B130" s="13" t="s">
        <v>440</v>
      </c>
      <c r="C130" s="11" t="s">
        <v>427</v>
      </c>
      <c r="D130" s="11" t="s">
        <v>1093</v>
      </c>
      <c r="E130" s="11" t="s">
        <v>145</v>
      </c>
      <c r="F130" s="11" t="s">
        <v>380</v>
      </c>
      <c r="G130" s="11" t="s">
        <v>150</v>
      </c>
      <c r="H130" s="11" t="s">
        <v>508</v>
      </c>
      <c r="I130" s="11" t="s">
        <v>1094</v>
      </c>
    </row>
    <row r="131" spans="1:9" ht="19.95" customHeight="1" x14ac:dyDescent="0.3">
      <c r="A131" s="23">
        <v>46286.691843171298</v>
      </c>
      <c r="B131" s="16" t="s">
        <v>440</v>
      </c>
      <c r="C131" s="14" t="s">
        <v>427</v>
      </c>
      <c r="D131" s="14" t="s">
        <v>409</v>
      </c>
      <c r="E131" s="14" t="s">
        <v>142</v>
      </c>
      <c r="F131" s="14" t="s">
        <v>380</v>
      </c>
      <c r="G131" s="14" t="s">
        <v>147</v>
      </c>
      <c r="H131" s="14" t="s">
        <v>381</v>
      </c>
      <c r="I131" s="14" t="s">
        <v>1095</v>
      </c>
    </row>
    <row r="132" spans="1:9" ht="19.95" customHeight="1" x14ac:dyDescent="0.3">
      <c r="A132" s="21">
        <v>46286.687000844897</v>
      </c>
      <c r="B132" s="13" t="s">
        <v>440</v>
      </c>
      <c r="C132" s="11" t="s">
        <v>427</v>
      </c>
      <c r="D132" s="11" t="s">
        <v>1096</v>
      </c>
      <c r="E132" s="11" t="s">
        <v>145</v>
      </c>
      <c r="F132" s="11" t="s">
        <v>1087</v>
      </c>
      <c r="G132" s="11" t="s">
        <v>150</v>
      </c>
      <c r="H132" s="11" t="s">
        <v>1087</v>
      </c>
      <c r="I132" s="11" t="s">
        <v>1097</v>
      </c>
    </row>
    <row r="133" spans="1:9" ht="19.95" customHeight="1" x14ac:dyDescent="0.3">
      <c r="A133" s="23">
        <v>46286.677707141207</v>
      </c>
      <c r="B133" s="16" t="s">
        <v>440</v>
      </c>
      <c r="C133" s="14" t="s">
        <v>427</v>
      </c>
      <c r="D133" s="14" t="s">
        <v>1098</v>
      </c>
      <c r="E133" s="14" t="s">
        <v>361</v>
      </c>
      <c r="F133" s="14" t="s">
        <v>380</v>
      </c>
      <c r="G133" s="14" t="s">
        <v>150</v>
      </c>
      <c r="H133" s="14" t="s">
        <v>508</v>
      </c>
      <c r="I133" s="14" t="s">
        <v>1099</v>
      </c>
    </row>
    <row r="134" spans="1:9" ht="19.95" customHeight="1" x14ac:dyDescent="0.3">
      <c r="A134" s="21">
        <v>46286.633715821758</v>
      </c>
      <c r="B134" s="13" t="s">
        <v>440</v>
      </c>
      <c r="C134" s="11" t="s">
        <v>427</v>
      </c>
      <c r="D134" s="11" t="s">
        <v>1100</v>
      </c>
      <c r="E134" s="11" t="s">
        <v>142</v>
      </c>
      <c r="F134" s="11" t="s">
        <v>424</v>
      </c>
      <c r="G134" s="11" t="s">
        <v>356</v>
      </c>
      <c r="H134" s="11" t="s">
        <v>357</v>
      </c>
      <c r="I134" s="11" t="s">
        <v>38</v>
      </c>
    </row>
    <row r="135" spans="1:9" ht="19.95" customHeight="1" x14ac:dyDescent="0.3">
      <c r="A135" s="23">
        <v>46286.633714687501</v>
      </c>
      <c r="B135" s="16" t="s">
        <v>440</v>
      </c>
      <c r="C135" s="14" t="s">
        <v>427</v>
      </c>
      <c r="D135" s="14" t="s">
        <v>1101</v>
      </c>
      <c r="E135" s="14" t="s">
        <v>145</v>
      </c>
      <c r="F135" s="14" t="s">
        <v>424</v>
      </c>
      <c r="G135" s="14" t="s">
        <v>356</v>
      </c>
      <c r="H135" s="14" t="s">
        <v>357</v>
      </c>
      <c r="I135" s="14" t="s">
        <v>38</v>
      </c>
    </row>
    <row r="136" spans="1:9" ht="19.95" customHeight="1" x14ac:dyDescent="0.3">
      <c r="A136" s="21">
        <v>46286.633713449082</v>
      </c>
      <c r="B136" s="13" t="s">
        <v>440</v>
      </c>
      <c r="C136" s="11" t="s">
        <v>427</v>
      </c>
      <c r="D136" s="11" t="s">
        <v>1102</v>
      </c>
      <c r="E136" s="11" t="s">
        <v>145</v>
      </c>
      <c r="F136" s="11" t="s">
        <v>432</v>
      </c>
      <c r="G136" s="11" t="s">
        <v>356</v>
      </c>
      <c r="H136" s="11" t="s">
        <v>357</v>
      </c>
      <c r="I136" s="11" t="s">
        <v>38</v>
      </c>
    </row>
    <row r="137" spans="1:9" ht="19.95" customHeight="1" x14ac:dyDescent="0.3">
      <c r="A137" s="23">
        <v>46286.633711875002</v>
      </c>
      <c r="B137" s="16" t="s">
        <v>440</v>
      </c>
      <c r="C137" s="14" t="s">
        <v>427</v>
      </c>
      <c r="D137" s="14" t="s">
        <v>1091</v>
      </c>
      <c r="E137" s="14" t="s">
        <v>145</v>
      </c>
      <c r="F137" s="14" t="s">
        <v>380</v>
      </c>
      <c r="G137" s="14" t="s">
        <v>147</v>
      </c>
      <c r="H137" s="14" t="s">
        <v>508</v>
      </c>
      <c r="I137" s="14" t="s">
        <v>1103</v>
      </c>
    </row>
    <row r="138" spans="1:9" ht="19.95" customHeight="1" x14ac:dyDescent="0.3">
      <c r="A138" s="21">
        <v>46286.633710613423</v>
      </c>
      <c r="B138" s="13" t="s">
        <v>440</v>
      </c>
      <c r="C138" s="11" t="s">
        <v>427</v>
      </c>
      <c r="D138" s="11" t="s">
        <v>1104</v>
      </c>
      <c r="E138" s="11" t="s">
        <v>145</v>
      </c>
      <c r="F138" s="11" t="s">
        <v>424</v>
      </c>
      <c r="G138" s="11" t="s">
        <v>356</v>
      </c>
      <c r="H138" s="11" t="s">
        <v>357</v>
      </c>
      <c r="I138" s="11" t="s">
        <v>1105</v>
      </c>
    </row>
    <row r="139" spans="1:9" ht="19.95" customHeight="1" x14ac:dyDescent="0.3">
      <c r="A139" s="23">
        <v>46286.633709293979</v>
      </c>
      <c r="B139" s="16" t="s">
        <v>440</v>
      </c>
      <c r="C139" s="14" t="s">
        <v>427</v>
      </c>
      <c r="D139" s="14" t="s">
        <v>1093</v>
      </c>
      <c r="E139" s="14" t="s">
        <v>145</v>
      </c>
      <c r="F139" s="14" t="s">
        <v>380</v>
      </c>
      <c r="G139" s="14" t="s">
        <v>150</v>
      </c>
      <c r="H139" s="14" t="s">
        <v>508</v>
      </c>
      <c r="I139" s="14" t="s">
        <v>1106</v>
      </c>
    </row>
    <row r="140" spans="1:9" ht="19.95" customHeight="1" x14ac:dyDescent="0.3">
      <c r="A140" s="21">
        <v>46286.633707835637</v>
      </c>
      <c r="B140" s="13" t="s">
        <v>440</v>
      </c>
      <c r="C140" s="11" t="s">
        <v>427</v>
      </c>
      <c r="D140" s="11" t="s">
        <v>409</v>
      </c>
      <c r="E140" s="11" t="s">
        <v>142</v>
      </c>
      <c r="F140" s="11" t="s">
        <v>380</v>
      </c>
      <c r="G140" s="11" t="s">
        <v>147</v>
      </c>
      <c r="H140" s="11" t="s">
        <v>381</v>
      </c>
      <c r="I140" s="11" t="s">
        <v>1107</v>
      </c>
    </row>
    <row r="141" spans="1:9" ht="19.95" customHeight="1" x14ac:dyDescent="0.3">
      <c r="A141" s="23">
        <v>46286.633706689812</v>
      </c>
      <c r="B141" s="16" t="s">
        <v>440</v>
      </c>
      <c r="C141" s="14" t="s">
        <v>427</v>
      </c>
      <c r="D141" s="14" t="s">
        <v>1096</v>
      </c>
      <c r="E141" s="14" t="s">
        <v>145</v>
      </c>
      <c r="F141" s="14" t="s">
        <v>380</v>
      </c>
      <c r="G141" s="14" t="s">
        <v>150</v>
      </c>
      <c r="H141" s="14" t="s">
        <v>1087</v>
      </c>
      <c r="I141" s="14" t="s">
        <v>1108</v>
      </c>
    </row>
    <row r="142" spans="1:9" ht="19.95" customHeight="1" x14ac:dyDescent="0.3">
      <c r="A142" s="21">
        <v>46286.633705046297</v>
      </c>
      <c r="B142" s="13" t="s">
        <v>440</v>
      </c>
      <c r="C142" s="11" t="s">
        <v>427</v>
      </c>
      <c r="D142" s="11" t="s">
        <v>1109</v>
      </c>
      <c r="E142" s="11" t="s">
        <v>145</v>
      </c>
      <c r="F142" s="11" t="s">
        <v>424</v>
      </c>
      <c r="G142" s="11" t="s">
        <v>356</v>
      </c>
      <c r="H142" s="11" t="s">
        <v>357</v>
      </c>
      <c r="I142" s="11" t="s">
        <v>38</v>
      </c>
    </row>
    <row r="143" spans="1:9" ht="19.95" customHeight="1" x14ac:dyDescent="0.3">
      <c r="A143" s="23">
        <v>46286.633702951389</v>
      </c>
      <c r="B143" s="16" t="s">
        <v>440</v>
      </c>
      <c r="C143" s="14" t="s">
        <v>427</v>
      </c>
      <c r="D143" s="14" t="s">
        <v>1098</v>
      </c>
      <c r="E143" s="14" t="s">
        <v>361</v>
      </c>
      <c r="F143" s="14" t="s">
        <v>380</v>
      </c>
      <c r="G143" s="14" t="s">
        <v>152</v>
      </c>
      <c r="H143" s="14" t="s">
        <v>508</v>
      </c>
      <c r="I143" s="14" t="s">
        <v>1110</v>
      </c>
    </row>
    <row r="144" spans="1:9" ht="19.95" customHeight="1" x14ac:dyDescent="0.3">
      <c r="A144" s="21">
        <v>46286.633701192128</v>
      </c>
      <c r="B144" s="13" t="s">
        <v>440</v>
      </c>
      <c r="C144" s="11" t="s">
        <v>427</v>
      </c>
      <c r="D144" s="11" t="s">
        <v>1111</v>
      </c>
      <c r="E144" s="11" t="s">
        <v>142</v>
      </c>
      <c r="F144" s="11" t="s">
        <v>432</v>
      </c>
      <c r="G144" s="11" t="s">
        <v>356</v>
      </c>
      <c r="H144" s="11" t="s">
        <v>357</v>
      </c>
      <c r="I144" s="11" t="s">
        <v>433</v>
      </c>
    </row>
    <row r="145" spans="1:9" ht="19.95" customHeight="1" x14ac:dyDescent="0.3">
      <c r="A145" s="23">
        <v>46286.633699016202</v>
      </c>
      <c r="B145" s="16" t="s">
        <v>440</v>
      </c>
      <c r="C145" s="14" t="s">
        <v>427</v>
      </c>
      <c r="D145" s="14" t="s">
        <v>1112</v>
      </c>
      <c r="E145" s="14" t="s">
        <v>145</v>
      </c>
      <c r="F145" s="14" t="s">
        <v>424</v>
      </c>
      <c r="G145" s="14" t="s">
        <v>356</v>
      </c>
      <c r="H145" s="14" t="s">
        <v>357</v>
      </c>
      <c r="I145" s="14" t="s">
        <v>38</v>
      </c>
    </row>
    <row r="146" spans="1:9" ht="19.95" customHeight="1" x14ac:dyDescent="0.3">
      <c r="A146" s="21">
        <v>46286.633697118057</v>
      </c>
      <c r="B146" s="13" t="s">
        <v>440</v>
      </c>
      <c r="C146" s="11" t="s">
        <v>427</v>
      </c>
      <c r="D146" s="11" t="s">
        <v>1113</v>
      </c>
      <c r="E146" s="11" t="s">
        <v>145</v>
      </c>
      <c r="F146" s="11" t="s">
        <v>432</v>
      </c>
      <c r="G146" s="11" t="s">
        <v>356</v>
      </c>
      <c r="H146" s="11" t="s">
        <v>357</v>
      </c>
      <c r="I146" s="11" t="s">
        <v>38</v>
      </c>
    </row>
    <row r="147" spans="1:9" ht="19.95" customHeight="1" x14ac:dyDescent="0.3">
      <c r="A147" s="23">
        <v>46286.586011979169</v>
      </c>
      <c r="B147" s="16" t="s">
        <v>440</v>
      </c>
      <c r="C147" s="14" t="s">
        <v>1028</v>
      </c>
      <c r="D147" s="14" t="s">
        <v>1114</v>
      </c>
      <c r="E147" s="14" t="s">
        <v>145</v>
      </c>
      <c r="F147" s="14" t="s">
        <v>380</v>
      </c>
      <c r="G147" s="14" t="s">
        <v>139</v>
      </c>
      <c r="H147" s="14" t="s">
        <v>381</v>
      </c>
      <c r="I147" s="14" t="s">
        <v>1115</v>
      </c>
    </row>
    <row r="148" spans="1:9" ht="19.95" customHeight="1" x14ac:dyDescent="0.3">
      <c r="A148" s="21">
        <v>46286.576573599537</v>
      </c>
      <c r="B148" s="13" t="s">
        <v>440</v>
      </c>
      <c r="C148" s="11" t="s">
        <v>1116</v>
      </c>
      <c r="D148" s="11" t="s">
        <v>1117</v>
      </c>
      <c r="E148" s="11" t="s">
        <v>145</v>
      </c>
      <c r="F148" s="11" t="s">
        <v>380</v>
      </c>
      <c r="G148" s="11" t="s">
        <v>139</v>
      </c>
      <c r="H148" s="11" t="s">
        <v>381</v>
      </c>
      <c r="I148" s="11" t="s">
        <v>1118</v>
      </c>
    </row>
    <row r="149" spans="1:9" ht="19.95" customHeight="1" x14ac:dyDescent="0.3">
      <c r="A149" s="23">
        <v>46286.576035891201</v>
      </c>
      <c r="B149" s="16" t="s">
        <v>440</v>
      </c>
      <c r="C149" s="14" t="s">
        <v>1119</v>
      </c>
      <c r="D149" s="14" t="s">
        <v>1120</v>
      </c>
      <c r="E149" s="14" t="s">
        <v>361</v>
      </c>
      <c r="F149" s="14" t="s">
        <v>424</v>
      </c>
      <c r="G149" s="14" t="s">
        <v>152</v>
      </c>
      <c r="H149" s="14" t="s">
        <v>247</v>
      </c>
      <c r="I149" s="14" t="s">
        <v>1121</v>
      </c>
    </row>
    <row r="150" spans="1:9" ht="19.95" customHeight="1" x14ac:dyDescent="0.3">
      <c r="A150" s="21">
        <v>46286.570958171287</v>
      </c>
      <c r="B150" s="13" t="s">
        <v>440</v>
      </c>
      <c r="C150" s="11" t="s">
        <v>1122</v>
      </c>
      <c r="D150" s="11" t="s">
        <v>1123</v>
      </c>
      <c r="E150" s="11" t="s">
        <v>142</v>
      </c>
      <c r="F150" s="11" t="s">
        <v>380</v>
      </c>
      <c r="G150" s="11" t="s">
        <v>152</v>
      </c>
      <c r="H150" s="11" t="s">
        <v>443</v>
      </c>
      <c r="I150" s="11" t="s">
        <v>1124</v>
      </c>
    </row>
    <row r="151" spans="1:9" ht="19.95" customHeight="1" x14ac:dyDescent="0.3">
      <c r="A151" s="23">
        <v>46286.56261390046</v>
      </c>
      <c r="B151" s="16" t="s">
        <v>440</v>
      </c>
      <c r="C151" s="14" t="s">
        <v>1125</v>
      </c>
      <c r="D151" s="14" t="s">
        <v>1117</v>
      </c>
      <c r="E151" s="14" t="s">
        <v>145</v>
      </c>
      <c r="F151" s="14" t="s">
        <v>380</v>
      </c>
      <c r="G151" s="14" t="s">
        <v>139</v>
      </c>
      <c r="H151" s="14" t="s">
        <v>381</v>
      </c>
      <c r="I151" s="14" t="s">
        <v>1126</v>
      </c>
    </row>
    <row r="152" spans="1:9" ht="19.95" customHeight="1" x14ac:dyDescent="0.3">
      <c r="A152" s="21">
        <v>46286.562607581021</v>
      </c>
      <c r="B152" s="13" t="s">
        <v>440</v>
      </c>
      <c r="C152" s="11" t="s">
        <v>1009</v>
      </c>
      <c r="D152" s="11" t="s">
        <v>1123</v>
      </c>
      <c r="E152" s="11" t="s">
        <v>142</v>
      </c>
      <c r="F152" s="11" t="s">
        <v>380</v>
      </c>
      <c r="G152" s="11" t="s">
        <v>152</v>
      </c>
      <c r="H152" s="11" t="s">
        <v>443</v>
      </c>
      <c r="I152" s="11" t="s">
        <v>1127</v>
      </c>
    </row>
    <row r="153" spans="1:9" ht="19.95" customHeight="1" x14ac:dyDescent="0.3">
      <c r="A153" s="23">
        <v>46286.552192048614</v>
      </c>
      <c r="B153" s="16" t="s">
        <v>440</v>
      </c>
      <c r="C153" s="14" t="s">
        <v>1125</v>
      </c>
      <c r="D153" s="14" t="s">
        <v>1128</v>
      </c>
      <c r="E153" s="14" t="s">
        <v>142</v>
      </c>
      <c r="F153" s="14" t="s">
        <v>424</v>
      </c>
      <c r="G153" s="14" t="s">
        <v>356</v>
      </c>
      <c r="H153" s="14" t="s">
        <v>357</v>
      </c>
      <c r="I153" s="14" t="s">
        <v>38</v>
      </c>
    </row>
    <row r="154" spans="1:9" ht="19.95" customHeight="1" x14ac:dyDescent="0.3">
      <c r="A154" s="21">
        <v>46286.541773321762</v>
      </c>
      <c r="B154" s="13" t="s">
        <v>440</v>
      </c>
      <c r="C154" s="11" t="s">
        <v>1129</v>
      </c>
      <c r="D154" s="11" t="s">
        <v>1120</v>
      </c>
      <c r="E154" s="11" t="s">
        <v>361</v>
      </c>
      <c r="F154" s="11" t="s">
        <v>380</v>
      </c>
      <c r="G154" s="11" t="s">
        <v>152</v>
      </c>
      <c r="H154" s="11" t="s">
        <v>247</v>
      </c>
      <c r="I154" s="11" t="s">
        <v>1130</v>
      </c>
    </row>
    <row r="155" spans="1:9" ht="19.95" customHeight="1" x14ac:dyDescent="0.3">
      <c r="A155" s="23">
        <v>46286.512011585648</v>
      </c>
      <c r="B155" s="16" t="s">
        <v>440</v>
      </c>
      <c r="C155" s="14" t="s">
        <v>1060</v>
      </c>
      <c r="D155" s="14" t="s">
        <v>1131</v>
      </c>
      <c r="E155" s="14" t="s">
        <v>145</v>
      </c>
      <c r="F155" s="14" t="s">
        <v>424</v>
      </c>
      <c r="G155" s="14" t="s">
        <v>150</v>
      </c>
      <c r="H155" s="14" t="s">
        <v>252</v>
      </c>
      <c r="I155" s="14" t="s">
        <v>1132</v>
      </c>
    </row>
    <row r="156" spans="1:9" ht="19.95" customHeight="1" x14ac:dyDescent="0.3">
      <c r="A156" s="21">
        <v>46286.508165208332</v>
      </c>
      <c r="B156" s="13" t="s">
        <v>440</v>
      </c>
      <c r="C156" s="11" t="s">
        <v>1133</v>
      </c>
      <c r="D156" s="11" t="s">
        <v>1134</v>
      </c>
      <c r="E156" s="11" t="s">
        <v>145</v>
      </c>
      <c r="F156" s="11" t="s">
        <v>424</v>
      </c>
      <c r="G156" s="11" t="s">
        <v>150</v>
      </c>
      <c r="H156" s="11" t="s">
        <v>256</v>
      </c>
      <c r="I156" s="11" t="s">
        <v>1135</v>
      </c>
    </row>
    <row r="157" spans="1:9" ht="19.95" customHeight="1" x14ac:dyDescent="0.3">
      <c r="A157" s="23">
        <v>46286.503612337961</v>
      </c>
      <c r="B157" s="16" t="s">
        <v>440</v>
      </c>
      <c r="C157" s="14" t="s">
        <v>1085</v>
      </c>
      <c r="D157" s="14" t="s">
        <v>1086</v>
      </c>
      <c r="E157" s="14" t="s">
        <v>361</v>
      </c>
      <c r="F157" s="14" t="s">
        <v>380</v>
      </c>
      <c r="G157" s="14" t="s">
        <v>152</v>
      </c>
      <c r="H157" s="14" t="s">
        <v>355</v>
      </c>
      <c r="I157" s="14" t="s">
        <v>1136</v>
      </c>
    </row>
    <row r="158" spans="1:9" ht="19.95" customHeight="1" x14ac:dyDescent="0.3">
      <c r="A158" s="21">
        <v>46286.495880462957</v>
      </c>
      <c r="B158" s="13" t="s">
        <v>440</v>
      </c>
      <c r="C158" s="11" t="s">
        <v>1068</v>
      </c>
      <c r="D158" s="11" t="s">
        <v>1137</v>
      </c>
      <c r="E158" s="11" t="s">
        <v>145</v>
      </c>
      <c r="F158" s="11" t="s">
        <v>380</v>
      </c>
      <c r="G158" s="11" t="s">
        <v>147</v>
      </c>
      <c r="H158" s="11" t="s">
        <v>1087</v>
      </c>
      <c r="I158" s="11" t="s">
        <v>1138</v>
      </c>
    </row>
    <row r="159" spans="1:9" ht="19.95" customHeight="1" x14ac:dyDescent="0.3">
      <c r="A159" s="23">
        <v>46286.479275625003</v>
      </c>
      <c r="B159" s="16" t="s">
        <v>440</v>
      </c>
      <c r="C159" s="14" t="s">
        <v>462</v>
      </c>
      <c r="D159" s="14" t="s">
        <v>1139</v>
      </c>
      <c r="E159" s="14" t="s">
        <v>145</v>
      </c>
      <c r="F159" s="14" t="s">
        <v>432</v>
      </c>
      <c r="G159" s="14" t="s">
        <v>356</v>
      </c>
      <c r="H159" s="14" t="s">
        <v>357</v>
      </c>
      <c r="I159" s="14" t="s">
        <v>38</v>
      </c>
    </row>
    <row r="160" spans="1:9" ht="19.95" customHeight="1" x14ac:dyDescent="0.3">
      <c r="A160" s="21">
        <v>46285.948020868047</v>
      </c>
      <c r="B160" s="13" t="s">
        <v>440</v>
      </c>
      <c r="C160" s="11" t="s">
        <v>430</v>
      </c>
      <c r="D160" s="11" t="s">
        <v>1134</v>
      </c>
      <c r="E160" s="11" t="s">
        <v>145</v>
      </c>
      <c r="F160" s="11" t="s">
        <v>380</v>
      </c>
      <c r="G160" s="11" t="s">
        <v>150</v>
      </c>
      <c r="H160" s="11" t="s">
        <v>256</v>
      </c>
      <c r="I160" s="11" t="s">
        <v>1140</v>
      </c>
    </row>
    <row r="161" spans="1:9" ht="19.95" customHeight="1" x14ac:dyDescent="0.3">
      <c r="A161" s="23">
        <v>46285.875103564817</v>
      </c>
      <c r="B161" s="16" t="s">
        <v>440</v>
      </c>
      <c r="C161" s="14" t="s">
        <v>943</v>
      </c>
      <c r="D161" s="14" t="s">
        <v>1131</v>
      </c>
      <c r="E161" s="14" t="s">
        <v>145</v>
      </c>
      <c r="F161" s="14" t="s">
        <v>380</v>
      </c>
      <c r="G161" s="14" t="s">
        <v>150</v>
      </c>
      <c r="H161" s="14" t="s">
        <v>252</v>
      </c>
      <c r="I161" s="14" t="s">
        <v>1141</v>
      </c>
    </row>
    <row r="162" spans="1:9" ht="19.95" customHeight="1" x14ac:dyDescent="0.3">
      <c r="A162" s="21">
        <v>46285.729267210649</v>
      </c>
      <c r="B162" s="13" t="s">
        <v>440</v>
      </c>
      <c r="C162" s="11" t="s">
        <v>1142</v>
      </c>
      <c r="D162" s="11" t="s">
        <v>1143</v>
      </c>
      <c r="E162" s="11" t="s">
        <v>145</v>
      </c>
      <c r="F162" s="11" t="s">
        <v>428</v>
      </c>
      <c r="G162" s="11" t="s">
        <v>356</v>
      </c>
      <c r="H162" s="11" t="s">
        <v>357</v>
      </c>
      <c r="I162" s="11" t="s">
        <v>1144</v>
      </c>
    </row>
    <row r="163" spans="1:9" ht="19.95" customHeight="1" x14ac:dyDescent="0.3">
      <c r="A163" s="23">
        <v>46285.645937685193</v>
      </c>
      <c r="B163" s="16" t="s">
        <v>440</v>
      </c>
      <c r="C163" s="14" t="s">
        <v>484</v>
      </c>
      <c r="D163" s="14" t="s">
        <v>1145</v>
      </c>
      <c r="E163" s="14" t="s">
        <v>145</v>
      </c>
      <c r="F163" s="14" t="s">
        <v>432</v>
      </c>
      <c r="G163" s="14" t="s">
        <v>356</v>
      </c>
      <c r="H163" s="14" t="s">
        <v>357</v>
      </c>
      <c r="I163" s="14" t="s">
        <v>38</v>
      </c>
    </row>
    <row r="164" spans="1:9" ht="19.95" customHeight="1" x14ac:dyDescent="0.3">
      <c r="A164" s="21">
        <v>46285.635517743052</v>
      </c>
      <c r="B164" s="13" t="s">
        <v>440</v>
      </c>
      <c r="C164" s="11" t="s">
        <v>1146</v>
      </c>
      <c r="D164" s="11" t="s">
        <v>1147</v>
      </c>
      <c r="E164" s="11" t="s">
        <v>145</v>
      </c>
      <c r="F164" s="11" t="s">
        <v>432</v>
      </c>
      <c r="G164" s="11" t="s">
        <v>356</v>
      </c>
      <c r="H164" s="11" t="s">
        <v>357</v>
      </c>
      <c r="I164" s="11" t="s">
        <v>38</v>
      </c>
    </row>
    <row r="165" spans="1:9" ht="19.95" customHeight="1" x14ac:dyDescent="0.3">
      <c r="A165" s="23">
        <v>46285.583437152767</v>
      </c>
      <c r="B165" s="16" t="s">
        <v>440</v>
      </c>
      <c r="C165" s="14" t="s">
        <v>945</v>
      </c>
      <c r="D165" s="14" t="s">
        <v>1114</v>
      </c>
      <c r="E165" s="14" t="s">
        <v>145</v>
      </c>
      <c r="F165" s="14" t="s">
        <v>380</v>
      </c>
      <c r="G165" s="14" t="s">
        <v>139</v>
      </c>
      <c r="H165" s="14" t="s">
        <v>381</v>
      </c>
      <c r="I165" s="14" t="s">
        <v>1148</v>
      </c>
    </row>
    <row r="166" spans="1:9" ht="19.95" customHeight="1" x14ac:dyDescent="0.3">
      <c r="A166" s="21">
        <v>46285.465651759259</v>
      </c>
      <c r="B166" s="13" t="s">
        <v>440</v>
      </c>
      <c r="C166" s="11" t="s">
        <v>427</v>
      </c>
      <c r="D166" s="11" t="s">
        <v>1149</v>
      </c>
      <c r="E166" s="11" t="s">
        <v>145</v>
      </c>
      <c r="F166" s="11" t="s">
        <v>432</v>
      </c>
      <c r="G166" s="11" t="s">
        <v>356</v>
      </c>
      <c r="H166" s="11" t="s">
        <v>357</v>
      </c>
      <c r="I166" s="11" t="s">
        <v>38</v>
      </c>
    </row>
    <row r="167" spans="1:9" ht="19.95" customHeight="1" x14ac:dyDescent="0.3">
      <c r="A167" s="23">
        <v>46285.465650405087</v>
      </c>
      <c r="B167" s="16" t="s">
        <v>440</v>
      </c>
      <c r="C167" s="14" t="s">
        <v>427</v>
      </c>
      <c r="D167" s="14" t="s">
        <v>1150</v>
      </c>
      <c r="E167" s="14" t="s">
        <v>145</v>
      </c>
      <c r="F167" s="14" t="s">
        <v>432</v>
      </c>
      <c r="G167" s="14" t="s">
        <v>356</v>
      </c>
      <c r="H167" s="14" t="s">
        <v>357</v>
      </c>
      <c r="I167" s="14" t="s">
        <v>38</v>
      </c>
    </row>
    <row r="168" spans="1:9" ht="19.95" customHeight="1" x14ac:dyDescent="0.3">
      <c r="A168" s="21">
        <v>46285.465648900463</v>
      </c>
      <c r="B168" s="13" t="s">
        <v>440</v>
      </c>
      <c r="C168" s="11" t="s">
        <v>427</v>
      </c>
      <c r="D168" s="11" t="s">
        <v>1151</v>
      </c>
      <c r="E168" s="11" t="s">
        <v>142</v>
      </c>
      <c r="F168" s="11" t="s">
        <v>428</v>
      </c>
      <c r="G168" s="11" t="s">
        <v>356</v>
      </c>
      <c r="H168" s="11" t="s">
        <v>357</v>
      </c>
      <c r="I168" s="11" t="s">
        <v>1152</v>
      </c>
    </row>
    <row r="169" spans="1:9" ht="19.95" customHeight="1" x14ac:dyDescent="0.3">
      <c r="A169" s="23">
        <v>46285.46564696759</v>
      </c>
      <c r="B169" s="16" t="s">
        <v>440</v>
      </c>
      <c r="C169" s="14" t="s">
        <v>427</v>
      </c>
      <c r="D169" s="14" t="s">
        <v>1153</v>
      </c>
      <c r="E169" s="14" t="s">
        <v>145</v>
      </c>
      <c r="F169" s="14" t="s">
        <v>428</v>
      </c>
      <c r="G169" s="14" t="s">
        <v>356</v>
      </c>
      <c r="H169" s="14" t="s">
        <v>357</v>
      </c>
      <c r="I169" s="14" t="s">
        <v>1154</v>
      </c>
    </row>
    <row r="170" spans="1:9" ht="19.95" customHeight="1" x14ac:dyDescent="0.3">
      <c r="A170" s="21">
        <v>46285.465645474527</v>
      </c>
      <c r="B170" s="13" t="s">
        <v>440</v>
      </c>
      <c r="C170" s="11" t="s">
        <v>427</v>
      </c>
      <c r="D170" s="11" t="s">
        <v>1155</v>
      </c>
      <c r="E170" s="11" t="s">
        <v>145</v>
      </c>
      <c r="F170" s="11" t="s">
        <v>432</v>
      </c>
      <c r="G170" s="11" t="s">
        <v>356</v>
      </c>
      <c r="H170" s="11" t="s">
        <v>357</v>
      </c>
      <c r="I170" s="11" t="s">
        <v>38</v>
      </c>
    </row>
    <row r="171" spans="1:9" ht="19.95" customHeight="1" x14ac:dyDescent="0.3">
      <c r="A171" s="23">
        <v>46285.465644085649</v>
      </c>
      <c r="B171" s="16" t="s">
        <v>440</v>
      </c>
      <c r="C171" s="14" t="s">
        <v>427</v>
      </c>
      <c r="D171" s="14" t="s">
        <v>1156</v>
      </c>
      <c r="E171" s="14" t="s">
        <v>145</v>
      </c>
      <c r="F171" s="14" t="s">
        <v>432</v>
      </c>
      <c r="G171" s="14" t="s">
        <v>356</v>
      </c>
      <c r="H171" s="14" t="s">
        <v>357</v>
      </c>
      <c r="I171" s="14" t="s">
        <v>38</v>
      </c>
    </row>
    <row r="172" spans="1:9" ht="19.95" customHeight="1" x14ac:dyDescent="0.3">
      <c r="A172" s="21">
        <v>46285.458808379633</v>
      </c>
      <c r="B172" s="13" t="s">
        <v>440</v>
      </c>
      <c r="C172" s="11" t="s">
        <v>427</v>
      </c>
      <c r="D172" s="11" t="s">
        <v>403</v>
      </c>
      <c r="E172" s="11" t="s">
        <v>142</v>
      </c>
      <c r="F172" s="11" t="s">
        <v>380</v>
      </c>
      <c r="G172" s="11" t="s">
        <v>139</v>
      </c>
      <c r="H172" s="11" t="s">
        <v>381</v>
      </c>
      <c r="I172" s="11" t="s">
        <v>1157</v>
      </c>
    </row>
    <row r="173" spans="1:9" ht="19.95" customHeight="1" x14ac:dyDescent="0.3">
      <c r="A173" s="23">
        <v>46285.455542337957</v>
      </c>
      <c r="B173" s="16" t="s">
        <v>440</v>
      </c>
      <c r="C173" s="14" t="s">
        <v>1085</v>
      </c>
      <c r="D173" s="14" t="s">
        <v>1158</v>
      </c>
      <c r="E173" s="14" t="s">
        <v>361</v>
      </c>
      <c r="F173" s="14" t="s">
        <v>1006</v>
      </c>
      <c r="G173" s="14" t="s">
        <v>152</v>
      </c>
      <c r="H173" s="14" t="s">
        <v>1014</v>
      </c>
      <c r="I173" s="14" t="s">
        <v>1159</v>
      </c>
    </row>
    <row r="174" spans="1:9" ht="19.95" customHeight="1" x14ac:dyDescent="0.3">
      <c r="A174" s="21">
        <v>46285.375101898149</v>
      </c>
      <c r="B174" s="13" t="s">
        <v>440</v>
      </c>
      <c r="C174" s="11" t="s">
        <v>943</v>
      </c>
      <c r="D174" s="11" t="s">
        <v>1160</v>
      </c>
      <c r="E174" s="11" t="s">
        <v>145</v>
      </c>
      <c r="F174" s="11" t="s">
        <v>432</v>
      </c>
      <c r="G174" s="11" t="s">
        <v>356</v>
      </c>
      <c r="H174" s="11" t="s">
        <v>357</v>
      </c>
      <c r="I174" s="11" t="s">
        <v>38</v>
      </c>
    </row>
    <row r="175" spans="1:9" ht="19.95" customHeight="1" x14ac:dyDescent="0.3">
      <c r="A175" s="23">
        <v>46284.906349942132</v>
      </c>
      <c r="B175" s="16" t="s">
        <v>440</v>
      </c>
      <c r="C175" s="14" t="s">
        <v>920</v>
      </c>
      <c r="D175" s="14" t="s">
        <v>1161</v>
      </c>
      <c r="E175" s="14" t="s">
        <v>145</v>
      </c>
      <c r="F175" s="14" t="s">
        <v>424</v>
      </c>
      <c r="G175" s="14" t="s">
        <v>356</v>
      </c>
      <c r="H175" s="14" t="s">
        <v>357</v>
      </c>
      <c r="I175" s="14" t="s">
        <v>38</v>
      </c>
    </row>
    <row r="176" spans="1:9" ht="19.95" customHeight="1" x14ac:dyDescent="0.3">
      <c r="A176" s="21">
        <v>46284.854266238428</v>
      </c>
      <c r="B176" s="13" t="s">
        <v>440</v>
      </c>
      <c r="C176" s="11" t="s">
        <v>484</v>
      </c>
      <c r="D176" s="11" t="s">
        <v>1089</v>
      </c>
      <c r="E176" s="11" t="s">
        <v>142</v>
      </c>
      <c r="F176" s="11" t="s">
        <v>380</v>
      </c>
      <c r="G176" s="11" t="s">
        <v>139</v>
      </c>
      <c r="H176" s="11" t="s">
        <v>381</v>
      </c>
      <c r="I176" s="11" t="s">
        <v>1162</v>
      </c>
    </row>
    <row r="177" spans="1:9" ht="19.95" customHeight="1" x14ac:dyDescent="0.3">
      <c r="A177" s="23">
        <v>46284.78135070602</v>
      </c>
      <c r="B177" s="16" t="s">
        <v>440</v>
      </c>
      <c r="C177" s="14" t="s">
        <v>419</v>
      </c>
      <c r="D177" s="14" t="s">
        <v>1163</v>
      </c>
      <c r="E177" s="14" t="s">
        <v>145</v>
      </c>
      <c r="F177" s="14" t="s">
        <v>432</v>
      </c>
      <c r="G177" s="14" t="s">
        <v>356</v>
      </c>
      <c r="H177" s="14" t="s">
        <v>357</v>
      </c>
      <c r="I177" s="14" t="s">
        <v>38</v>
      </c>
    </row>
    <row r="178" spans="1:9" ht="19.95" customHeight="1" x14ac:dyDescent="0.3">
      <c r="A178" s="21">
        <v>46284.63586800926</v>
      </c>
      <c r="B178" s="13" t="s">
        <v>440</v>
      </c>
      <c r="C178" s="11" t="s">
        <v>1085</v>
      </c>
      <c r="D178" s="11" t="s">
        <v>1164</v>
      </c>
      <c r="E178" s="11" t="s">
        <v>361</v>
      </c>
      <c r="F178" s="11" t="s">
        <v>424</v>
      </c>
      <c r="G178" s="11" t="s">
        <v>152</v>
      </c>
      <c r="H178" s="11" t="s">
        <v>242</v>
      </c>
      <c r="I178" s="11" t="s">
        <v>1165</v>
      </c>
    </row>
    <row r="179" spans="1:9" ht="19.95" customHeight="1" x14ac:dyDescent="0.3">
      <c r="A179" s="23">
        <v>46284.613318171287</v>
      </c>
      <c r="B179" s="16" t="s">
        <v>440</v>
      </c>
      <c r="C179" s="14" t="s">
        <v>1085</v>
      </c>
      <c r="D179" s="14" t="s">
        <v>1166</v>
      </c>
      <c r="E179" s="14" t="s">
        <v>361</v>
      </c>
      <c r="F179" s="14" t="s">
        <v>380</v>
      </c>
      <c r="G179" s="14" t="s">
        <v>150</v>
      </c>
      <c r="H179" s="14" t="s">
        <v>508</v>
      </c>
      <c r="I179" s="14" t="s">
        <v>1167</v>
      </c>
    </row>
    <row r="180" spans="1:9" ht="19.95" customHeight="1" x14ac:dyDescent="0.3">
      <c r="A180" s="21">
        <v>46284.598664432873</v>
      </c>
      <c r="B180" s="13" t="s">
        <v>440</v>
      </c>
      <c r="C180" s="11" t="s">
        <v>427</v>
      </c>
      <c r="D180" s="11" t="s">
        <v>403</v>
      </c>
      <c r="E180" s="11" t="s">
        <v>142</v>
      </c>
      <c r="F180" s="11" t="s">
        <v>380</v>
      </c>
      <c r="G180" s="11" t="s">
        <v>139</v>
      </c>
      <c r="H180" s="11" t="s">
        <v>381</v>
      </c>
      <c r="I180" s="11" t="s">
        <v>1168</v>
      </c>
    </row>
    <row r="181" spans="1:9" ht="19.95" customHeight="1" x14ac:dyDescent="0.3">
      <c r="A181" s="23">
        <v>46284.586459432867</v>
      </c>
      <c r="B181" s="16" t="s">
        <v>440</v>
      </c>
      <c r="C181" s="14" t="s">
        <v>427</v>
      </c>
      <c r="D181" s="14" t="s">
        <v>1169</v>
      </c>
      <c r="E181" s="14" t="s">
        <v>145</v>
      </c>
      <c r="F181" s="14" t="s">
        <v>380</v>
      </c>
      <c r="G181" s="14" t="s">
        <v>152</v>
      </c>
      <c r="H181" s="14" t="s">
        <v>247</v>
      </c>
      <c r="I181" s="14" t="s">
        <v>1170</v>
      </c>
    </row>
    <row r="182" spans="1:9" ht="19.95" customHeight="1" x14ac:dyDescent="0.3">
      <c r="A182" s="21">
        <v>46284.586401550929</v>
      </c>
      <c r="B182" s="13" t="s">
        <v>440</v>
      </c>
      <c r="C182" s="11" t="s">
        <v>1171</v>
      </c>
      <c r="D182" s="11" t="s">
        <v>1172</v>
      </c>
      <c r="E182" s="11" t="s">
        <v>142</v>
      </c>
      <c r="F182" s="11" t="s">
        <v>380</v>
      </c>
      <c r="G182" s="11" t="s">
        <v>150</v>
      </c>
      <c r="H182" s="11" t="s">
        <v>242</v>
      </c>
      <c r="I182" s="11" t="s">
        <v>1173</v>
      </c>
    </row>
    <row r="183" spans="1:9" ht="19.95" customHeight="1" x14ac:dyDescent="0.3">
      <c r="A183" s="23">
        <v>46284.544658090279</v>
      </c>
      <c r="B183" s="16" t="s">
        <v>440</v>
      </c>
      <c r="C183" s="14" t="s">
        <v>487</v>
      </c>
      <c r="D183" s="14" t="s">
        <v>1172</v>
      </c>
      <c r="E183" s="14" t="s">
        <v>142</v>
      </c>
      <c r="F183" s="14" t="s">
        <v>380</v>
      </c>
      <c r="G183" s="14" t="s">
        <v>150</v>
      </c>
      <c r="H183" s="14" t="s">
        <v>242</v>
      </c>
      <c r="I183" s="14" t="s">
        <v>1174</v>
      </c>
    </row>
    <row r="184" spans="1:9" ht="19.95" customHeight="1" x14ac:dyDescent="0.3">
      <c r="A184" s="21">
        <v>46284.520756782411</v>
      </c>
      <c r="B184" s="13" t="s">
        <v>440</v>
      </c>
      <c r="C184" s="11" t="s">
        <v>1060</v>
      </c>
      <c r="D184" s="11" t="s">
        <v>1175</v>
      </c>
      <c r="E184" s="11" t="s">
        <v>145</v>
      </c>
      <c r="F184" s="11" t="s">
        <v>380</v>
      </c>
      <c r="G184" s="11" t="s">
        <v>152</v>
      </c>
      <c r="H184" s="11" t="s">
        <v>247</v>
      </c>
      <c r="I184" s="11" t="s">
        <v>1176</v>
      </c>
    </row>
    <row r="185" spans="1:9" ht="19.95" customHeight="1" x14ac:dyDescent="0.3">
      <c r="A185" s="23">
        <v>46284.517030763891</v>
      </c>
      <c r="B185" s="16" t="s">
        <v>440</v>
      </c>
      <c r="C185" s="14" t="s">
        <v>359</v>
      </c>
      <c r="D185" s="14" t="s">
        <v>1177</v>
      </c>
      <c r="E185" s="14" t="s">
        <v>142</v>
      </c>
      <c r="F185" s="14" t="s">
        <v>380</v>
      </c>
      <c r="G185" s="14" t="s">
        <v>150</v>
      </c>
      <c r="H185" s="14" t="s">
        <v>443</v>
      </c>
      <c r="I185" s="14" t="s">
        <v>1178</v>
      </c>
    </row>
    <row r="186" spans="1:9" ht="19.95" customHeight="1" x14ac:dyDescent="0.3">
      <c r="A186" s="21">
        <v>46284.500926435183</v>
      </c>
      <c r="B186" s="13" t="s">
        <v>440</v>
      </c>
      <c r="C186" s="11" t="s">
        <v>427</v>
      </c>
      <c r="D186" s="11" t="s">
        <v>1179</v>
      </c>
      <c r="E186" s="11" t="s">
        <v>142</v>
      </c>
      <c r="F186" s="11" t="s">
        <v>1006</v>
      </c>
      <c r="G186" s="11" t="s">
        <v>150</v>
      </c>
      <c r="H186" s="11" t="s">
        <v>508</v>
      </c>
      <c r="I186" s="11" t="s">
        <v>1180</v>
      </c>
    </row>
    <row r="187" spans="1:9" ht="19.95" customHeight="1" x14ac:dyDescent="0.3">
      <c r="A187" s="23">
        <v>46284.482954525462</v>
      </c>
      <c r="B187" s="16" t="s">
        <v>440</v>
      </c>
      <c r="C187" s="14" t="s">
        <v>1085</v>
      </c>
      <c r="D187" s="14" t="s">
        <v>1181</v>
      </c>
      <c r="E187" s="14" t="s">
        <v>361</v>
      </c>
      <c r="F187" s="14" t="s">
        <v>380</v>
      </c>
      <c r="G187" s="14" t="s">
        <v>150</v>
      </c>
      <c r="H187" s="14" t="s">
        <v>508</v>
      </c>
      <c r="I187" s="14" t="s">
        <v>1182</v>
      </c>
    </row>
    <row r="188" spans="1:9" ht="19.95" customHeight="1" x14ac:dyDescent="0.3">
      <c r="A188" s="21">
        <v>46284.476597291658</v>
      </c>
      <c r="B188" s="13" t="s">
        <v>440</v>
      </c>
      <c r="C188" s="11" t="s">
        <v>427</v>
      </c>
      <c r="D188" s="11" t="s">
        <v>1183</v>
      </c>
      <c r="E188" s="11" t="s">
        <v>142</v>
      </c>
      <c r="F188" s="11" t="s">
        <v>432</v>
      </c>
      <c r="G188" s="11" t="s">
        <v>356</v>
      </c>
      <c r="H188" s="11" t="s">
        <v>357</v>
      </c>
      <c r="I188" s="11" t="s">
        <v>433</v>
      </c>
    </row>
    <row r="189" spans="1:9" ht="19.95" customHeight="1" x14ac:dyDescent="0.3">
      <c r="A189" s="23">
        <v>46284.476596134256</v>
      </c>
      <c r="B189" s="16" t="s">
        <v>440</v>
      </c>
      <c r="C189" s="14" t="s">
        <v>427</v>
      </c>
      <c r="D189" s="14" t="s">
        <v>1184</v>
      </c>
      <c r="E189" s="14" t="s">
        <v>142</v>
      </c>
      <c r="F189" s="14" t="s">
        <v>432</v>
      </c>
      <c r="G189" s="14" t="s">
        <v>356</v>
      </c>
      <c r="H189" s="14" t="s">
        <v>357</v>
      </c>
      <c r="I189" s="14" t="s">
        <v>433</v>
      </c>
    </row>
    <row r="190" spans="1:9" ht="19.95" customHeight="1" x14ac:dyDescent="0.3">
      <c r="A190" s="21">
        <v>46284.476595023138</v>
      </c>
      <c r="B190" s="13" t="s">
        <v>440</v>
      </c>
      <c r="C190" s="11" t="s">
        <v>427</v>
      </c>
      <c r="D190" s="11" t="s">
        <v>1169</v>
      </c>
      <c r="E190" s="11" t="s">
        <v>145</v>
      </c>
      <c r="F190" s="11" t="s">
        <v>380</v>
      </c>
      <c r="G190" s="11" t="s">
        <v>152</v>
      </c>
      <c r="H190" s="11" t="s">
        <v>247</v>
      </c>
      <c r="I190" s="11" t="s">
        <v>1185</v>
      </c>
    </row>
    <row r="191" spans="1:9" ht="19.95" customHeight="1" x14ac:dyDescent="0.3">
      <c r="A191" s="23">
        <v>46284.47659377315</v>
      </c>
      <c r="B191" s="16" t="s">
        <v>440</v>
      </c>
      <c r="C191" s="14" t="s">
        <v>427</v>
      </c>
      <c r="D191" s="14" t="s">
        <v>1186</v>
      </c>
      <c r="E191" s="14" t="s">
        <v>145</v>
      </c>
      <c r="F191" s="14" t="s">
        <v>432</v>
      </c>
      <c r="G191" s="14" t="s">
        <v>356</v>
      </c>
      <c r="H191" s="14" t="s">
        <v>357</v>
      </c>
      <c r="I191" s="14" t="s">
        <v>38</v>
      </c>
    </row>
    <row r="192" spans="1:9" ht="19.95" customHeight="1" x14ac:dyDescent="0.3">
      <c r="A192" s="21">
        <v>46284.476592673607</v>
      </c>
      <c r="B192" s="13" t="s">
        <v>440</v>
      </c>
      <c r="C192" s="11" t="s">
        <v>427</v>
      </c>
      <c r="D192" s="11" t="s">
        <v>1187</v>
      </c>
      <c r="E192" s="11" t="s">
        <v>142</v>
      </c>
      <c r="F192" s="11" t="s">
        <v>432</v>
      </c>
      <c r="G192" s="11" t="s">
        <v>356</v>
      </c>
      <c r="H192" s="11" t="s">
        <v>357</v>
      </c>
      <c r="I192" s="11" t="s">
        <v>433</v>
      </c>
    </row>
    <row r="193" spans="1:9" ht="19.95" customHeight="1" x14ac:dyDescent="0.3">
      <c r="A193" s="23">
        <v>46284.476591377323</v>
      </c>
      <c r="B193" s="16" t="s">
        <v>440</v>
      </c>
      <c r="C193" s="14" t="s">
        <v>427</v>
      </c>
      <c r="D193" s="14" t="s">
        <v>1188</v>
      </c>
      <c r="E193" s="14" t="s">
        <v>142</v>
      </c>
      <c r="F193" s="14" t="s">
        <v>432</v>
      </c>
      <c r="G193" s="14" t="s">
        <v>356</v>
      </c>
      <c r="H193" s="14" t="s">
        <v>357</v>
      </c>
      <c r="I193" s="14" t="s">
        <v>1189</v>
      </c>
    </row>
    <row r="194" spans="1:9" ht="19.95" customHeight="1" x14ac:dyDescent="0.3">
      <c r="A194" s="21">
        <v>46284.476590034719</v>
      </c>
      <c r="B194" s="13" t="s">
        <v>440</v>
      </c>
      <c r="C194" s="11" t="s">
        <v>427</v>
      </c>
      <c r="D194" s="11" t="s">
        <v>400</v>
      </c>
      <c r="E194" s="11" t="s">
        <v>145</v>
      </c>
      <c r="F194" s="11" t="s">
        <v>432</v>
      </c>
      <c r="G194" s="11" t="s">
        <v>356</v>
      </c>
      <c r="H194" s="11" t="s">
        <v>357</v>
      </c>
      <c r="I194" s="11" t="s">
        <v>1190</v>
      </c>
    </row>
    <row r="195" spans="1:9" ht="19.95" customHeight="1" x14ac:dyDescent="0.3">
      <c r="A195" s="23">
        <v>46284.476588645834</v>
      </c>
      <c r="B195" s="16" t="s">
        <v>440</v>
      </c>
      <c r="C195" s="14" t="s">
        <v>427</v>
      </c>
      <c r="D195" s="14" t="s">
        <v>1191</v>
      </c>
      <c r="E195" s="14" t="s">
        <v>142</v>
      </c>
      <c r="F195" s="14" t="s">
        <v>432</v>
      </c>
      <c r="G195" s="14" t="s">
        <v>356</v>
      </c>
      <c r="H195" s="14" t="s">
        <v>357</v>
      </c>
      <c r="I195" s="14" t="s">
        <v>433</v>
      </c>
    </row>
    <row r="196" spans="1:9" ht="19.95" customHeight="1" x14ac:dyDescent="0.3">
      <c r="A196" s="21">
        <v>46284.476587164347</v>
      </c>
      <c r="B196" s="13" t="s">
        <v>440</v>
      </c>
      <c r="C196" s="11" t="s">
        <v>427</v>
      </c>
      <c r="D196" s="11" t="s">
        <v>1192</v>
      </c>
      <c r="E196" s="11" t="s">
        <v>142</v>
      </c>
      <c r="F196" s="11" t="s">
        <v>432</v>
      </c>
      <c r="G196" s="11" t="s">
        <v>356</v>
      </c>
      <c r="H196" s="11" t="s">
        <v>357</v>
      </c>
      <c r="I196" s="11" t="s">
        <v>38</v>
      </c>
    </row>
    <row r="197" spans="1:9" ht="19.95" customHeight="1" x14ac:dyDescent="0.3">
      <c r="A197" s="23">
        <v>46284.476586053242</v>
      </c>
      <c r="B197" s="16" t="s">
        <v>440</v>
      </c>
      <c r="C197" s="14" t="s">
        <v>427</v>
      </c>
      <c r="D197" s="14" t="s">
        <v>1193</v>
      </c>
      <c r="E197" s="14" t="s">
        <v>142</v>
      </c>
      <c r="F197" s="14" t="s">
        <v>432</v>
      </c>
      <c r="G197" s="14" t="s">
        <v>356</v>
      </c>
      <c r="H197" s="14" t="s">
        <v>357</v>
      </c>
      <c r="I197" s="14" t="s">
        <v>38</v>
      </c>
    </row>
    <row r="198" spans="1:9" ht="19.95" customHeight="1" x14ac:dyDescent="0.3">
      <c r="A198" s="21">
        <v>46284.476584710646</v>
      </c>
      <c r="B198" s="13" t="s">
        <v>440</v>
      </c>
      <c r="C198" s="11" t="s">
        <v>427</v>
      </c>
      <c r="D198" s="11" t="s">
        <v>414</v>
      </c>
      <c r="E198" s="11" t="s">
        <v>142</v>
      </c>
      <c r="F198" s="11" t="s">
        <v>432</v>
      </c>
      <c r="G198" s="11" t="s">
        <v>356</v>
      </c>
      <c r="H198" s="11" t="s">
        <v>357</v>
      </c>
      <c r="I198" s="11" t="s">
        <v>38</v>
      </c>
    </row>
    <row r="199" spans="1:9" ht="19.95" customHeight="1" x14ac:dyDescent="0.3">
      <c r="A199" s="23">
        <v>46284.476583622687</v>
      </c>
      <c r="B199" s="16" t="s">
        <v>440</v>
      </c>
      <c r="C199" s="14" t="s">
        <v>427</v>
      </c>
      <c r="D199" s="14" t="s">
        <v>388</v>
      </c>
      <c r="E199" s="14" t="s">
        <v>145</v>
      </c>
      <c r="F199" s="14" t="s">
        <v>432</v>
      </c>
      <c r="G199" s="14" t="s">
        <v>356</v>
      </c>
      <c r="H199" s="14" t="s">
        <v>357</v>
      </c>
      <c r="I199" s="14" t="s">
        <v>38</v>
      </c>
    </row>
    <row r="200" spans="1:9" ht="19.95" customHeight="1" x14ac:dyDescent="0.3">
      <c r="A200" s="21">
        <v>46284.476581099538</v>
      </c>
      <c r="B200" s="13" t="s">
        <v>440</v>
      </c>
      <c r="C200" s="11" t="s">
        <v>427</v>
      </c>
      <c r="D200" s="11" t="s">
        <v>1194</v>
      </c>
      <c r="E200" s="11" t="s">
        <v>142</v>
      </c>
      <c r="F200" s="11" t="s">
        <v>432</v>
      </c>
      <c r="G200" s="11" t="s">
        <v>356</v>
      </c>
      <c r="H200" s="11" t="s">
        <v>357</v>
      </c>
      <c r="I200" s="11" t="s">
        <v>38</v>
      </c>
    </row>
    <row r="201" spans="1:9" ht="19.95" customHeight="1" x14ac:dyDescent="0.3">
      <c r="A201" s="23">
        <v>46284.476579953713</v>
      </c>
      <c r="B201" s="16" t="s">
        <v>440</v>
      </c>
      <c r="C201" s="14" t="s">
        <v>427</v>
      </c>
      <c r="D201" s="14" t="s">
        <v>734</v>
      </c>
      <c r="E201" s="14" t="s">
        <v>142</v>
      </c>
      <c r="F201" s="14" t="s">
        <v>177</v>
      </c>
      <c r="G201" s="14" t="s">
        <v>356</v>
      </c>
      <c r="H201" s="14" t="s">
        <v>357</v>
      </c>
      <c r="I201" s="14" t="s">
        <v>433</v>
      </c>
    </row>
    <row r="202" spans="1:9" ht="19.95" customHeight="1" x14ac:dyDescent="0.3">
      <c r="A202" s="21">
        <v>46284.47657885417</v>
      </c>
      <c r="B202" s="13" t="s">
        <v>440</v>
      </c>
      <c r="C202" s="11" t="s">
        <v>427</v>
      </c>
      <c r="D202" s="11" t="s">
        <v>1179</v>
      </c>
      <c r="E202" s="11" t="s">
        <v>142</v>
      </c>
      <c r="F202" s="11" t="s">
        <v>380</v>
      </c>
      <c r="G202" s="11" t="s">
        <v>147</v>
      </c>
      <c r="H202" s="11" t="s">
        <v>508</v>
      </c>
      <c r="I202" s="11" t="s">
        <v>1195</v>
      </c>
    </row>
    <row r="203" spans="1:9" ht="19.95" customHeight="1" x14ac:dyDescent="0.3">
      <c r="A203" s="23">
        <v>46284.476577685193</v>
      </c>
      <c r="B203" s="16" t="s">
        <v>440</v>
      </c>
      <c r="C203" s="14" t="s">
        <v>427</v>
      </c>
      <c r="D203" s="14" t="s">
        <v>1196</v>
      </c>
      <c r="E203" s="14" t="s">
        <v>142</v>
      </c>
      <c r="F203" s="14" t="s">
        <v>432</v>
      </c>
      <c r="G203" s="14" t="s">
        <v>356</v>
      </c>
      <c r="H203" s="14" t="s">
        <v>357</v>
      </c>
      <c r="I203" s="14" t="s">
        <v>433</v>
      </c>
    </row>
    <row r="204" spans="1:9" ht="19.95" customHeight="1" x14ac:dyDescent="0.3">
      <c r="A204" s="21">
        <v>46284.476576226851</v>
      </c>
      <c r="B204" s="13" t="s">
        <v>440</v>
      </c>
      <c r="C204" s="11" t="s">
        <v>427</v>
      </c>
      <c r="D204" s="11" t="s">
        <v>1197</v>
      </c>
      <c r="E204" s="11" t="s">
        <v>142</v>
      </c>
      <c r="F204" s="11" t="s">
        <v>446</v>
      </c>
      <c r="G204" s="11" t="s">
        <v>356</v>
      </c>
      <c r="H204" s="11" t="s">
        <v>357</v>
      </c>
      <c r="I204" s="11" t="s">
        <v>1198</v>
      </c>
    </row>
    <row r="205" spans="1:9" ht="19.95" customHeight="1" x14ac:dyDescent="0.3">
      <c r="A205" s="23">
        <v>46284.45125421296</v>
      </c>
      <c r="B205" s="16" t="s">
        <v>440</v>
      </c>
      <c r="C205" s="14" t="s">
        <v>920</v>
      </c>
      <c r="D205" s="14" t="s">
        <v>1199</v>
      </c>
      <c r="E205" s="14" t="s">
        <v>145</v>
      </c>
      <c r="F205" s="14" t="s">
        <v>424</v>
      </c>
      <c r="G205" s="14" t="s">
        <v>356</v>
      </c>
      <c r="H205" s="14" t="s">
        <v>357</v>
      </c>
      <c r="I205" s="14" t="s">
        <v>38</v>
      </c>
    </row>
    <row r="206" spans="1:9" ht="19.95" customHeight="1" x14ac:dyDescent="0.3">
      <c r="A206" s="21">
        <v>46284.431677766202</v>
      </c>
      <c r="B206" s="13" t="s">
        <v>440</v>
      </c>
      <c r="C206" s="11" t="s">
        <v>920</v>
      </c>
      <c r="D206" s="11" t="s">
        <v>1200</v>
      </c>
      <c r="E206" s="11" t="s">
        <v>142</v>
      </c>
      <c r="F206" s="11" t="s">
        <v>424</v>
      </c>
      <c r="G206" s="11" t="s">
        <v>356</v>
      </c>
      <c r="H206" s="11" t="s">
        <v>357</v>
      </c>
      <c r="I206" s="11" t="s">
        <v>38</v>
      </c>
    </row>
    <row r="207" spans="1:9" ht="19.95" customHeight="1" x14ac:dyDescent="0.3">
      <c r="A207" s="23">
        <v>46284.431676504631</v>
      </c>
      <c r="B207" s="16" t="s">
        <v>440</v>
      </c>
      <c r="C207" s="14" t="s">
        <v>920</v>
      </c>
      <c r="D207" s="14" t="s">
        <v>1137</v>
      </c>
      <c r="E207" s="14" t="s">
        <v>145</v>
      </c>
      <c r="F207" s="14" t="s">
        <v>380</v>
      </c>
      <c r="G207" s="14" t="s">
        <v>147</v>
      </c>
      <c r="H207" s="14" t="s">
        <v>1087</v>
      </c>
      <c r="I207" s="14" t="s">
        <v>1201</v>
      </c>
    </row>
    <row r="208" spans="1:9" ht="19.95" customHeight="1" x14ac:dyDescent="0.3">
      <c r="A208" s="21">
        <v>46284.431672986109</v>
      </c>
      <c r="B208" s="13" t="s">
        <v>440</v>
      </c>
      <c r="C208" s="11" t="s">
        <v>943</v>
      </c>
      <c r="D208" s="11" t="s">
        <v>1202</v>
      </c>
      <c r="E208" s="11" t="s">
        <v>145</v>
      </c>
      <c r="F208" s="11" t="s">
        <v>177</v>
      </c>
      <c r="G208" s="11" t="s">
        <v>356</v>
      </c>
      <c r="H208" s="11" t="s">
        <v>357</v>
      </c>
      <c r="I208" s="11" t="s">
        <v>489</v>
      </c>
    </row>
    <row r="209" spans="1:9" ht="19.95" customHeight="1" x14ac:dyDescent="0.3">
      <c r="A209" s="23">
        <v>46284.431671585648</v>
      </c>
      <c r="B209" s="16" t="s">
        <v>440</v>
      </c>
      <c r="C209" s="14" t="s">
        <v>920</v>
      </c>
      <c r="D209" s="14" t="s">
        <v>1203</v>
      </c>
      <c r="E209" s="14" t="s">
        <v>145</v>
      </c>
      <c r="F209" s="14" t="s">
        <v>424</v>
      </c>
      <c r="G209" s="14" t="s">
        <v>356</v>
      </c>
      <c r="H209" s="14" t="s">
        <v>357</v>
      </c>
      <c r="I209" s="14" t="s">
        <v>38</v>
      </c>
    </row>
    <row r="210" spans="1:9" ht="19.95" customHeight="1" x14ac:dyDescent="0.3">
      <c r="A210" s="21">
        <v>46284.431669837963</v>
      </c>
      <c r="B210" s="13" t="s">
        <v>440</v>
      </c>
      <c r="C210" s="11" t="s">
        <v>943</v>
      </c>
      <c r="D210" s="11" t="s">
        <v>1175</v>
      </c>
      <c r="E210" s="11" t="s">
        <v>145</v>
      </c>
      <c r="F210" s="11" t="s">
        <v>380</v>
      </c>
      <c r="G210" s="11" t="s">
        <v>152</v>
      </c>
      <c r="H210" s="11" t="s">
        <v>247</v>
      </c>
      <c r="I210" s="11" t="s">
        <v>1204</v>
      </c>
    </row>
    <row r="211" spans="1:9" ht="19.95" customHeight="1" x14ac:dyDescent="0.3">
      <c r="A211" s="23">
        <v>46284.431667870369</v>
      </c>
      <c r="B211" s="16" t="s">
        <v>440</v>
      </c>
      <c r="C211" s="14" t="s">
        <v>434</v>
      </c>
      <c r="D211" s="14" t="s">
        <v>1205</v>
      </c>
      <c r="E211" s="14" t="s">
        <v>145</v>
      </c>
      <c r="F211" s="14" t="s">
        <v>432</v>
      </c>
      <c r="G211" s="14" t="s">
        <v>356</v>
      </c>
      <c r="H211" s="14" t="s">
        <v>357</v>
      </c>
      <c r="I211" s="14" t="s">
        <v>38</v>
      </c>
    </row>
    <row r="212" spans="1:9" ht="19.95" customHeight="1" x14ac:dyDescent="0.3">
      <c r="A212" s="21">
        <v>46283.720570648147</v>
      </c>
      <c r="B212" s="13" t="s">
        <v>440</v>
      </c>
      <c r="C212" s="11" t="s">
        <v>1085</v>
      </c>
      <c r="D212" s="11" t="s">
        <v>1206</v>
      </c>
      <c r="E212" s="11" t="s">
        <v>361</v>
      </c>
      <c r="F212" s="11" t="s">
        <v>424</v>
      </c>
      <c r="G212" s="11" t="s">
        <v>147</v>
      </c>
      <c r="H212" s="11" t="s">
        <v>247</v>
      </c>
      <c r="I212" s="11" t="s">
        <v>1207</v>
      </c>
    </row>
    <row r="213" spans="1:9" ht="19.95" customHeight="1" x14ac:dyDescent="0.3">
      <c r="A213" s="23">
        <v>46283.620548240739</v>
      </c>
      <c r="B213" s="16" t="s">
        <v>440</v>
      </c>
      <c r="C213" s="14" t="s">
        <v>462</v>
      </c>
      <c r="D213" s="14" t="s">
        <v>1208</v>
      </c>
      <c r="E213" s="14" t="s">
        <v>145</v>
      </c>
      <c r="F213" s="14" t="s">
        <v>424</v>
      </c>
      <c r="G213" s="14" t="s">
        <v>356</v>
      </c>
      <c r="H213" s="14" t="s">
        <v>357</v>
      </c>
      <c r="I213" s="14" t="s">
        <v>38</v>
      </c>
    </row>
    <row r="214" spans="1:9" ht="19.95" customHeight="1" x14ac:dyDescent="0.3">
      <c r="A214" s="21">
        <v>46283.620541296303</v>
      </c>
      <c r="B214" s="13" t="s">
        <v>440</v>
      </c>
      <c r="C214" s="11" t="s">
        <v>434</v>
      </c>
      <c r="D214" s="11" t="s">
        <v>1209</v>
      </c>
      <c r="E214" s="11" t="s">
        <v>145</v>
      </c>
      <c r="F214" s="11" t="s">
        <v>428</v>
      </c>
      <c r="G214" s="11" t="s">
        <v>356</v>
      </c>
      <c r="H214" s="11" t="s">
        <v>357</v>
      </c>
      <c r="I214" s="11" t="s">
        <v>1210</v>
      </c>
    </row>
    <row r="215" spans="1:9" ht="19.95" customHeight="1" x14ac:dyDescent="0.3">
      <c r="A215" s="23">
        <v>46283.62053511574</v>
      </c>
      <c r="B215" s="16" t="s">
        <v>440</v>
      </c>
      <c r="C215" s="14" t="s">
        <v>484</v>
      </c>
      <c r="D215" s="14" t="s">
        <v>1211</v>
      </c>
      <c r="E215" s="14" t="s">
        <v>145</v>
      </c>
      <c r="F215" s="14" t="s">
        <v>177</v>
      </c>
      <c r="G215" s="14" t="s">
        <v>356</v>
      </c>
      <c r="H215" s="14" t="s">
        <v>357</v>
      </c>
      <c r="I215" s="14" t="s">
        <v>1212</v>
      </c>
    </row>
    <row r="216" spans="1:9" ht="19.95" customHeight="1" x14ac:dyDescent="0.3">
      <c r="A216" s="21">
        <v>46283.620527870371</v>
      </c>
      <c r="B216" s="13" t="s">
        <v>440</v>
      </c>
      <c r="C216" s="11" t="s">
        <v>462</v>
      </c>
      <c r="D216" s="11" t="s">
        <v>1026</v>
      </c>
      <c r="E216" s="11" t="s">
        <v>142</v>
      </c>
      <c r="F216" s="11" t="s">
        <v>380</v>
      </c>
      <c r="G216" s="11" t="s">
        <v>139</v>
      </c>
      <c r="H216" s="11" t="s">
        <v>381</v>
      </c>
      <c r="I216" s="11" t="s">
        <v>1213</v>
      </c>
    </row>
    <row r="217" spans="1:9" ht="19.95" customHeight="1" x14ac:dyDescent="0.3">
      <c r="A217" s="23">
        <v>46283.620520115743</v>
      </c>
      <c r="B217" s="16" t="s">
        <v>440</v>
      </c>
      <c r="C217" s="14" t="s">
        <v>1125</v>
      </c>
      <c r="D217" s="14" t="s">
        <v>1214</v>
      </c>
      <c r="E217" s="14" t="s">
        <v>145</v>
      </c>
      <c r="F217" s="14" t="s">
        <v>432</v>
      </c>
      <c r="G217" s="14" t="s">
        <v>356</v>
      </c>
      <c r="H217" s="14" t="s">
        <v>357</v>
      </c>
      <c r="I217" s="14" t="s">
        <v>38</v>
      </c>
    </row>
    <row r="218" spans="1:9" ht="19.95" customHeight="1" x14ac:dyDescent="0.3">
      <c r="A218" s="21">
        <v>46283.620499629629</v>
      </c>
      <c r="B218" s="13" t="s">
        <v>440</v>
      </c>
      <c r="C218" s="11" t="s">
        <v>364</v>
      </c>
      <c r="D218" s="11" t="s">
        <v>1215</v>
      </c>
      <c r="E218" s="11" t="s">
        <v>145</v>
      </c>
      <c r="F218" s="11" t="s">
        <v>428</v>
      </c>
      <c r="G218" s="11" t="s">
        <v>356</v>
      </c>
      <c r="H218" s="11" t="s">
        <v>357</v>
      </c>
      <c r="I218" s="11" t="s">
        <v>1216</v>
      </c>
    </row>
    <row r="219" spans="1:9" ht="19.95" customHeight="1" x14ac:dyDescent="0.3">
      <c r="A219" s="23">
        <v>46283.62049361111</v>
      </c>
      <c r="B219" s="16" t="s">
        <v>440</v>
      </c>
      <c r="C219" s="14" t="s">
        <v>466</v>
      </c>
      <c r="D219" s="14" t="s">
        <v>1217</v>
      </c>
      <c r="E219" s="14" t="s">
        <v>145</v>
      </c>
      <c r="F219" s="14" t="s">
        <v>432</v>
      </c>
      <c r="G219" s="14" t="s">
        <v>356</v>
      </c>
      <c r="H219" s="14" t="s">
        <v>357</v>
      </c>
      <c r="I219" s="14" t="s">
        <v>433</v>
      </c>
    </row>
    <row r="220" spans="1:9" ht="19.95" customHeight="1" x14ac:dyDescent="0.3">
      <c r="A220" s="21">
        <v>46283.620473703697</v>
      </c>
      <c r="B220" s="13" t="s">
        <v>440</v>
      </c>
      <c r="C220" s="11" t="s">
        <v>430</v>
      </c>
      <c r="D220" s="11" t="s">
        <v>1218</v>
      </c>
      <c r="E220" s="11" t="s">
        <v>142</v>
      </c>
      <c r="F220" s="11" t="s">
        <v>428</v>
      </c>
      <c r="G220" s="11" t="s">
        <v>356</v>
      </c>
      <c r="H220" s="11" t="s">
        <v>357</v>
      </c>
      <c r="I220" s="11" t="s">
        <v>1219</v>
      </c>
    </row>
    <row r="221" spans="1:9" ht="19.95" customHeight="1" x14ac:dyDescent="0.3">
      <c r="A221" s="23">
        <v>46283.620457094898</v>
      </c>
      <c r="B221" s="16" t="s">
        <v>440</v>
      </c>
      <c r="C221" s="14" t="s">
        <v>487</v>
      </c>
      <c r="D221" s="14" t="s">
        <v>1220</v>
      </c>
      <c r="E221" s="14" t="s">
        <v>145</v>
      </c>
      <c r="F221" s="14" t="s">
        <v>380</v>
      </c>
      <c r="G221" s="14" t="s">
        <v>152</v>
      </c>
      <c r="H221" s="14" t="s">
        <v>508</v>
      </c>
      <c r="I221" s="14" t="s">
        <v>1221</v>
      </c>
    </row>
    <row r="222" spans="1:9" ht="19.95" customHeight="1" x14ac:dyDescent="0.3">
      <c r="A222" s="21">
        <v>46283.620445023153</v>
      </c>
      <c r="B222" s="13" t="s">
        <v>440</v>
      </c>
      <c r="C222" s="11" t="s">
        <v>943</v>
      </c>
      <c r="D222" s="11" t="s">
        <v>1222</v>
      </c>
      <c r="E222" s="11" t="s">
        <v>145</v>
      </c>
      <c r="F222" s="11" t="s">
        <v>432</v>
      </c>
      <c r="G222" s="11" t="s">
        <v>356</v>
      </c>
      <c r="H222" s="11" t="s">
        <v>357</v>
      </c>
      <c r="I222" s="11" t="s">
        <v>433</v>
      </c>
    </row>
    <row r="223" spans="1:9" ht="19.95" customHeight="1" x14ac:dyDescent="0.3">
      <c r="A223" s="23">
        <v>46283.620433483797</v>
      </c>
      <c r="B223" s="16" t="s">
        <v>440</v>
      </c>
      <c r="C223" s="14" t="s">
        <v>434</v>
      </c>
      <c r="D223" s="14" t="s">
        <v>1223</v>
      </c>
      <c r="E223" s="14" t="s">
        <v>142</v>
      </c>
      <c r="F223" s="14" t="s">
        <v>428</v>
      </c>
      <c r="G223" s="14" t="s">
        <v>356</v>
      </c>
      <c r="H223" s="14" t="s">
        <v>357</v>
      </c>
      <c r="I223" s="14" t="s">
        <v>1210</v>
      </c>
    </row>
    <row r="224" spans="1:9" ht="19.95" customHeight="1" x14ac:dyDescent="0.3">
      <c r="A224" s="21">
        <v>46283.620424803237</v>
      </c>
      <c r="B224" s="13" t="s">
        <v>440</v>
      </c>
      <c r="C224" s="11" t="s">
        <v>430</v>
      </c>
      <c r="D224" s="11" t="s">
        <v>1224</v>
      </c>
      <c r="E224" s="11" t="s">
        <v>142</v>
      </c>
      <c r="F224" s="11" t="s">
        <v>424</v>
      </c>
      <c r="G224" s="11" t="s">
        <v>356</v>
      </c>
      <c r="H224" s="11" t="s">
        <v>357</v>
      </c>
      <c r="I224" s="11" t="s">
        <v>38</v>
      </c>
    </row>
    <row r="225" spans="1:9" ht="19.95" customHeight="1" x14ac:dyDescent="0.3">
      <c r="A225" s="23">
        <v>46283.620416481477</v>
      </c>
      <c r="B225" s="16" t="s">
        <v>440</v>
      </c>
      <c r="C225" s="14" t="s">
        <v>430</v>
      </c>
      <c r="D225" s="14" t="s">
        <v>1225</v>
      </c>
      <c r="E225" s="14" t="s">
        <v>142</v>
      </c>
      <c r="F225" s="14" t="s">
        <v>424</v>
      </c>
      <c r="G225" s="14" t="s">
        <v>356</v>
      </c>
      <c r="H225" s="14" t="s">
        <v>357</v>
      </c>
      <c r="I225" s="14" t="s">
        <v>38</v>
      </c>
    </row>
    <row r="226" spans="1:9" ht="19.95" customHeight="1" x14ac:dyDescent="0.3">
      <c r="A226" s="21">
        <v>46283.620409432871</v>
      </c>
      <c r="B226" s="13" t="s">
        <v>440</v>
      </c>
      <c r="C226" s="11" t="s">
        <v>430</v>
      </c>
      <c r="D226" s="11" t="s">
        <v>1226</v>
      </c>
      <c r="E226" s="11" t="s">
        <v>145</v>
      </c>
      <c r="F226" s="11" t="s">
        <v>1227</v>
      </c>
      <c r="G226" s="11" t="s">
        <v>356</v>
      </c>
      <c r="H226" s="11" t="s">
        <v>357</v>
      </c>
      <c r="I226" s="11" t="s">
        <v>1228</v>
      </c>
    </row>
    <row r="227" spans="1:9" ht="19.95" customHeight="1" x14ac:dyDescent="0.3">
      <c r="A227" s="23">
        <v>46283.620398842591</v>
      </c>
      <c r="B227" s="16" t="s">
        <v>440</v>
      </c>
      <c r="C227" s="14" t="s">
        <v>430</v>
      </c>
      <c r="D227" s="14" t="s">
        <v>1229</v>
      </c>
      <c r="E227" s="14" t="s">
        <v>142</v>
      </c>
      <c r="F227" s="14" t="s">
        <v>424</v>
      </c>
      <c r="G227" s="14" t="s">
        <v>356</v>
      </c>
      <c r="H227" s="14" t="s">
        <v>357</v>
      </c>
      <c r="I227" s="14" t="s">
        <v>38</v>
      </c>
    </row>
    <row r="228" spans="1:9" ht="19.95" customHeight="1" x14ac:dyDescent="0.3">
      <c r="A228" s="21">
        <v>46283.620391770834</v>
      </c>
      <c r="B228" s="13" t="s">
        <v>440</v>
      </c>
      <c r="C228" s="11" t="s">
        <v>434</v>
      </c>
      <c r="D228" s="11" t="s">
        <v>1230</v>
      </c>
      <c r="E228" s="11" t="s">
        <v>142</v>
      </c>
      <c r="F228" s="11" t="s">
        <v>424</v>
      </c>
      <c r="G228" s="11" t="s">
        <v>356</v>
      </c>
      <c r="H228" s="11" t="s">
        <v>357</v>
      </c>
      <c r="I228" s="11" t="s">
        <v>38</v>
      </c>
    </row>
    <row r="229" spans="1:9" ht="19.95" customHeight="1" x14ac:dyDescent="0.3">
      <c r="A229" s="23">
        <v>46282.722198831019</v>
      </c>
      <c r="B229" s="16" t="s">
        <v>440</v>
      </c>
      <c r="C229" s="14" t="s">
        <v>427</v>
      </c>
      <c r="D229" s="14" t="s">
        <v>1010</v>
      </c>
      <c r="E229" s="14" t="s">
        <v>361</v>
      </c>
      <c r="F229" s="14" t="s">
        <v>424</v>
      </c>
      <c r="G229" s="14" t="s">
        <v>152</v>
      </c>
      <c r="H229" s="14" t="s">
        <v>247</v>
      </c>
      <c r="I229" s="14" t="s">
        <v>1231</v>
      </c>
    </row>
    <row r="230" spans="1:9" ht="19.95" customHeight="1" x14ac:dyDescent="0.3">
      <c r="A230" s="21">
        <v>46282.696416724539</v>
      </c>
      <c r="B230" s="13" t="s">
        <v>440</v>
      </c>
      <c r="C230" s="11" t="s">
        <v>427</v>
      </c>
      <c r="D230" s="11" t="s">
        <v>1232</v>
      </c>
      <c r="E230" s="11" t="s">
        <v>361</v>
      </c>
      <c r="F230" s="11" t="s">
        <v>380</v>
      </c>
      <c r="G230" s="11" t="s">
        <v>152</v>
      </c>
      <c r="H230" s="11" t="s">
        <v>443</v>
      </c>
      <c r="I230" s="11" t="s">
        <v>1233</v>
      </c>
    </row>
    <row r="231" spans="1:9" ht="19.95" customHeight="1" x14ac:dyDescent="0.3">
      <c r="A231" s="23">
        <v>46282.69022837963</v>
      </c>
      <c r="B231" s="16" t="s">
        <v>440</v>
      </c>
      <c r="C231" s="14" t="s">
        <v>427</v>
      </c>
      <c r="D231" s="14" t="s">
        <v>1234</v>
      </c>
      <c r="E231" s="14" t="s">
        <v>361</v>
      </c>
      <c r="F231" s="14" t="s">
        <v>380</v>
      </c>
      <c r="G231" s="14" t="s">
        <v>152</v>
      </c>
      <c r="H231" s="14" t="s">
        <v>443</v>
      </c>
      <c r="I231" s="14" t="s">
        <v>1235</v>
      </c>
    </row>
    <row r="232" spans="1:9" ht="19.95" customHeight="1" x14ac:dyDescent="0.3">
      <c r="A232" s="21">
        <v>46282.682756192131</v>
      </c>
      <c r="B232" s="13" t="s">
        <v>440</v>
      </c>
      <c r="C232" s="11" t="s">
        <v>427</v>
      </c>
      <c r="D232" s="11" t="s">
        <v>1236</v>
      </c>
      <c r="E232" s="11" t="s">
        <v>361</v>
      </c>
      <c r="F232" s="11" t="s">
        <v>380</v>
      </c>
      <c r="G232" s="11" t="s">
        <v>147</v>
      </c>
      <c r="H232" s="11" t="s">
        <v>381</v>
      </c>
      <c r="I232" s="11" t="s">
        <v>1237</v>
      </c>
    </row>
    <row r="233" spans="1:9" ht="19.95" customHeight="1" x14ac:dyDescent="0.3">
      <c r="A233" s="23">
        <v>46282.678519884263</v>
      </c>
      <c r="B233" s="16" t="s">
        <v>440</v>
      </c>
      <c r="C233" s="14" t="s">
        <v>427</v>
      </c>
      <c r="D233" s="14" t="s">
        <v>461</v>
      </c>
      <c r="E233" s="14" t="s">
        <v>361</v>
      </c>
      <c r="F233" s="14" t="s">
        <v>424</v>
      </c>
      <c r="G233" s="14" t="s">
        <v>152</v>
      </c>
      <c r="H233" s="14" t="s">
        <v>252</v>
      </c>
      <c r="I233" s="14" t="s">
        <v>1238</v>
      </c>
    </row>
    <row r="234" spans="1:9" ht="19.95" customHeight="1" x14ac:dyDescent="0.3">
      <c r="A234" s="21">
        <v>46282.638013356482</v>
      </c>
      <c r="B234" s="13" t="s">
        <v>440</v>
      </c>
      <c r="C234" s="11" t="s">
        <v>1085</v>
      </c>
      <c r="D234" s="11" t="s">
        <v>1239</v>
      </c>
      <c r="E234" s="11" t="s">
        <v>361</v>
      </c>
      <c r="F234" s="11" t="s">
        <v>424</v>
      </c>
      <c r="G234" s="11" t="s">
        <v>147</v>
      </c>
      <c r="H234" s="11" t="s">
        <v>425</v>
      </c>
      <c r="I234" s="11" t="s">
        <v>1240</v>
      </c>
    </row>
    <row r="235" spans="1:9" ht="19.95" customHeight="1" x14ac:dyDescent="0.3">
      <c r="A235" s="23">
        <v>46282.636568981477</v>
      </c>
      <c r="B235" s="16" t="s">
        <v>440</v>
      </c>
      <c r="C235" s="14" t="s">
        <v>1085</v>
      </c>
      <c r="D235" s="14" t="s">
        <v>1241</v>
      </c>
      <c r="E235" s="14" t="s">
        <v>361</v>
      </c>
      <c r="F235" s="14" t="s">
        <v>424</v>
      </c>
      <c r="G235" s="14" t="s">
        <v>150</v>
      </c>
      <c r="H235" s="14" t="s">
        <v>252</v>
      </c>
      <c r="I235" s="14" t="s">
        <v>1242</v>
      </c>
    </row>
    <row r="236" spans="1:9" ht="19.95" customHeight="1" x14ac:dyDescent="0.3">
      <c r="A236" s="21">
        <v>46282.547595937504</v>
      </c>
      <c r="B236" s="13" t="s">
        <v>440</v>
      </c>
      <c r="C236" s="11" t="s">
        <v>1085</v>
      </c>
      <c r="D236" s="11" t="s">
        <v>1243</v>
      </c>
      <c r="E236" s="11" t="s">
        <v>361</v>
      </c>
      <c r="F236" s="11" t="s">
        <v>1006</v>
      </c>
      <c r="G236" s="11" t="s">
        <v>152</v>
      </c>
      <c r="H236" s="11" t="s">
        <v>1244</v>
      </c>
      <c r="I236" s="11" t="s">
        <v>1245</v>
      </c>
    </row>
    <row r="237" spans="1:9" ht="19.95" customHeight="1" x14ac:dyDescent="0.3">
      <c r="A237" s="23">
        <v>46282.476121747677</v>
      </c>
      <c r="B237" s="16" t="s">
        <v>440</v>
      </c>
      <c r="C237" s="14" t="s">
        <v>427</v>
      </c>
      <c r="D237" s="14" t="s">
        <v>1246</v>
      </c>
      <c r="E237" s="14" t="s">
        <v>142</v>
      </c>
      <c r="F237" s="14" t="s">
        <v>446</v>
      </c>
      <c r="G237" s="14" t="s">
        <v>150</v>
      </c>
      <c r="H237" s="14" t="s">
        <v>266</v>
      </c>
      <c r="I237" s="14" t="s">
        <v>1247</v>
      </c>
    </row>
    <row r="238" spans="1:9" ht="19.95" customHeight="1" x14ac:dyDescent="0.3">
      <c r="A238" s="21">
        <v>46282.472543703712</v>
      </c>
      <c r="B238" s="13" t="s">
        <v>440</v>
      </c>
      <c r="C238" s="11" t="s">
        <v>427</v>
      </c>
      <c r="D238" s="11" t="s">
        <v>1248</v>
      </c>
      <c r="E238" s="11" t="s">
        <v>142</v>
      </c>
      <c r="F238" s="11" t="s">
        <v>446</v>
      </c>
      <c r="G238" s="11" t="s">
        <v>152</v>
      </c>
      <c r="H238" s="11" t="s">
        <v>256</v>
      </c>
      <c r="I238" s="11" t="s">
        <v>1249</v>
      </c>
    </row>
    <row r="239" spans="1:9" ht="19.95" customHeight="1" x14ac:dyDescent="0.3">
      <c r="A239" s="23">
        <v>46282.042647476846</v>
      </c>
      <c r="B239" s="16" t="s">
        <v>440</v>
      </c>
      <c r="C239" s="14" t="s">
        <v>1250</v>
      </c>
      <c r="D239" s="14" t="s">
        <v>1251</v>
      </c>
      <c r="E239" s="14" t="s">
        <v>361</v>
      </c>
      <c r="F239" s="14" t="s">
        <v>380</v>
      </c>
      <c r="G239" s="14" t="s">
        <v>150</v>
      </c>
      <c r="H239" s="14" t="s">
        <v>381</v>
      </c>
      <c r="I239" s="14" t="s">
        <v>1252</v>
      </c>
    </row>
    <row r="240" spans="1:9" ht="19.95" customHeight="1" x14ac:dyDescent="0.3">
      <c r="A240" s="21">
        <v>46281.773798414353</v>
      </c>
      <c r="B240" s="13" t="s">
        <v>440</v>
      </c>
      <c r="C240" s="11" t="s">
        <v>1250</v>
      </c>
      <c r="D240" s="11" t="s">
        <v>1253</v>
      </c>
      <c r="E240" s="11" t="s">
        <v>361</v>
      </c>
      <c r="F240" s="11" t="s">
        <v>380</v>
      </c>
      <c r="G240" s="11" t="s">
        <v>150</v>
      </c>
      <c r="H240" s="11" t="s">
        <v>381</v>
      </c>
      <c r="I240" s="11" t="s">
        <v>1254</v>
      </c>
    </row>
    <row r="241" spans="1:9" ht="19.95" customHeight="1" x14ac:dyDescent="0.3">
      <c r="A241" s="23">
        <v>46281.70240678241</v>
      </c>
      <c r="B241" s="16" t="s">
        <v>440</v>
      </c>
      <c r="C241" s="14" t="s">
        <v>1250</v>
      </c>
      <c r="D241" s="14" t="s">
        <v>1255</v>
      </c>
      <c r="E241" s="14" t="s">
        <v>361</v>
      </c>
      <c r="F241" s="14" t="s">
        <v>424</v>
      </c>
      <c r="G241" s="14" t="s">
        <v>150</v>
      </c>
      <c r="H241" s="14" t="s">
        <v>1256</v>
      </c>
      <c r="I241" s="14" t="s">
        <v>1257</v>
      </c>
    </row>
    <row r="242" spans="1:9" ht="19.95" customHeight="1" x14ac:dyDescent="0.3">
      <c r="A242" s="21">
        <v>46281.687350636566</v>
      </c>
      <c r="B242" s="13" t="s">
        <v>440</v>
      </c>
      <c r="C242" s="11" t="s">
        <v>427</v>
      </c>
      <c r="D242" s="11" t="s">
        <v>1258</v>
      </c>
      <c r="E242" s="11" t="s">
        <v>145</v>
      </c>
      <c r="F242" s="11" t="s">
        <v>446</v>
      </c>
      <c r="G242" s="11" t="s">
        <v>152</v>
      </c>
      <c r="H242" s="11" t="s">
        <v>508</v>
      </c>
      <c r="I242" s="11" t="s">
        <v>1259</v>
      </c>
    </row>
    <row r="243" spans="1:9" ht="19.95" customHeight="1" x14ac:dyDescent="0.3">
      <c r="A243" s="23">
        <v>46281.682766770828</v>
      </c>
      <c r="B243" s="16" t="s">
        <v>440</v>
      </c>
      <c r="C243" s="14" t="s">
        <v>427</v>
      </c>
      <c r="D243" s="14" t="s">
        <v>1260</v>
      </c>
      <c r="E243" s="14" t="s">
        <v>145</v>
      </c>
      <c r="F243" s="14" t="s">
        <v>446</v>
      </c>
      <c r="G243" s="14" t="s">
        <v>147</v>
      </c>
      <c r="H243" s="14" t="s">
        <v>446</v>
      </c>
      <c r="I243" s="14" t="s">
        <v>1261</v>
      </c>
    </row>
    <row r="244" spans="1:9" ht="19.95" customHeight="1" x14ac:dyDescent="0.3">
      <c r="A244" s="21">
        <v>46281.680597141203</v>
      </c>
      <c r="B244" s="13" t="s">
        <v>440</v>
      </c>
      <c r="C244" s="11" t="s">
        <v>427</v>
      </c>
      <c r="D244" s="11" t="s">
        <v>1262</v>
      </c>
      <c r="E244" s="11" t="s">
        <v>145</v>
      </c>
      <c r="F244" s="11" t="s">
        <v>446</v>
      </c>
      <c r="G244" s="11" t="s">
        <v>152</v>
      </c>
      <c r="H244" s="11" t="s">
        <v>242</v>
      </c>
      <c r="I244" s="11" t="s">
        <v>1263</v>
      </c>
    </row>
    <row r="245" spans="1:9" ht="19.95" customHeight="1" x14ac:dyDescent="0.3">
      <c r="A245" s="23">
        <v>46281.664894884263</v>
      </c>
      <c r="B245" s="16" t="s">
        <v>440</v>
      </c>
      <c r="C245" s="14" t="s">
        <v>427</v>
      </c>
      <c r="D245" s="14" t="s">
        <v>1264</v>
      </c>
      <c r="E245" s="14" t="s">
        <v>145</v>
      </c>
      <c r="F245" s="14" t="s">
        <v>446</v>
      </c>
      <c r="G245" s="14" t="s">
        <v>150</v>
      </c>
      <c r="H245" s="14" t="s">
        <v>242</v>
      </c>
      <c r="I245" s="14" t="s">
        <v>1265</v>
      </c>
    </row>
    <row r="246" spans="1:9" ht="19.95" customHeight="1" x14ac:dyDescent="0.3">
      <c r="A246" s="21">
        <v>46281.66370193287</v>
      </c>
      <c r="B246" s="13" t="s">
        <v>440</v>
      </c>
      <c r="C246" s="11" t="s">
        <v>427</v>
      </c>
      <c r="D246" s="11" t="s">
        <v>1266</v>
      </c>
      <c r="E246" s="11" t="s">
        <v>361</v>
      </c>
      <c r="F246" s="11" t="s">
        <v>380</v>
      </c>
      <c r="G246" s="11" t="s">
        <v>147</v>
      </c>
      <c r="H246" s="11" t="s">
        <v>256</v>
      </c>
      <c r="I246" s="11" t="s">
        <v>1267</v>
      </c>
    </row>
    <row r="247" spans="1:9" ht="19.95" customHeight="1" x14ac:dyDescent="0.3">
      <c r="A247" s="23">
        <v>46281.662823587962</v>
      </c>
      <c r="B247" s="16" t="s">
        <v>440</v>
      </c>
      <c r="C247" s="14" t="s">
        <v>427</v>
      </c>
      <c r="D247" s="14" t="s">
        <v>1268</v>
      </c>
      <c r="E247" s="14" t="s">
        <v>145</v>
      </c>
      <c r="F247" s="14" t="s">
        <v>446</v>
      </c>
      <c r="G247" s="14" t="s">
        <v>147</v>
      </c>
      <c r="H247" s="14" t="s">
        <v>508</v>
      </c>
      <c r="I247" s="14" t="s">
        <v>1269</v>
      </c>
    </row>
    <row r="248" spans="1:9" ht="19.95" customHeight="1" x14ac:dyDescent="0.3">
      <c r="A248" s="21">
        <v>46281.660480127313</v>
      </c>
      <c r="B248" s="13" t="s">
        <v>440</v>
      </c>
      <c r="C248" s="11" t="s">
        <v>427</v>
      </c>
      <c r="D248" s="11" t="s">
        <v>1270</v>
      </c>
      <c r="E248" s="11" t="s">
        <v>145</v>
      </c>
      <c r="F248" s="11" t="s">
        <v>424</v>
      </c>
      <c r="G248" s="11" t="s">
        <v>147</v>
      </c>
      <c r="H248" s="11" t="s">
        <v>242</v>
      </c>
      <c r="I248" s="11" t="s">
        <v>1271</v>
      </c>
    </row>
    <row r="249" spans="1:9" ht="19.95" customHeight="1" x14ac:dyDescent="0.3">
      <c r="A249" s="23">
        <v>46281.659613113428</v>
      </c>
      <c r="B249" s="16" t="s">
        <v>440</v>
      </c>
      <c r="C249" s="14" t="s">
        <v>427</v>
      </c>
      <c r="D249" s="14" t="s">
        <v>1272</v>
      </c>
      <c r="E249" s="14" t="s">
        <v>145</v>
      </c>
      <c r="F249" s="14" t="s">
        <v>446</v>
      </c>
      <c r="G249" s="14" t="s">
        <v>152</v>
      </c>
      <c r="H249" s="14" t="s">
        <v>508</v>
      </c>
      <c r="I249" s="14" t="s">
        <v>1273</v>
      </c>
    </row>
    <row r="250" spans="1:9" ht="19.95" customHeight="1" x14ac:dyDescent="0.3">
      <c r="A250" s="21">
        <v>46281.654770787027</v>
      </c>
      <c r="B250" s="13" t="s">
        <v>440</v>
      </c>
      <c r="C250" s="11" t="s">
        <v>427</v>
      </c>
      <c r="D250" s="11" t="s">
        <v>1274</v>
      </c>
      <c r="E250" s="11" t="s">
        <v>145</v>
      </c>
      <c r="F250" s="11" t="s">
        <v>424</v>
      </c>
      <c r="G250" s="11" t="s">
        <v>150</v>
      </c>
      <c r="H250" s="11" t="s">
        <v>261</v>
      </c>
      <c r="I250" s="11" t="s">
        <v>1275</v>
      </c>
    </row>
    <row r="251" spans="1:9" ht="19.95" customHeight="1" x14ac:dyDescent="0.3">
      <c r="A251" s="23">
        <v>46281.653456539352</v>
      </c>
      <c r="B251" s="16" t="s">
        <v>440</v>
      </c>
      <c r="C251" s="14" t="s">
        <v>427</v>
      </c>
      <c r="D251" s="14" t="s">
        <v>1276</v>
      </c>
      <c r="E251" s="14" t="s">
        <v>145</v>
      </c>
      <c r="F251" s="14" t="s">
        <v>446</v>
      </c>
      <c r="G251" s="14" t="s">
        <v>150</v>
      </c>
      <c r="H251" s="14" t="s">
        <v>242</v>
      </c>
      <c r="I251" s="14" t="s">
        <v>1277</v>
      </c>
    </row>
    <row r="252" spans="1:9" ht="19.95" customHeight="1" x14ac:dyDescent="0.3">
      <c r="A252" s="21">
        <v>46281.65055431713</v>
      </c>
      <c r="B252" s="13" t="s">
        <v>440</v>
      </c>
      <c r="C252" s="11" t="s">
        <v>1250</v>
      </c>
      <c r="D252" s="11" t="s">
        <v>1278</v>
      </c>
      <c r="E252" s="11" t="s">
        <v>361</v>
      </c>
      <c r="F252" s="11" t="s">
        <v>424</v>
      </c>
      <c r="G252" s="11" t="s">
        <v>150</v>
      </c>
      <c r="H252" s="11" t="s">
        <v>446</v>
      </c>
      <c r="I252" s="11" t="s">
        <v>1279</v>
      </c>
    </row>
    <row r="253" spans="1:9" ht="19.95" customHeight="1" x14ac:dyDescent="0.3">
      <c r="A253" s="23">
        <v>46281.60800925926</v>
      </c>
      <c r="B253" s="16" t="s">
        <v>440</v>
      </c>
      <c r="C253" s="14" t="s">
        <v>1085</v>
      </c>
      <c r="D253" s="14" t="s">
        <v>1280</v>
      </c>
      <c r="E253" s="14" t="s">
        <v>361</v>
      </c>
      <c r="F253" s="14" t="s">
        <v>380</v>
      </c>
      <c r="G253" s="14" t="s">
        <v>356</v>
      </c>
      <c r="H253" s="14" t="s">
        <v>357</v>
      </c>
      <c r="I253" s="14" t="s">
        <v>1281</v>
      </c>
    </row>
    <row r="254" spans="1:9" ht="19.95" customHeight="1" x14ac:dyDescent="0.3">
      <c r="A254" s="21">
        <v>46281.604183078707</v>
      </c>
      <c r="B254" s="13" t="s">
        <v>440</v>
      </c>
      <c r="C254" s="11" t="s">
        <v>1250</v>
      </c>
      <c r="D254" s="11" t="s">
        <v>1282</v>
      </c>
      <c r="E254" s="11" t="s">
        <v>361</v>
      </c>
      <c r="F254" s="11" t="s">
        <v>424</v>
      </c>
      <c r="G254" s="11" t="s">
        <v>150</v>
      </c>
      <c r="H254" s="11" t="s">
        <v>381</v>
      </c>
      <c r="I254" s="11" t="s">
        <v>1283</v>
      </c>
    </row>
    <row r="255" spans="1:9" ht="19.95" customHeight="1" x14ac:dyDescent="0.3">
      <c r="A255" s="23">
        <v>46281.598004363434</v>
      </c>
      <c r="B255" s="16" t="s">
        <v>440</v>
      </c>
      <c r="C255" s="14" t="s">
        <v>427</v>
      </c>
      <c r="D255" s="14" t="s">
        <v>1284</v>
      </c>
      <c r="E255" s="14" t="s">
        <v>145</v>
      </c>
      <c r="F255" s="14" t="s">
        <v>424</v>
      </c>
      <c r="G255" s="14" t="s">
        <v>356</v>
      </c>
      <c r="H255" s="14" t="s">
        <v>357</v>
      </c>
      <c r="I255" s="14" t="s">
        <v>38</v>
      </c>
    </row>
    <row r="256" spans="1:9" ht="19.95" customHeight="1" x14ac:dyDescent="0.3">
      <c r="A256" s="21">
        <v>46281.59800273148</v>
      </c>
      <c r="B256" s="13" t="s">
        <v>440</v>
      </c>
      <c r="C256" s="11" t="s">
        <v>427</v>
      </c>
      <c r="D256" s="11" t="s">
        <v>498</v>
      </c>
      <c r="E256" s="11" t="s">
        <v>142</v>
      </c>
      <c r="F256" s="11" t="s">
        <v>424</v>
      </c>
      <c r="G256" s="11" t="s">
        <v>356</v>
      </c>
      <c r="H256" s="11" t="s">
        <v>357</v>
      </c>
      <c r="I256" s="11" t="s">
        <v>38</v>
      </c>
    </row>
    <row r="257" spans="1:9" ht="19.95" customHeight="1" x14ac:dyDescent="0.3">
      <c r="A257" s="23">
        <v>46281.582953414349</v>
      </c>
      <c r="B257" s="16" t="s">
        <v>440</v>
      </c>
      <c r="C257" s="14" t="s">
        <v>427</v>
      </c>
      <c r="D257" s="14" t="s">
        <v>1285</v>
      </c>
      <c r="E257" s="14" t="s">
        <v>361</v>
      </c>
      <c r="F257" s="14" t="s">
        <v>424</v>
      </c>
      <c r="G257" s="14" t="s">
        <v>152</v>
      </c>
      <c r="H257" s="14" t="s">
        <v>242</v>
      </c>
      <c r="I257" s="14" t="s">
        <v>1286</v>
      </c>
    </row>
    <row r="258" spans="1:9" ht="19.95" customHeight="1" x14ac:dyDescent="0.3">
      <c r="A258" s="21">
        <v>46281.580644571761</v>
      </c>
      <c r="B258" s="13" t="s">
        <v>440</v>
      </c>
      <c r="C258" s="11" t="s">
        <v>1250</v>
      </c>
      <c r="D258" s="11" t="s">
        <v>1287</v>
      </c>
      <c r="E258" s="11" t="s">
        <v>361</v>
      </c>
      <c r="F258" s="11" t="s">
        <v>424</v>
      </c>
      <c r="G258" s="11" t="s">
        <v>147</v>
      </c>
      <c r="H258" s="11" t="s">
        <v>381</v>
      </c>
      <c r="I258" s="11" t="s">
        <v>1288</v>
      </c>
    </row>
    <row r="259" spans="1:9" ht="19.95" customHeight="1" x14ac:dyDescent="0.3">
      <c r="A259" s="23">
        <v>46281.573308090279</v>
      </c>
      <c r="B259" s="16" t="s">
        <v>440</v>
      </c>
      <c r="C259" s="14" t="s">
        <v>1250</v>
      </c>
      <c r="D259" s="14" t="s">
        <v>1289</v>
      </c>
      <c r="E259" s="14" t="s">
        <v>361</v>
      </c>
      <c r="F259" s="14" t="s">
        <v>424</v>
      </c>
      <c r="G259" s="14" t="s">
        <v>152</v>
      </c>
      <c r="H259" s="14" t="s">
        <v>381</v>
      </c>
      <c r="I259" s="14" t="s">
        <v>1290</v>
      </c>
    </row>
    <row r="260" spans="1:9" ht="19.95" customHeight="1" x14ac:dyDescent="0.3">
      <c r="A260" s="21">
        <v>46281.5713025</v>
      </c>
      <c r="B260" s="13" t="s">
        <v>440</v>
      </c>
      <c r="C260" s="11" t="s">
        <v>427</v>
      </c>
      <c r="D260" s="11" t="s">
        <v>1291</v>
      </c>
      <c r="E260" s="11" t="s">
        <v>361</v>
      </c>
      <c r="F260" s="11" t="s">
        <v>380</v>
      </c>
      <c r="G260" s="11" t="s">
        <v>150</v>
      </c>
      <c r="H260" s="11" t="s">
        <v>1292</v>
      </c>
      <c r="I260" s="11" t="s">
        <v>1293</v>
      </c>
    </row>
    <row r="261" spans="1:9" ht="19.95" customHeight="1" x14ac:dyDescent="0.3">
      <c r="A261" s="23">
        <v>46281.557924629633</v>
      </c>
      <c r="B261" s="16" t="s">
        <v>440</v>
      </c>
      <c r="C261" s="14" t="s">
        <v>1250</v>
      </c>
      <c r="D261" s="14" t="s">
        <v>1294</v>
      </c>
      <c r="E261" s="14" t="s">
        <v>361</v>
      </c>
      <c r="F261" s="14" t="s">
        <v>424</v>
      </c>
      <c r="G261" s="14" t="s">
        <v>147</v>
      </c>
      <c r="H261" s="14" t="s">
        <v>381</v>
      </c>
      <c r="I261" s="14" t="s">
        <v>1295</v>
      </c>
    </row>
    <row r="262" spans="1:9" ht="19.95" customHeight="1" x14ac:dyDescent="0.3">
      <c r="A262" s="21">
        <v>46281.522225185188</v>
      </c>
      <c r="B262" s="13" t="s">
        <v>440</v>
      </c>
      <c r="C262" s="11" t="s">
        <v>1250</v>
      </c>
      <c r="D262" s="11" t="s">
        <v>1296</v>
      </c>
      <c r="E262" s="11" t="s">
        <v>361</v>
      </c>
      <c r="F262" s="11" t="s">
        <v>424</v>
      </c>
      <c r="G262" s="11" t="s">
        <v>150</v>
      </c>
      <c r="H262" s="11" t="s">
        <v>381</v>
      </c>
      <c r="I262" s="11" t="s">
        <v>1297</v>
      </c>
    </row>
    <row r="263" spans="1:9" ht="19.95" customHeight="1" x14ac:dyDescent="0.3">
      <c r="A263" s="23">
        <v>46281.513686527767</v>
      </c>
      <c r="B263" s="16" t="s">
        <v>440</v>
      </c>
      <c r="C263" s="14" t="s">
        <v>1250</v>
      </c>
      <c r="D263" s="14" t="s">
        <v>1298</v>
      </c>
      <c r="E263" s="14" t="s">
        <v>361</v>
      </c>
      <c r="F263" s="14" t="s">
        <v>424</v>
      </c>
      <c r="G263" s="14" t="s">
        <v>152</v>
      </c>
      <c r="H263" s="14" t="s">
        <v>381</v>
      </c>
      <c r="I263" s="14" t="s">
        <v>1299</v>
      </c>
    </row>
    <row r="264" spans="1:9" ht="19.95" customHeight="1" x14ac:dyDescent="0.3">
      <c r="A264" s="21">
        <v>46281.506266469907</v>
      </c>
      <c r="B264" s="13" t="s">
        <v>440</v>
      </c>
      <c r="C264" s="11" t="s">
        <v>1250</v>
      </c>
      <c r="D264" s="11" t="s">
        <v>1300</v>
      </c>
      <c r="E264" s="11" t="s">
        <v>361</v>
      </c>
      <c r="F264" s="11" t="s">
        <v>424</v>
      </c>
      <c r="G264" s="11" t="s">
        <v>152</v>
      </c>
      <c r="H264" s="11" t="s">
        <v>425</v>
      </c>
      <c r="I264" s="11" t="s">
        <v>1301</v>
      </c>
    </row>
    <row r="265" spans="1:9" ht="19.95" customHeight="1" x14ac:dyDescent="0.3">
      <c r="A265" s="23">
        <v>46281.504953217591</v>
      </c>
      <c r="B265" s="16" t="s">
        <v>440</v>
      </c>
      <c r="C265" s="14" t="s">
        <v>1250</v>
      </c>
      <c r="D265" s="14" t="s">
        <v>1302</v>
      </c>
      <c r="E265" s="14" t="s">
        <v>361</v>
      </c>
      <c r="F265" s="14" t="s">
        <v>424</v>
      </c>
      <c r="G265" s="14" t="s">
        <v>152</v>
      </c>
      <c r="H265" s="14" t="s">
        <v>242</v>
      </c>
      <c r="I265" s="14" t="s">
        <v>1303</v>
      </c>
    </row>
    <row r="266" spans="1:9" ht="19.95" customHeight="1" x14ac:dyDescent="0.3">
      <c r="A266" s="21">
        <v>46281.47338949074</v>
      </c>
      <c r="B266" s="13" t="s">
        <v>440</v>
      </c>
      <c r="C266" s="11" t="s">
        <v>1085</v>
      </c>
      <c r="D266" s="11" t="s">
        <v>1304</v>
      </c>
      <c r="E266" s="11" t="s">
        <v>361</v>
      </c>
      <c r="F266" s="11" t="s">
        <v>380</v>
      </c>
      <c r="G266" s="11" t="s">
        <v>147</v>
      </c>
      <c r="H266" s="11" t="s">
        <v>355</v>
      </c>
      <c r="I266" s="11" t="s">
        <v>1305</v>
      </c>
    </row>
    <row r="267" spans="1:9" ht="19.95" customHeight="1" x14ac:dyDescent="0.3">
      <c r="A267" s="23">
        <v>46281.415922789347</v>
      </c>
      <c r="B267" s="16" t="s">
        <v>440</v>
      </c>
      <c r="C267" s="14" t="s">
        <v>1250</v>
      </c>
      <c r="D267" s="14" t="s">
        <v>1306</v>
      </c>
      <c r="E267" s="14" t="s">
        <v>361</v>
      </c>
      <c r="F267" s="14" t="s">
        <v>446</v>
      </c>
      <c r="G267" s="14" t="s">
        <v>356</v>
      </c>
      <c r="H267" s="14" t="s">
        <v>446</v>
      </c>
      <c r="I267" s="14" t="s">
        <v>1307</v>
      </c>
    </row>
    <row r="268" spans="1:9" ht="19.95" customHeight="1" x14ac:dyDescent="0.3">
      <c r="A268" s="21">
        <v>46281.044295370368</v>
      </c>
      <c r="B268" s="13" t="s">
        <v>440</v>
      </c>
      <c r="C268" s="11" t="s">
        <v>1250</v>
      </c>
      <c r="D268" s="11" t="s">
        <v>1308</v>
      </c>
      <c r="E268" s="11" t="s">
        <v>361</v>
      </c>
      <c r="F268" s="11" t="s">
        <v>424</v>
      </c>
      <c r="G268" s="11" t="s">
        <v>152</v>
      </c>
      <c r="H268" s="11" t="s">
        <v>446</v>
      </c>
      <c r="I268" s="11" t="s">
        <v>1309</v>
      </c>
    </row>
    <row r="269" spans="1:9" ht="19.95" customHeight="1" x14ac:dyDescent="0.3">
      <c r="A269" s="23">
        <v>46281.03929508102</v>
      </c>
      <c r="B269" s="16" t="s">
        <v>440</v>
      </c>
      <c r="C269" s="14" t="s">
        <v>1250</v>
      </c>
      <c r="D269" s="14" t="s">
        <v>586</v>
      </c>
      <c r="E269" s="14" t="s">
        <v>361</v>
      </c>
      <c r="F269" s="14" t="s">
        <v>424</v>
      </c>
      <c r="G269" s="14" t="s">
        <v>152</v>
      </c>
      <c r="H269" s="14" t="s">
        <v>446</v>
      </c>
      <c r="I269" s="14" t="s">
        <v>1310</v>
      </c>
    </row>
    <row r="270" spans="1:9" ht="19.95" customHeight="1" x14ac:dyDescent="0.3">
      <c r="A270" s="21">
        <v>46281.031628506942</v>
      </c>
      <c r="B270" s="13" t="s">
        <v>440</v>
      </c>
      <c r="C270" s="11" t="s">
        <v>1250</v>
      </c>
      <c r="D270" s="11" t="s">
        <v>1311</v>
      </c>
      <c r="E270" s="11" t="s">
        <v>361</v>
      </c>
      <c r="F270" s="11" t="s">
        <v>424</v>
      </c>
      <c r="G270" s="11" t="s">
        <v>152</v>
      </c>
      <c r="H270" s="11" t="s">
        <v>247</v>
      </c>
      <c r="I270" s="11" t="s">
        <v>1312</v>
      </c>
    </row>
    <row r="271" spans="1:9" ht="19.95" customHeight="1" x14ac:dyDescent="0.3">
      <c r="A271" s="23">
        <v>46281.027588275458</v>
      </c>
      <c r="B271" s="16" t="s">
        <v>440</v>
      </c>
      <c r="C271" s="14" t="s">
        <v>1250</v>
      </c>
      <c r="D271" s="14" t="s">
        <v>1313</v>
      </c>
      <c r="E271" s="14" t="s">
        <v>361</v>
      </c>
      <c r="F271" s="14" t="s">
        <v>424</v>
      </c>
      <c r="G271" s="14" t="s">
        <v>152</v>
      </c>
      <c r="H271" s="14" t="s">
        <v>1314</v>
      </c>
      <c r="I271" s="14" t="s">
        <v>1315</v>
      </c>
    </row>
    <row r="272" spans="1:9" ht="19.95" customHeight="1" x14ac:dyDescent="0.3">
      <c r="A272" s="21">
        <v>46281.018771574083</v>
      </c>
      <c r="B272" s="13" t="s">
        <v>440</v>
      </c>
      <c r="C272" s="11" t="s">
        <v>1250</v>
      </c>
      <c r="D272" s="11" t="s">
        <v>1316</v>
      </c>
      <c r="E272" s="11" t="s">
        <v>361</v>
      </c>
      <c r="F272" s="11" t="s">
        <v>380</v>
      </c>
      <c r="G272" s="11" t="s">
        <v>152</v>
      </c>
      <c r="H272" s="11" t="s">
        <v>381</v>
      </c>
      <c r="I272" s="11" t="s">
        <v>1317</v>
      </c>
    </row>
    <row r="273" spans="1:9" ht="19.95" customHeight="1" x14ac:dyDescent="0.3">
      <c r="A273" s="23">
        <v>46280.99051196759</v>
      </c>
      <c r="B273" s="16" t="s">
        <v>440</v>
      </c>
      <c r="C273" s="14" t="s">
        <v>1250</v>
      </c>
      <c r="D273" s="14" t="s">
        <v>1318</v>
      </c>
      <c r="E273" s="14" t="s">
        <v>361</v>
      </c>
      <c r="F273" s="14" t="s">
        <v>424</v>
      </c>
      <c r="G273" s="14" t="s">
        <v>152</v>
      </c>
      <c r="H273" s="14" t="s">
        <v>446</v>
      </c>
      <c r="I273" s="14" t="s">
        <v>1319</v>
      </c>
    </row>
    <row r="274" spans="1:9" ht="19.95" customHeight="1" x14ac:dyDescent="0.3">
      <c r="A274" s="21">
        <v>46280.9101915625</v>
      </c>
      <c r="B274" s="13" t="s">
        <v>440</v>
      </c>
      <c r="C274" s="11" t="s">
        <v>427</v>
      </c>
      <c r="D274" s="11" t="s">
        <v>1320</v>
      </c>
      <c r="E274" s="11" t="s">
        <v>145</v>
      </c>
      <c r="F274" s="11" t="s">
        <v>424</v>
      </c>
      <c r="G274" s="11" t="s">
        <v>356</v>
      </c>
      <c r="H274" s="11" t="s">
        <v>357</v>
      </c>
      <c r="I274" s="11" t="s">
        <v>38</v>
      </c>
    </row>
    <row r="275" spans="1:9" ht="19.95" customHeight="1" x14ac:dyDescent="0.3">
      <c r="A275" s="23">
        <v>46280.775448414352</v>
      </c>
      <c r="B275" s="16" t="s">
        <v>440</v>
      </c>
      <c r="C275" s="14" t="s">
        <v>427</v>
      </c>
      <c r="D275" s="14" t="s">
        <v>1321</v>
      </c>
      <c r="E275" s="14" t="s">
        <v>145</v>
      </c>
      <c r="F275" s="14" t="s">
        <v>446</v>
      </c>
      <c r="G275" s="14" t="s">
        <v>356</v>
      </c>
      <c r="H275" s="14" t="s">
        <v>357</v>
      </c>
      <c r="I275" s="14" t="s">
        <v>38</v>
      </c>
    </row>
    <row r="276" spans="1:9" ht="19.95" customHeight="1" x14ac:dyDescent="0.3">
      <c r="A276" s="21">
        <v>46280.768495625001</v>
      </c>
      <c r="B276" s="13" t="s">
        <v>440</v>
      </c>
      <c r="C276" s="11" t="s">
        <v>1250</v>
      </c>
      <c r="D276" s="11" t="s">
        <v>1322</v>
      </c>
      <c r="E276" s="11" t="s">
        <v>361</v>
      </c>
      <c r="F276" s="11" t="s">
        <v>424</v>
      </c>
      <c r="G276" s="11" t="s">
        <v>147</v>
      </c>
      <c r="H276" s="11" t="s">
        <v>1314</v>
      </c>
      <c r="I276" s="11" t="s">
        <v>1323</v>
      </c>
    </row>
    <row r="277" spans="1:9" ht="19.95" customHeight="1" x14ac:dyDescent="0.3">
      <c r="A277" s="23">
        <v>46280.761561666674</v>
      </c>
      <c r="B277" s="16" t="s">
        <v>440</v>
      </c>
      <c r="C277" s="14" t="s">
        <v>427</v>
      </c>
      <c r="D277" s="14" t="s">
        <v>1324</v>
      </c>
      <c r="E277" s="14" t="s">
        <v>142</v>
      </c>
      <c r="F277" s="14" t="s">
        <v>432</v>
      </c>
      <c r="G277" s="14" t="s">
        <v>356</v>
      </c>
      <c r="H277" s="14" t="s">
        <v>357</v>
      </c>
      <c r="I277" s="14" t="s">
        <v>447</v>
      </c>
    </row>
    <row r="278" spans="1:9" ht="19.95" customHeight="1" x14ac:dyDescent="0.3">
      <c r="A278" s="21">
        <v>46280.684796145833</v>
      </c>
      <c r="B278" s="13" t="s">
        <v>440</v>
      </c>
      <c r="C278" s="11" t="s">
        <v>1085</v>
      </c>
      <c r="D278" s="11" t="s">
        <v>1325</v>
      </c>
      <c r="E278" s="11" t="s">
        <v>361</v>
      </c>
      <c r="F278" s="11" t="s">
        <v>380</v>
      </c>
      <c r="G278" s="11" t="s">
        <v>356</v>
      </c>
      <c r="H278" s="11" t="s">
        <v>357</v>
      </c>
      <c r="I278" s="11" t="s">
        <v>1326</v>
      </c>
    </row>
    <row r="279" spans="1:9" ht="19.95" customHeight="1" x14ac:dyDescent="0.3">
      <c r="A279" s="23">
        <v>46280.683531643517</v>
      </c>
      <c r="B279" s="16" t="s">
        <v>440</v>
      </c>
      <c r="C279" s="14" t="s">
        <v>1250</v>
      </c>
      <c r="D279" s="14" t="s">
        <v>1327</v>
      </c>
      <c r="E279" s="14" t="s">
        <v>361</v>
      </c>
      <c r="F279" s="14" t="s">
        <v>424</v>
      </c>
      <c r="G279" s="14" t="s">
        <v>150</v>
      </c>
      <c r="H279" s="14" t="s">
        <v>425</v>
      </c>
      <c r="I279" s="14" t="s">
        <v>1328</v>
      </c>
    </row>
    <row r="280" spans="1:9" ht="19.95" customHeight="1" x14ac:dyDescent="0.3">
      <c r="A280" s="21">
        <v>46280.680195659719</v>
      </c>
      <c r="B280" s="13" t="s">
        <v>440</v>
      </c>
      <c r="C280" s="11" t="s">
        <v>1250</v>
      </c>
      <c r="D280" s="11" t="s">
        <v>1329</v>
      </c>
      <c r="E280" s="11" t="s">
        <v>361</v>
      </c>
      <c r="F280" s="11" t="s">
        <v>424</v>
      </c>
      <c r="G280" s="11" t="s">
        <v>356</v>
      </c>
      <c r="H280" s="11" t="s">
        <v>446</v>
      </c>
      <c r="I280" s="11" t="s">
        <v>1330</v>
      </c>
    </row>
    <row r="281" spans="1:9" ht="19.95" customHeight="1" x14ac:dyDescent="0.3">
      <c r="A281" s="23">
        <v>46280.638717199072</v>
      </c>
      <c r="B281" s="16" t="s">
        <v>440</v>
      </c>
      <c r="C281" s="14" t="s">
        <v>427</v>
      </c>
      <c r="D281" s="14" t="s">
        <v>1331</v>
      </c>
      <c r="E281" s="14" t="s">
        <v>145</v>
      </c>
      <c r="F281" s="14" t="s">
        <v>424</v>
      </c>
      <c r="G281" s="14" t="s">
        <v>356</v>
      </c>
      <c r="H281" s="14" t="s">
        <v>357</v>
      </c>
      <c r="I281" s="14" t="s">
        <v>38</v>
      </c>
    </row>
    <row r="282" spans="1:9" ht="19.95" customHeight="1" x14ac:dyDescent="0.3">
      <c r="A282" s="21">
        <v>46280.604245706018</v>
      </c>
      <c r="B282" s="13" t="s">
        <v>440</v>
      </c>
      <c r="C282" s="11" t="s">
        <v>1250</v>
      </c>
      <c r="D282" s="11" t="s">
        <v>1332</v>
      </c>
      <c r="E282" s="11" t="s">
        <v>361</v>
      </c>
      <c r="F282" s="11" t="s">
        <v>424</v>
      </c>
      <c r="G282" s="11" t="s">
        <v>152</v>
      </c>
      <c r="H282" s="11" t="s">
        <v>381</v>
      </c>
      <c r="I282" s="11" t="s">
        <v>1333</v>
      </c>
    </row>
    <row r="283" spans="1:9" ht="19.95" customHeight="1" x14ac:dyDescent="0.3">
      <c r="A283" s="23">
        <v>46280.582791226851</v>
      </c>
      <c r="B283" s="16" t="s">
        <v>440</v>
      </c>
      <c r="C283" s="14" t="s">
        <v>1250</v>
      </c>
      <c r="D283" s="14" t="s">
        <v>1334</v>
      </c>
      <c r="E283" s="14" t="s">
        <v>361</v>
      </c>
      <c r="F283" s="14" t="s">
        <v>424</v>
      </c>
      <c r="G283" s="14" t="s">
        <v>147</v>
      </c>
      <c r="H283" s="14" t="s">
        <v>381</v>
      </c>
      <c r="I283" s="14" t="s">
        <v>1335</v>
      </c>
    </row>
    <row r="284" spans="1:9" ht="19.95" customHeight="1" x14ac:dyDescent="0.3">
      <c r="A284" s="21">
        <v>46280.541657708331</v>
      </c>
      <c r="B284" s="13" t="s">
        <v>440</v>
      </c>
      <c r="C284" s="11" t="s">
        <v>1250</v>
      </c>
      <c r="D284" s="11" t="s">
        <v>1336</v>
      </c>
      <c r="E284" s="11" t="s">
        <v>361</v>
      </c>
      <c r="F284" s="11" t="s">
        <v>424</v>
      </c>
      <c r="G284" s="11" t="s">
        <v>150</v>
      </c>
      <c r="H284" s="11" t="s">
        <v>256</v>
      </c>
      <c r="I284" s="11" t="s">
        <v>1337</v>
      </c>
    </row>
    <row r="285" spans="1:9" ht="19.95" customHeight="1" x14ac:dyDescent="0.3">
      <c r="A285" s="23">
        <v>46280.514201365739</v>
      </c>
      <c r="B285" s="16" t="s">
        <v>440</v>
      </c>
      <c r="C285" s="14" t="s">
        <v>1250</v>
      </c>
      <c r="D285" s="14" t="s">
        <v>1338</v>
      </c>
      <c r="E285" s="14" t="s">
        <v>361</v>
      </c>
      <c r="F285" s="14" t="s">
        <v>424</v>
      </c>
      <c r="G285" s="14" t="s">
        <v>152</v>
      </c>
      <c r="H285" s="14" t="s">
        <v>381</v>
      </c>
      <c r="I285" s="14" t="s">
        <v>1339</v>
      </c>
    </row>
    <row r="286" spans="1:9" ht="19.95" customHeight="1" x14ac:dyDescent="0.3">
      <c r="A286" s="21">
        <v>46280.458419814808</v>
      </c>
      <c r="B286" s="13" t="s">
        <v>440</v>
      </c>
      <c r="C286" s="11" t="s">
        <v>427</v>
      </c>
      <c r="D286" s="11" t="s">
        <v>1340</v>
      </c>
      <c r="E286" s="11" t="s">
        <v>145</v>
      </c>
      <c r="F286" s="11" t="s">
        <v>424</v>
      </c>
      <c r="G286" s="11" t="s">
        <v>150</v>
      </c>
      <c r="H286" s="11" t="s">
        <v>508</v>
      </c>
      <c r="I286" s="11" t="s">
        <v>1341</v>
      </c>
    </row>
    <row r="287" spans="1:9" ht="19.95" customHeight="1" x14ac:dyDescent="0.3">
      <c r="A287" s="23">
        <v>46279.737398854173</v>
      </c>
      <c r="B287" s="16" t="s">
        <v>440</v>
      </c>
      <c r="C287" s="14" t="s">
        <v>1085</v>
      </c>
      <c r="D287" s="14" t="s">
        <v>1342</v>
      </c>
      <c r="E287" s="14" t="s">
        <v>361</v>
      </c>
      <c r="F287" s="14" t="s">
        <v>1006</v>
      </c>
      <c r="G287" s="14" t="s">
        <v>152</v>
      </c>
      <c r="H287" s="14" t="s">
        <v>1014</v>
      </c>
      <c r="I287" s="14" t="s">
        <v>1343</v>
      </c>
    </row>
    <row r="288" spans="1:9" ht="19.95" customHeight="1" x14ac:dyDescent="0.3">
      <c r="A288" s="21">
        <v>46279.712635694443</v>
      </c>
      <c r="B288" s="13" t="s">
        <v>440</v>
      </c>
      <c r="C288" s="11" t="s">
        <v>427</v>
      </c>
      <c r="D288" s="11" t="s">
        <v>1340</v>
      </c>
      <c r="E288" s="11" t="s">
        <v>145</v>
      </c>
      <c r="F288" s="11" t="s">
        <v>424</v>
      </c>
      <c r="G288" s="11" t="s">
        <v>356</v>
      </c>
      <c r="H288" s="11" t="s">
        <v>357</v>
      </c>
      <c r="I288" s="11" t="s">
        <v>1344</v>
      </c>
    </row>
    <row r="289" spans="1:9" ht="19.95" customHeight="1" x14ac:dyDescent="0.3">
      <c r="A289" s="23">
        <v>46279.65150630787</v>
      </c>
      <c r="B289" s="16" t="s">
        <v>440</v>
      </c>
      <c r="C289" s="14" t="s">
        <v>1250</v>
      </c>
      <c r="D289" s="14" t="s">
        <v>1345</v>
      </c>
      <c r="E289" s="14" t="s">
        <v>142</v>
      </c>
      <c r="F289" s="14" t="s">
        <v>424</v>
      </c>
      <c r="G289" s="14" t="s">
        <v>150</v>
      </c>
      <c r="H289" s="14" t="s">
        <v>247</v>
      </c>
      <c r="I289" s="14" t="s">
        <v>1346</v>
      </c>
    </row>
    <row r="290" spans="1:9" ht="19.95" customHeight="1" x14ac:dyDescent="0.3">
      <c r="A290" s="21">
        <v>46279.635884965282</v>
      </c>
      <c r="B290" s="13" t="s">
        <v>440</v>
      </c>
      <c r="C290" s="11" t="s">
        <v>1085</v>
      </c>
      <c r="D290" s="11" t="s">
        <v>1347</v>
      </c>
      <c r="E290" s="11" t="s">
        <v>361</v>
      </c>
      <c r="F290" s="11" t="s">
        <v>380</v>
      </c>
      <c r="G290" s="11" t="s">
        <v>356</v>
      </c>
      <c r="H290" s="11" t="s">
        <v>357</v>
      </c>
      <c r="I290" s="11" t="s">
        <v>1348</v>
      </c>
    </row>
    <row r="291" spans="1:9" ht="19.95" customHeight="1" x14ac:dyDescent="0.3">
      <c r="A291" s="23">
        <v>46279.631992997682</v>
      </c>
      <c r="B291" s="16" t="s">
        <v>440</v>
      </c>
      <c r="C291" s="14" t="s">
        <v>1250</v>
      </c>
      <c r="D291" s="14" t="s">
        <v>1349</v>
      </c>
      <c r="E291" s="14" t="s">
        <v>142</v>
      </c>
      <c r="F291" s="14" t="s">
        <v>446</v>
      </c>
      <c r="G291" s="14" t="s">
        <v>356</v>
      </c>
      <c r="H291" s="14" t="s">
        <v>357</v>
      </c>
      <c r="I291" s="14" t="s">
        <v>1346</v>
      </c>
    </row>
    <row r="292" spans="1:9" ht="19.95" customHeight="1" x14ac:dyDescent="0.3">
      <c r="A292" s="21">
        <v>46279.625006793984</v>
      </c>
      <c r="B292" s="13" t="s">
        <v>440</v>
      </c>
      <c r="C292" s="11" t="s">
        <v>427</v>
      </c>
      <c r="D292" s="11" t="s">
        <v>1350</v>
      </c>
      <c r="E292" s="11" t="s">
        <v>142</v>
      </c>
      <c r="F292" s="11" t="s">
        <v>446</v>
      </c>
      <c r="G292" s="11" t="s">
        <v>150</v>
      </c>
      <c r="H292" s="11" t="s">
        <v>252</v>
      </c>
      <c r="I292" s="11" t="s">
        <v>1351</v>
      </c>
    </row>
    <row r="293" spans="1:9" ht="19.95" customHeight="1" x14ac:dyDescent="0.3">
      <c r="A293" s="23">
        <v>46279.622732060183</v>
      </c>
      <c r="B293" s="16" t="s">
        <v>440</v>
      </c>
      <c r="C293" s="14" t="s">
        <v>427</v>
      </c>
      <c r="D293" s="14" t="s">
        <v>1352</v>
      </c>
      <c r="E293" s="14" t="s">
        <v>142</v>
      </c>
      <c r="F293" s="14" t="s">
        <v>446</v>
      </c>
      <c r="G293" s="14" t="s">
        <v>147</v>
      </c>
      <c r="H293" s="14" t="s">
        <v>446</v>
      </c>
      <c r="I293" s="14" t="s">
        <v>1353</v>
      </c>
    </row>
    <row r="294" spans="1:9" ht="19.95" customHeight="1" x14ac:dyDescent="0.3">
      <c r="A294" s="21">
        <v>46279.617712939813</v>
      </c>
      <c r="B294" s="13" t="s">
        <v>440</v>
      </c>
      <c r="C294" s="11" t="s">
        <v>1250</v>
      </c>
      <c r="D294" s="11" t="s">
        <v>1354</v>
      </c>
      <c r="E294" s="11" t="s">
        <v>142</v>
      </c>
      <c r="F294" s="11" t="s">
        <v>446</v>
      </c>
      <c r="G294" s="11" t="s">
        <v>356</v>
      </c>
      <c r="H294" s="11" t="s">
        <v>357</v>
      </c>
      <c r="I294" s="11" t="s">
        <v>1355</v>
      </c>
    </row>
    <row r="295" spans="1:9" ht="19.95" customHeight="1" x14ac:dyDescent="0.3">
      <c r="A295" s="23">
        <v>46279.616078657411</v>
      </c>
      <c r="B295" s="16" t="s">
        <v>440</v>
      </c>
      <c r="C295" s="14" t="s">
        <v>427</v>
      </c>
      <c r="D295" s="14" t="s">
        <v>1356</v>
      </c>
      <c r="E295" s="14" t="s">
        <v>142</v>
      </c>
      <c r="F295" s="14" t="s">
        <v>424</v>
      </c>
      <c r="G295" s="14" t="s">
        <v>150</v>
      </c>
      <c r="H295" s="14" t="s">
        <v>252</v>
      </c>
      <c r="I295" s="14" t="s">
        <v>1357</v>
      </c>
    </row>
    <row r="296" spans="1:9" ht="19.95" customHeight="1" x14ac:dyDescent="0.3">
      <c r="A296" s="21">
        <v>46279.583738182868</v>
      </c>
      <c r="B296" s="13" t="s">
        <v>440</v>
      </c>
      <c r="C296" s="11" t="s">
        <v>427</v>
      </c>
      <c r="D296" s="11" t="s">
        <v>1358</v>
      </c>
      <c r="E296" s="11" t="s">
        <v>142</v>
      </c>
      <c r="F296" s="11" t="s">
        <v>446</v>
      </c>
      <c r="G296" s="11" t="s">
        <v>356</v>
      </c>
      <c r="H296" s="11" t="s">
        <v>357</v>
      </c>
      <c r="I296" s="11" t="s">
        <v>1359</v>
      </c>
    </row>
    <row r="297" spans="1:9" ht="19.95" customHeight="1" x14ac:dyDescent="0.3">
      <c r="A297" s="23">
        <v>46279.565495162038</v>
      </c>
      <c r="B297" s="16" t="s">
        <v>440</v>
      </c>
      <c r="C297" s="14" t="s">
        <v>427</v>
      </c>
      <c r="D297" s="14" t="s">
        <v>1360</v>
      </c>
      <c r="E297" s="14" t="s">
        <v>142</v>
      </c>
      <c r="F297" s="14" t="s">
        <v>380</v>
      </c>
      <c r="G297" s="14" t="s">
        <v>152</v>
      </c>
      <c r="H297" s="14" t="s">
        <v>1314</v>
      </c>
      <c r="I297" s="14" t="s">
        <v>1361</v>
      </c>
    </row>
    <row r="298" spans="1:9" ht="19.95" customHeight="1" x14ac:dyDescent="0.3">
      <c r="A298" s="21">
        <v>46279.562615671297</v>
      </c>
      <c r="B298" s="13" t="s">
        <v>440</v>
      </c>
      <c r="C298" s="11" t="s">
        <v>1250</v>
      </c>
      <c r="D298" s="11" t="s">
        <v>1362</v>
      </c>
      <c r="E298" s="11" t="s">
        <v>142</v>
      </c>
      <c r="F298" s="11" t="s">
        <v>424</v>
      </c>
      <c r="G298" s="11" t="s">
        <v>356</v>
      </c>
      <c r="H298" s="11" t="s">
        <v>357</v>
      </c>
      <c r="I298" s="11" t="s">
        <v>1346</v>
      </c>
    </row>
    <row r="299" spans="1:9" ht="19.95" customHeight="1" x14ac:dyDescent="0.3">
      <c r="A299" s="23">
        <v>46279.560099212962</v>
      </c>
      <c r="B299" s="16" t="s">
        <v>440</v>
      </c>
      <c r="C299" s="14" t="s">
        <v>1250</v>
      </c>
      <c r="D299" s="14" t="s">
        <v>1363</v>
      </c>
      <c r="E299" s="14" t="s">
        <v>142</v>
      </c>
      <c r="F299" s="14" t="s">
        <v>424</v>
      </c>
      <c r="G299" s="14" t="s">
        <v>152</v>
      </c>
      <c r="H299" s="14" t="s">
        <v>443</v>
      </c>
      <c r="I299" s="14" t="s">
        <v>1364</v>
      </c>
    </row>
    <row r="300" spans="1:9" ht="19.95" customHeight="1" x14ac:dyDescent="0.3">
      <c r="A300" s="21">
        <v>46279.540073969911</v>
      </c>
      <c r="B300" s="13" t="s">
        <v>440</v>
      </c>
      <c r="C300" s="11" t="s">
        <v>427</v>
      </c>
      <c r="D300" s="11" t="s">
        <v>1365</v>
      </c>
      <c r="E300" s="11" t="s">
        <v>142</v>
      </c>
      <c r="F300" s="11" t="s">
        <v>380</v>
      </c>
      <c r="G300" s="11" t="s">
        <v>356</v>
      </c>
      <c r="H300" s="11" t="s">
        <v>357</v>
      </c>
      <c r="I300" s="11" t="s">
        <v>1366</v>
      </c>
    </row>
    <row r="301" spans="1:9" ht="19.95" customHeight="1" x14ac:dyDescent="0.3">
      <c r="A301" s="23">
        <v>46279.538812384257</v>
      </c>
      <c r="B301" s="16" t="s">
        <v>440</v>
      </c>
      <c r="C301" s="14" t="s">
        <v>1250</v>
      </c>
      <c r="D301" s="14" t="s">
        <v>450</v>
      </c>
      <c r="E301" s="14" t="s">
        <v>142</v>
      </c>
      <c r="F301" s="14" t="s">
        <v>424</v>
      </c>
      <c r="G301" s="14" t="s">
        <v>356</v>
      </c>
      <c r="H301" s="14" t="s">
        <v>357</v>
      </c>
      <c r="I301" s="14" t="s">
        <v>1367</v>
      </c>
    </row>
    <row r="302" spans="1:9" ht="19.95" customHeight="1" x14ac:dyDescent="0.3">
      <c r="A302" s="21">
        <v>46279.533476817131</v>
      </c>
      <c r="B302" s="13" t="s">
        <v>440</v>
      </c>
      <c r="C302" s="11" t="s">
        <v>427</v>
      </c>
      <c r="D302" s="11" t="s">
        <v>1368</v>
      </c>
      <c r="E302" s="11" t="s">
        <v>142</v>
      </c>
      <c r="F302" s="11" t="s">
        <v>424</v>
      </c>
      <c r="G302" s="11" t="s">
        <v>152</v>
      </c>
      <c r="H302" s="11" t="s">
        <v>261</v>
      </c>
      <c r="I302" s="11" t="s">
        <v>1369</v>
      </c>
    </row>
    <row r="303" spans="1:9" ht="19.95" customHeight="1" x14ac:dyDescent="0.3">
      <c r="A303" s="23">
        <v>46279.528179155102</v>
      </c>
      <c r="B303" s="16" t="s">
        <v>440</v>
      </c>
      <c r="C303" s="14" t="s">
        <v>427</v>
      </c>
      <c r="D303" s="14" t="s">
        <v>525</v>
      </c>
      <c r="E303" s="14" t="s">
        <v>142</v>
      </c>
      <c r="F303" s="14" t="s">
        <v>424</v>
      </c>
      <c r="G303" s="14" t="s">
        <v>356</v>
      </c>
      <c r="H303" s="14" t="s">
        <v>357</v>
      </c>
      <c r="I303" s="14" t="s">
        <v>38</v>
      </c>
    </row>
    <row r="304" spans="1:9" ht="19.95" customHeight="1" x14ac:dyDescent="0.3">
      <c r="A304" s="21">
        <v>46279.520915381952</v>
      </c>
      <c r="B304" s="13" t="s">
        <v>440</v>
      </c>
      <c r="C304" s="11" t="s">
        <v>427</v>
      </c>
      <c r="D304" s="11" t="s">
        <v>1370</v>
      </c>
      <c r="E304" s="11" t="s">
        <v>142</v>
      </c>
      <c r="F304" s="11" t="s">
        <v>424</v>
      </c>
      <c r="G304" s="11" t="s">
        <v>152</v>
      </c>
      <c r="H304" s="11" t="s">
        <v>425</v>
      </c>
      <c r="I304" s="11" t="s">
        <v>1371</v>
      </c>
    </row>
    <row r="305" spans="1:9" ht="19.95" customHeight="1" x14ac:dyDescent="0.3">
      <c r="A305" s="23">
        <v>46279.509777847219</v>
      </c>
      <c r="B305" s="16" t="s">
        <v>440</v>
      </c>
      <c r="C305" s="14" t="s">
        <v>1085</v>
      </c>
      <c r="D305" s="14" t="s">
        <v>1372</v>
      </c>
      <c r="E305" s="14" t="s">
        <v>361</v>
      </c>
      <c r="F305" s="14" t="s">
        <v>446</v>
      </c>
      <c r="G305" s="14" t="s">
        <v>152</v>
      </c>
      <c r="H305" s="14" t="s">
        <v>443</v>
      </c>
      <c r="I305" s="14" t="s">
        <v>1373</v>
      </c>
    </row>
    <row r="306" spans="1:9" ht="19.95" customHeight="1" x14ac:dyDescent="0.3">
      <c r="A306" s="21">
        <v>46279.463852326393</v>
      </c>
      <c r="B306" s="13" t="s">
        <v>440</v>
      </c>
      <c r="C306" s="11" t="s">
        <v>1250</v>
      </c>
      <c r="D306" s="11" t="s">
        <v>1374</v>
      </c>
      <c r="E306" s="11" t="s">
        <v>142</v>
      </c>
      <c r="F306" s="11" t="s">
        <v>424</v>
      </c>
      <c r="G306" s="11" t="s">
        <v>356</v>
      </c>
      <c r="H306" s="11" t="s">
        <v>357</v>
      </c>
      <c r="I306" s="11" t="s">
        <v>1375</v>
      </c>
    </row>
    <row r="307" spans="1:9" ht="19.95" customHeight="1" x14ac:dyDescent="0.3">
      <c r="A307" s="23">
        <v>46279.277899444452</v>
      </c>
      <c r="B307" s="16" t="s">
        <v>440</v>
      </c>
      <c r="C307" s="14" t="s">
        <v>427</v>
      </c>
      <c r="D307" s="14" t="s">
        <v>1376</v>
      </c>
      <c r="E307" s="14" t="s">
        <v>142</v>
      </c>
      <c r="F307" s="14" t="s">
        <v>424</v>
      </c>
      <c r="G307" s="14" t="s">
        <v>356</v>
      </c>
      <c r="H307" s="14" t="s">
        <v>357</v>
      </c>
      <c r="I307" s="14" t="s">
        <v>38</v>
      </c>
    </row>
    <row r="308" spans="1:9" ht="19.95" customHeight="1" x14ac:dyDescent="0.3">
      <c r="A308" s="21">
        <v>46279.017441759257</v>
      </c>
      <c r="B308" s="13" t="s">
        <v>440</v>
      </c>
      <c r="C308" s="11" t="s">
        <v>427</v>
      </c>
      <c r="D308" s="11" t="s">
        <v>1377</v>
      </c>
      <c r="E308" s="11" t="s">
        <v>142</v>
      </c>
      <c r="F308" s="11" t="s">
        <v>424</v>
      </c>
      <c r="G308" s="11" t="s">
        <v>356</v>
      </c>
      <c r="H308" s="11" t="s">
        <v>357</v>
      </c>
      <c r="I308" s="11" t="s">
        <v>1378</v>
      </c>
    </row>
    <row r="309" spans="1:9" ht="19.95" customHeight="1" x14ac:dyDescent="0.3">
      <c r="A309" s="23">
        <v>46278.941305787041</v>
      </c>
      <c r="B309" s="16" t="s">
        <v>440</v>
      </c>
      <c r="C309" s="14" t="s">
        <v>1085</v>
      </c>
      <c r="D309" s="14" t="s">
        <v>1379</v>
      </c>
      <c r="E309" s="14" t="s">
        <v>361</v>
      </c>
      <c r="F309" s="14" t="s">
        <v>446</v>
      </c>
      <c r="G309" s="14" t="s">
        <v>356</v>
      </c>
      <c r="H309" s="14" t="s">
        <v>357</v>
      </c>
      <c r="I309" s="14" t="s">
        <v>1380</v>
      </c>
    </row>
    <row r="310" spans="1:9" ht="19.95" customHeight="1" x14ac:dyDescent="0.3">
      <c r="A310" s="21">
        <v>46278.899166689807</v>
      </c>
      <c r="B310" s="13" t="s">
        <v>440</v>
      </c>
      <c r="C310" s="11" t="s">
        <v>427</v>
      </c>
      <c r="D310" s="11" t="s">
        <v>1356</v>
      </c>
      <c r="E310" s="11" t="s">
        <v>142</v>
      </c>
      <c r="F310" s="11" t="s">
        <v>446</v>
      </c>
      <c r="G310" s="11" t="s">
        <v>356</v>
      </c>
      <c r="H310" s="11" t="s">
        <v>357</v>
      </c>
      <c r="I310" s="11" t="s">
        <v>1366</v>
      </c>
    </row>
    <row r="311" spans="1:9" ht="19.95" customHeight="1" x14ac:dyDescent="0.3">
      <c r="A311" s="23">
        <v>46278.844990231482</v>
      </c>
      <c r="B311" s="16" t="s">
        <v>440</v>
      </c>
      <c r="C311" s="14" t="s">
        <v>427</v>
      </c>
      <c r="D311" s="14" t="s">
        <v>1381</v>
      </c>
      <c r="E311" s="14" t="s">
        <v>142</v>
      </c>
      <c r="F311" s="14" t="s">
        <v>432</v>
      </c>
      <c r="G311" s="14" t="s">
        <v>356</v>
      </c>
      <c r="H311" s="14" t="s">
        <v>357</v>
      </c>
      <c r="I311" s="14" t="s">
        <v>1382</v>
      </c>
    </row>
    <row r="312" spans="1:9" ht="19.95" customHeight="1" x14ac:dyDescent="0.3">
      <c r="A312" s="21">
        <v>46278.793593148148</v>
      </c>
      <c r="B312" s="13" t="s">
        <v>440</v>
      </c>
      <c r="C312" s="11" t="s">
        <v>427</v>
      </c>
      <c r="D312" s="11" t="s">
        <v>1291</v>
      </c>
      <c r="E312" s="11" t="s">
        <v>361</v>
      </c>
      <c r="F312" s="11" t="s">
        <v>380</v>
      </c>
      <c r="G312" s="11" t="s">
        <v>150</v>
      </c>
      <c r="H312" s="11" t="s">
        <v>1292</v>
      </c>
      <c r="I312" s="11" t="s">
        <v>1383</v>
      </c>
    </row>
    <row r="313" spans="1:9" ht="19.95" customHeight="1" x14ac:dyDescent="0.3">
      <c r="A313" s="23">
        <v>46278.774847592591</v>
      </c>
      <c r="B313" s="16" t="s">
        <v>440</v>
      </c>
      <c r="C313" s="14" t="s">
        <v>427</v>
      </c>
      <c r="D313" s="14" t="s">
        <v>1384</v>
      </c>
      <c r="E313" s="14" t="s">
        <v>142</v>
      </c>
      <c r="F313" s="14" t="s">
        <v>424</v>
      </c>
      <c r="G313" s="14" t="s">
        <v>356</v>
      </c>
      <c r="H313" s="14" t="s">
        <v>357</v>
      </c>
      <c r="I313" s="14" t="s">
        <v>38</v>
      </c>
    </row>
    <row r="314" spans="1:9" ht="19.95" customHeight="1" x14ac:dyDescent="0.3">
      <c r="A314" s="21">
        <v>46278.773451655092</v>
      </c>
      <c r="B314" s="13" t="s">
        <v>440</v>
      </c>
      <c r="C314" s="11" t="s">
        <v>427</v>
      </c>
      <c r="D314" s="11" t="s">
        <v>1385</v>
      </c>
      <c r="E314" s="11" t="s">
        <v>142</v>
      </c>
      <c r="F314" s="11" t="s">
        <v>424</v>
      </c>
      <c r="G314" s="11" t="s">
        <v>356</v>
      </c>
      <c r="H314" s="11" t="s">
        <v>357</v>
      </c>
      <c r="I314" s="11" t="s">
        <v>1386</v>
      </c>
    </row>
    <row r="315" spans="1:9" ht="19.95" customHeight="1" x14ac:dyDescent="0.3">
      <c r="A315" s="23">
        <v>46278.74566925926</v>
      </c>
      <c r="B315" s="16" t="s">
        <v>440</v>
      </c>
      <c r="C315" s="14" t="s">
        <v>427</v>
      </c>
      <c r="D315" s="14" t="s">
        <v>1350</v>
      </c>
      <c r="E315" s="14" t="s">
        <v>142</v>
      </c>
      <c r="F315" s="14" t="s">
        <v>446</v>
      </c>
      <c r="G315" s="14" t="s">
        <v>356</v>
      </c>
      <c r="H315" s="14" t="s">
        <v>357</v>
      </c>
      <c r="I315" s="14" t="s">
        <v>1366</v>
      </c>
    </row>
    <row r="316" spans="1:9" ht="19.95" customHeight="1" x14ac:dyDescent="0.3">
      <c r="A316" s="21">
        <v>46278.726221319441</v>
      </c>
      <c r="B316" s="13" t="s">
        <v>440</v>
      </c>
      <c r="C316" s="11" t="s">
        <v>427</v>
      </c>
      <c r="D316" s="11" t="s">
        <v>1387</v>
      </c>
      <c r="E316" s="11" t="s">
        <v>142</v>
      </c>
      <c r="F316" s="11" t="s">
        <v>446</v>
      </c>
      <c r="G316" s="11" t="s">
        <v>356</v>
      </c>
      <c r="H316" s="11" t="s">
        <v>357</v>
      </c>
      <c r="I316" s="11" t="s">
        <v>38</v>
      </c>
    </row>
    <row r="317" spans="1:9" ht="19.95" customHeight="1" x14ac:dyDescent="0.3">
      <c r="A317" s="23">
        <v>46278.698443321759</v>
      </c>
      <c r="B317" s="16" t="s">
        <v>440</v>
      </c>
      <c r="C317" s="14" t="s">
        <v>427</v>
      </c>
      <c r="D317" s="14" t="s">
        <v>1352</v>
      </c>
      <c r="E317" s="14" t="s">
        <v>142</v>
      </c>
      <c r="F317" s="14" t="s">
        <v>446</v>
      </c>
      <c r="G317" s="14" t="s">
        <v>356</v>
      </c>
      <c r="H317" s="14" t="s">
        <v>357</v>
      </c>
      <c r="I317" s="14" t="s">
        <v>1366</v>
      </c>
    </row>
    <row r="318" spans="1:9" ht="19.95" customHeight="1" x14ac:dyDescent="0.3">
      <c r="A318" s="21">
        <v>46278.618702106483</v>
      </c>
      <c r="B318" s="13" t="s">
        <v>440</v>
      </c>
      <c r="C318" s="11" t="s">
        <v>427</v>
      </c>
      <c r="D318" s="11" t="s">
        <v>1388</v>
      </c>
      <c r="E318" s="11" t="s">
        <v>142</v>
      </c>
      <c r="F318" s="11" t="s">
        <v>424</v>
      </c>
      <c r="G318" s="11" t="s">
        <v>356</v>
      </c>
      <c r="H318" s="11" t="s">
        <v>357</v>
      </c>
      <c r="I318" s="11" t="s">
        <v>1389</v>
      </c>
    </row>
    <row r="319" spans="1:9" ht="19.95" customHeight="1" x14ac:dyDescent="0.3">
      <c r="A319" s="23">
        <v>46278.607814467592</v>
      </c>
      <c r="B319" s="16" t="s">
        <v>440</v>
      </c>
      <c r="C319" s="14" t="s">
        <v>427</v>
      </c>
      <c r="D319" s="14" t="s">
        <v>1390</v>
      </c>
      <c r="E319" s="14" t="s">
        <v>142</v>
      </c>
      <c r="F319" s="14" t="s">
        <v>424</v>
      </c>
      <c r="G319" s="14" t="s">
        <v>147</v>
      </c>
      <c r="H319" s="14" t="s">
        <v>242</v>
      </c>
      <c r="I319" s="14" t="s">
        <v>1391</v>
      </c>
    </row>
    <row r="320" spans="1:9" ht="19.95" customHeight="1" x14ac:dyDescent="0.3">
      <c r="A320" s="21">
        <v>46278.602651053239</v>
      </c>
      <c r="B320" s="13" t="s">
        <v>440</v>
      </c>
      <c r="C320" s="11" t="s">
        <v>427</v>
      </c>
      <c r="D320" s="11" t="s">
        <v>1392</v>
      </c>
      <c r="E320" s="11" t="s">
        <v>142</v>
      </c>
      <c r="F320" s="11" t="s">
        <v>446</v>
      </c>
      <c r="G320" s="11" t="s">
        <v>147</v>
      </c>
      <c r="H320" s="11" t="s">
        <v>508</v>
      </c>
      <c r="I320" s="11" t="s">
        <v>1393</v>
      </c>
    </row>
    <row r="321" spans="1:9" ht="19.95" customHeight="1" x14ac:dyDescent="0.3">
      <c r="A321" s="23">
        <v>46278.544260590279</v>
      </c>
      <c r="B321" s="16" t="s">
        <v>440</v>
      </c>
      <c r="C321" s="14" t="s">
        <v>427</v>
      </c>
      <c r="D321" s="14" t="s">
        <v>1394</v>
      </c>
      <c r="E321" s="14" t="s">
        <v>142</v>
      </c>
      <c r="F321" s="14" t="s">
        <v>424</v>
      </c>
      <c r="G321" s="14" t="s">
        <v>356</v>
      </c>
      <c r="H321" s="14" t="s">
        <v>357</v>
      </c>
      <c r="I321" s="14" t="s">
        <v>38</v>
      </c>
    </row>
    <row r="322" spans="1:9" ht="19.95" customHeight="1" x14ac:dyDescent="0.3">
      <c r="A322" s="21">
        <v>46278.519504016207</v>
      </c>
      <c r="B322" s="13" t="s">
        <v>440</v>
      </c>
      <c r="C322" s="11" t="s">
        <v>427</v>
      </c>
      <c r="D322" s="11" t="s">
        <v>1395</v>
      </c>
      <c r="E322" s="11" t="s">
        <v>142</v>
      </c>
      <c r="F322" s="11" t="s">
        <v>446</v>
      </c>
      <c r="G322" s="11" t="s">
        <v>147</v>
      </c>
      <c r="H322" s="11" t="s">
        <v>425</v>
      </c>
      <c r="I322" s="11" t="s">
        <v>1396</v>
      </c>
    </row>
    <row r="323" spans="1:9" ht="19.95" customHeight="1" x14ac:dyDescent="0.3">
      <c r="A323" s="23">
        <v>46278.511264479173</v>
      </c>
      <c r="B323" s="16" t="s">
        <v>440</v>
      </c>
      <c r="C323" s="14" t="s">
        <v>427</v>
      </c>
      <c r="D323" s="14" t="s">
        <v>1397</v>
      </c>
      <c r="E323" s="14" t="s">
        <v>142</v>
      </c>
      <c r="F323" s="14" t="s">
        <v>424</v>
      </c>
      <c r="G323" s="14" t="s">
        <v>150</v>
      </c>
      <c r="H323" s="14" t="s">
        <v>252</v>
      </c>
      <c r="I323" s="14" t="s">
        <v>1398</v>
      </c>
    </row>
    <row r="324" spans="1:9" ht="19.95" customHeight="1" x14ac:dyDescent="0.3">
      <c r="A324" s="21">
        <v>46278.50484371528</v>
      </c>
      <c r="B324" s="13" t="s">
        <v>440</v>
      </c>
      <c r="C324" s="11" t="s">
        <v>427</v>
      </c>
      <c r="D324" s="11" t="s">
        <v>1399</v>
      </c>
      <c r="E324" s="11" t="s">
        <v>142</v>
      </c>
      <c r="F324" s="11" t="s">
        <v>446</v>
      </c>
      <c r="G324" s="11" t="s">
        <v>150</v>
      </c>
      <c r="H324" s="11" t="s">
        <v>242</v>
      </c>
      <c r="I324" s="11" t="s">
        <v>1400</v>
      </c>
    </row>
    <row r="325" spans="1:9" ht="19.95" customHeight="1" x14ac:dyDescent="0.3">
      <c r="A325" s="23">
        <v>46278.499045127312</v>
      </c>
      <c r="B325" s="16" t="s">
        <v>440</v>
      </c>
      <c r="C325" s="14" t="s">
        <v>427</v>
      </c>
      <c r="D325" s="14" t="s">
        <v>1401</v>
      </c>
      <c r="E325" s="14" t="s">
        <v>142</v>
      </c>
      <c r="F325" s="14" t="s">
        <v>446</v>
      </c>
      <c r="G325" s="14" t="s">
        <v>147</v>
      </c>
      <c r="H325" s="14" t="s">
        <v>425</v>
      </c>
      <c r="I325" s="14" t="s">
        <v>1402</v>
      </c>
    </row>
    <row r="326" spans="1:9" ht="19.95" customHeight="1" x14ac:dyDescent="0.3">
      <c r="A326" s="21">
        <v>46278.492168622688</v>
      </c>
      <c r="B326" s="13" t="s">
        <v>440</v>
      </c>
      <c r="C326" s="11" t="s">
        <v>427</v>
      </c>
      <c r="D326" s="11" t="s">
        <v>1401</v>
      </c>
      <c r="E326" s="11" t="s">
        <v>142</v>
      </c>
      <c r="F326" s="11" t="s">
        <v>446</v>
      </c>
      <c r="G326" s="11" t="s">
        <v>356</v>
      </c>
      <c r="H326" s="11" t="s">
        <v>357</v>
      </c>
      <c r="I326" s="11" t="s">
        <v>1403</v>
      </c>
    </row>
    <row r="327" spans="1:9" ht="19.95" customHeight="1" x14ac:dyDescent="0.3">
      <c r="A327" s="23">
        <v>46278.415075416669</v>
      </c>
      <c r="B327" s="16" t="s">
        <v>440</v>
      </c>
      <c r="C327" s="14" t="s">
        <v>427</v>
      </c>
      <c r="D327" s="14" t="s">
        <v>1390</v>
      </c>
      <c r="E327" s="14" t="s">
        <v>142</v>
      </c>
      <c r="F327" s="14" t="s">
        <v>446</v>
      </c>
      <c r="G327" s="14" t="s">
        <v>356</v>
      </c>
      <c r="H327" s="14" t="s">
        <v>357</v>
      </c>
      <c r="I327" s="14" t="s">
        <v>1404</v>
      </c>
    </row>
    <row r="328" spans="1:9" ht="19.95" customHeight="1" x14ac:dyDescent="0.3">
      <c r="A328" s="21">
        <v>46278.394241238428</v>
      </c>
      <c r="B328" s="13" t="s">
        <v>440</v>
      </c>
      <c r="C328" s="11" t="s">
        <v>427</v>
      </c>
      <c r="D328" s="11" t="s">
        <v>407</v>
      </c>
      <c r="E328" s="11" t="s">
        <v>142</v>
      </c>
      <c r="F328" s="11" t="s">
        <v>432</v>
      </c>
      <c r="G328" s="11" t="s">
        <v>356</v>
      </c>
      <c r="H328" s="11" t="s">
        <v>357</v>
      </c>
      <c r="I328" s="11" t="s">
        <v>1405</v>
      </c>
    </row>
    <row r="329" spans="1:9" ht="19.95" customHeight="1" x14ac:dyDescent="0.3">
      <c r="A329" s="23">
        <v>46278.31714777778</v>
      </c>
      <c r="B329" s="16" t="s">
        <v>440</v>
      </c>
      <c r="C329" s="14" t="s">
        <v>427</v>
      </c>
      <c r="D329" s="14" t="s">
        <v>1406</v>
      </c>
      <c r="E329" s="14" t="s">
        <v>142</v>
      </c>
      <c r="F329" s="14" t="s">
        <v>446</v>
      </c>
      <c r="G329" s="14" t="s">
        <v>356</v>
      </c>
      <c r="H329" s="14" t="s">
        <v>357</v>
      </c>
      <c r="I329" s="14" t="s">
        <v>38</v>
      </c>
    </row>
    <row r="330" spans="1:9" ht="19.95" customHeight="1" x14ac:dyDescent="0.3">
      <c r="A330" s="21">
        <v>46277.956808182869</v>
      </c>
      <c r="B330" s="13" t="s">
        <v>440</v>
      </c>
      <c r="C330" s="11" t="s">
        <v>427</v>
      </c>
      <c r="D330" s="11" t="s">
        <v>1399</v>
      </c>
      <c r="E330" s="11" t="s">
        <v>142</v>
      </c>
      <c r="F330" s="11" t="s">
        <v>446</v>
      </c>
      <c r="G330" s="11" t="s">
        <v>356</v>
      </c>
      <c r="H330" s="11" t="s">
        <v>357</v>
      </c>
      <c r="I330" s="11" t="s">
        <v>1366</v>
      </c>
    </row>
    <row r="331" spans="1:9" ht="19.95" customHeight="1" x14ac:dyDescent="0.3">
      <c r="A331" s="23">
        <v>46277.942213090268</v>
      </c>
      <c r="B331" s="16" t="s">
        <v>440</v>
      </c>
      <c r="C331" s="14" t="s">
        <v>427</v>
      </c>
      <c r="D331" s="14" t="s">
        <v>1392</v>
      </c>
      <c r="E331" s="14" t="s">
        <v>142</v>
      </c>
      <c r="F331" s="14" t="s">
        <v>446</v>
      </c>
      <c r="G331" s="14" t="s">
        <v>356</v>
      </c>
      <c r="H331" s="14" t="s">
        <v>357</v>
      </c>
      <c r="I331" s="14" t="s">
        <v>1403</v>
      </c>
    </row>
    <row r="332" spans="1:9" ht="19.95" customHeight="1" x14ac:dyDescent="0.3">
      <c r="A332" s="21">
        <v>46277.884567453701</v>
      </c>
      <c r="B332" s="13" t="s">
        <v>440</v>
      </c>
      <c r="C332" s="11" t="s">
        <v>427</v>
      </c>
      <c r="D332" s="11" t="s">
        <v>1407</v>
      </c>
      <c r="E332" s="11" t="s">
        <v>142</v>
      </c>
      <c r="F332" s="11" t="s">
        <v>424</v>
      </c>
      <c r="G332" s="11" t="s">
        <v>356</v>
      </c>
      <c r="H332" s="11" t="s">
        <v>357</v>
      </c>
      <c r="I332" s="11" t="s">
        <v>38</v>
      </c>
    </row>
    <row r="333" spans="1:9" ht="19.95" customHeight="1" x14ac:dyDescent="0.3">
      <c r="A333" s="23">
        <v>46277.860258738423</v>
      </c>
      <c r="B333" s="16" t="s">
        <v>440</v>
      </c>
      <c r="C333" s="14" t="s">
        <v>427</v>
      </c>
      <c r="D333" s="14" t="s">
        <v>1397</v>
      </c>
      <c r="E333" s="14" t="s">
        <v>142</v>
      </c>
      <c r="F333" s="14" t="s">
        <v>446</v>
      </c>
      <c r="G333" s="14" t="s">
        <v>356</v>
      </c>
      <c r="H333" s="14" t="s">
        <v>357</v>
      </c>
      <c r="I333" s="14" t="s">
        <v>1408</v>
      </c>
    </row>
    <row r="334" spans="1:9" ht="19.95" customHeight="1" x14ac:dyDescent="0.3">
      <c r="A334" s="21">
        <v>46277.756775960654</v>
      </c>
      <c r="B334" s="13" t="s">
        <v>440</v>
      </c>
      <c r="C334" s="11" t="s">
        <v>427</v>
      </c>
      <c r="D334" s="11" t="s">
        <v>529</v>
      </c>
      <c r="E334" s="11" t="s">
        <v>142</v>
      </c>
      <c r="F334" s="11" t="s">
        <v>432</v>
      </c>
      <c r="G334" s="11" t="s">
        <v>356</v>
      </c>
      <c r="H334" s="11" t="s">
        <v>357</v>
      </c>
      <c r="I334" s="11" t="s">
        <v>1382</v>
      </c>
    </row>
    <row r="335" spans="1:9" ht="19.95" customHeight="1" x14ac:dyDescent="0.3">
      <c r="A335" s="23">
        <v>46277.726526319442</v>
      </c>
      <c r="B335" s="16" t="s">
        <v>440</v>
      </c>
      <c r="C335" s="14" t="s">
        <v>427</v>
      </c>
      <c r="D335" s="14" t="s">
        <v>1409</v>
      </c>
      <c r="E335" s="14" t="s">
        <v>142</v>
      </c>
      <c r="F335" s="14" t="s">
        <v>424</v>
      </c>
      <c r="G335" s="14" t="s">
        <v>150</v>
      </c>
      <c r="H335" s="14" t="s">
        <v>425</v>
      </c>
      <c r="I335" s="14" t="s">
        <v>1410</v>
      </c>
    </row>
    <row r="336" spans="1:9" ht="19.95" customHeight="1" x14ac:dyDescent="0.3">
      <c r="A336" s="21">
        <v>46277.72033034722</v>
      </c>
      <c r="B336" s="13" t="s">
        <v>440</v>
      </c>
      <c r="C336" s="11" t="s">
        <v>427</v>
      </c>
      <c r="D336" s="11" t="s">
        <v>500</v>
      </c>
      <c r="E336" s="11" t="s">
        <v>142</v>
      </c>
      <c r="F336" s="11" t="s">
        <v>424</v>
      </c>
      <c r="G336" s="11" t="s">
        <v>147</v>
      </c>
      <c r="H336" s="11" t="s">
        <v>247</v>
      </c>
      <c r="I336" s="11" t="s">
        <v>1411</v>
      </c>
    </row>
    <row r="337" spans="1:9" ht="19.95" customHeight="1" x14ac:dyDescent="0.3">
      <c r="A337" s="23">
        <v>46277.710679756943</v>
      </c>
      <c r="B337" s="16" t="s">
        <v>440</v>
      </c>
      <c r="C337" s="14" t="s">
        <v>427</v>
      </c>
      <c r="D337" s="14" t="s">
        <v>1412</v>
      </c>
      <c r="E337" s="14" t="s">
        <v>142</v>
      </c>
      <c r="F337" s="14" t="s">
        <v>446</v>
      </c>
      <c r="G337" s="14" t="s">
        <v>147</v>
      </c>
      <c r="H337" s="14" t="s">
        <v>508</v>
      </c>
      <c r="I337" s="14" t="s">
        <v>1413</v>
      </c>
    </row>
    <row r="338" spans="1:9" ht="19.95" customHeight="1" x14ac:dyDescent="0.3">
      <c r="A338" s="21">
        <v>46277.702664212957</v>
      </c>
      <c r="B338" s="13" t="s">
        <v>440</v>
      </c>
      <c r="C338" s="11" t="s">
        <v>427</v>
      </c>
      <c r="D338" s="11" t="s">
        <v>1414</v>
      </c>
      <c r="E338" s="11" t="s">
        <v>142</v>
      </c>
      <c r="F338" s="11" t="s">
        <v>446</v>
      </c>
      <c r="G338" s="11" t="s">
        <v>152</v>
      </c>
      <c r="H338" s="11" t="s">
        <v>508</v>
      </c>
      <c r="I338" s="11" t="s">
        <v>1415</v>
      </c>
    </row>
    <row r="339" spans="1:9" ht="19.95" customHeight="1" x14ac:dyDescent="0.3">
      <c r="A339" s="23">
        <v>46277.681849409717</v>
      </c>
      <c r="B339" s="16" t="s">
        <v>440</v>
      </c>
      <c r="C339" s="14" t="s">
        <v>427</v>
      </c>
      <c r="D339" s="14" t="s">
        <v>1416</v>
      </c>
      <c r="E339" s="14" t="s">
        <v>142</v>
      </c>
      <c r="F339" s="14" t="s">
        <v>446</v>
      </c>
      <c r="G339" s="14" t="s">
        <v>147</v>
      </c>
      <c r="H339" s="14" t="s">
        <v>508</v>
      </c>
      <c r="I339" s="14" t="s">
        <v>1417</v>
      </c>
    </row>
    <row r="340" spans="1:9" ht="19.95" customHeight="1" x14ac:dyDescent="0.3">
      <c r="A340" s="21">
        <v>46277.679686296287</v>
      </c>
      <c r="B340" s="13" t="s">
        <v>440</v>
      </c>
      <c r="C340" s="11" t="s">
        <v>427</v>
      </c>
      <c r="D340" s="11" t="s">
        <v>1416</v>
      </c>
      <c r="E340" s="11" t="s">
        <v>142</v>
      </c>
      <c r="F340" s="11" t="s">
        <v>446</v>
      </c>
      <c r="G340" s="11" t="s">
        <v>356</v>
      </c>
      <c r="H340" s="11" t="s">
        <v>357</v>
      </c>
      <c r="I340" s="11" t="s">
        <v>1418</v>
      </c>
    </row>
    <row r="341" spans="1:9" ht="19.95" customHeight="1" x14ac:dyDescent="0.3">
      <c r="A341" s="23">
        <v>46277.667880370369</v>
      </c>
      <c r="B341" s="16" t="s">
        <v>440</v>
      </c>
      <c r="C341" s="14" t="s">
        <v>427</v>
      </c>
      <c r="D341" s="14" t="s">
        <v>1414</v>
      </c>
      <c r="E341" s="14" t="s">
        <v>142</v>
      </c>
      <c r="F341" s="14" t="s">
        <v>446</v>
      </c>
      <c r="G341" s="14" t="s">
        <v>356</v>
      </c>
      <c r="H341" s="14" t="s">
        <v>357</v>
      </c>
      <c r="I341" s="14" t="s">
        <v>1419</v>
      </c>
    </row>
    <row r="342" spans="1:9" ht="19.95" customHeight="1" x14ac:dyDescent="0.3">
      <c r="A342" s="21">
        <v>46277.663809560188</v>
      </c>
      <c r="B342" s="13" t="s">
        <v>440</v>
      </c>
      <c r="C342" s="11" t="s">
        <v>427</v>
      </c>
      <c r="D342" s="11" t="s">
        <v>729</v>
      </c>
      <c r="E342" s="11" t="s">
        <v>142</v>
      </c>
      <c r="F342" s="11" t="s">
        <v>446</v>
      </c>
      <c r="G342" s="11" t="s">
        <v>356</v>
      </c>
      <c r="H342" s="11" t="s">
        <v>357</v>
      </c>
      <c r="I342" s="11" t="s">
        <v>1366</v>
      </c>
    </row>
    <row r="343" spans="1:9" ht="19.95" customHeight="1" x14ac:dyDescent="0.3">
      <c r="A343" s="23">
        <v>46277.662324826393</v>
      </c>
      <c r="B343" s="16" t="s">
        <v>440</v>
      </c>
      <c r="C343" s="14" t="s">
        <v>427</v>
      </c>
      <c r="D343" s="14" t="s">
        <v>729</v>
      </c>
      <c r="E343" s="14" t="s">
        <v>142</v>
      </c>
      <c r="F343" s="14" t="s">
        <v>446</v>
      </c>
      <c r="G343" s="14" t="s">
        <v>356</v>
      </c>
      <c r="H343" s="14" t="s">
        <v>357</v>
      </c>
      <c r="I343" s="14" t="s">
        <v>1366</v>
      </c>
    </row>
    <row r="344" spans="1:9" ht="19.95" customHeight="1" x14ac:dyDescent="0.3">
      <c r="A344" s="21">
        <v>46277.659906446759</v>
      </c>
      <c r="B344" s="13" t="s">
        <v>440</v>
      </c>
      <c r="C344" s="11" t="s">
        <v>427</v>
      </c>
      <c r="D344" s="11" t="s">
        <v>1420</v>
      </c>
      <c r="E344" s="11" t="s">
        <v>145</v>
      </c>
      <c r="F344" s="11" t="s">
        <v>446</v>
      </c>
      <c r="G344" s="11" t="s">
        <v>356</v>
      </c>
      <c r="H344" s="11" t="s">
        <v>357</v>
      </c>
      <c r="I344" s="11" t="s">
        <v>1421</v>
      </c>
    </row>
    <row r="345" spans="1:9" ht="19.95" customHeight="1" x14ac:dyDescent="0.3">
      <c r="A345" s="23">
        <v>46277.659906180546</v>
      </c>
      <c r="B345" s="16" t="s">
        <v>440</v>
      </c>
      <c r="C345" s="14" t="s">
        <v>427</v>
      </c>
      <c r="D345" s="14" t="s">
        <v>1422</v>
      </c>
      <c r="E345" s="14" t="s">
        <v>142</v>
      </c>
      <c r="F345" s="14" t="s">
        <v>446</v>
      </c>
      <c r="G345" s="14" t="s">
        <v>152</v>
      </c>
      <c r="H345" s="14" t="s">
        <v>508</v>
      </c>
      <c r="I345" s="14" t="s">
        <v>1423</v>
      </c>
    </row>
    <row r="346" spans="1:9" ht="19.95" customHeight="1" x14ac:dyDescent="0.3">
      <c r="A346" s="21">
        <v>46277.603991192133</v>
      </c>
      <c r="B346" s="13" t="s">
        <v>440</v>
      </c>
      <c r="C346" s="11" t="s">
        <v>427</v>
      </c>
      <c r="D346" s="11" t="s">
        <v>1422</v>
      </c>
      <c r="E346" s="11" t="s">
        <v>142</v>
      </c>
      <c r="F346" s="11" t="s">
        <v>446</v>
      </c>
      <c r="G346" s="11" t="s">
        <v>356</v>
      </c>
      <c r="H346" s="11" t="s">
        <v>357</v>
      </c>
      <c r="I346" s="11" t="s">
        <v>1344</v>
      </c>
    </row>
    <row r="347" spans="1:9" ht="19.95" customHeight="1" x14ac:dyDescent="0.3">
      <c r="A347" s="23">
        <v>46277.579715358799</v>
      </c>
      <c r="B347" s="16" t="s">
        <v>440</v>
      </c>
      <c r="C347" s="14" t="s">
        <v>427</v>
      </c>
      <c r="D347" s="14" t="s">
        <v>1412</v>
      </c>
      <c r="E347" s="14" t="s">
        <v>142</v>
      </c>
      <c r="F347" s="14" t="s">
        <v>446</v>
      </c>
      <c r="G347" s="14" t="s">
        <v>356</v>
      </c>
      <c r="H347" s="14" t="s">
        <v>357</v>
      </c>
      <c r="I347" s="14" t="s">
        <v>1418</v>
      </c>
    </row>
    <row r="348" spans="1:9" ht="19.95" customHeight="1" x14ac:dyDescent="0.3">
      <c r="A348" s="21">
        <v>46277.538423969912</v>
      </c>
      <c r="B348" s="13" t="s">
        <v>440</v>
      </c>
      <c r="C348" s="11" t="s">
        <v>1250</v>
      </c>
      <c r="D348" s="11" t="s">
        <v>626</v>
      </c>
      <c r="E348" s="11" t="s">
        <v>142</v>
      </c>
      <c r="F348" s="11" t="s">
        <v>424</v>
      </c>
      <c r="G348" s="11" t="s">
        <v>356</v>
      </c>
      <c r="H348" s="11" t="s">
        <v>357</v>
      </c>
      <c r="I348" s="11" t="s">
        <v>1424</v>
      </c>
    </row>
    <row r="349" spans="1:9" ht="19.95" customHeight="1" x14ac:dyDescent="0.3">
      <c r="A349" s="23">
        <v>46277.537019363423</v>
      </c>
      <c r="B349" s="16" t="s">
        <v>440</v>
      </c>
      <c r="C349" s="14" t="s">
        <v>427</v>
      </c>
      <c r="D349" s="14" t="s">
        <v>1425</v>
      </c>
      <c r="E349" s="14" t="s">
        <v>145</v>
      </c>
      <c r="F349" s="14" t="s">
        <v>446</v>
      </c>
      <c r="G349" s="14" t="s">
        <v>356</v>
      </c>
      <c r="H349" s="14" t="s">
        <v>357</v>
      </c>
      <c r="I349" s="14" t="s">
        <v>1426</v>
      </c>
    </row>
    <row r="350" spans="1:9" ht="19.95" customHeight="1" x14ac:dyDescent="0.3">
      <c r="A350" s="21">
        <v>46277.084160578714</v>
      </c>
      <c r="B350" s="13" t="s">
        <v>440</v>
      </c>
      <c r="C350" s="11" t="s">
        <v>427</v>
      </c>
      <c r="D350" s="11" t="s">
        <v>500</v>
      </c>
      <c r="E350" s="11" t="s">
        <v>142</v>
      </c>
      <c r="F350" s="11" t="s">
        <v>424</v>
      </c>
      <c r="G350" s="11" t="s">
        <v>356</v>
      </c>
      <c r="H350" s="11" t="s">
        <v>357</v>
      </c>
      <c r="I350" s="11" t="s">
        <v>1427</v>
      </c>
    </row>
    <row r="351" spans="1:9" ht="19.95" customHeight="1" x14ac:dyDescent="0.3">
      <c r="A351" s="23">
        <v>46277.068880173611</v>
      </c>
      <c r="B351" s="16" t="s">
        <v>440</v>
      </c>
      <c r="C351" s="14" t="s">
        <v>427</v>
      </c>
      <c r="D351" s="14" t="s">
        <v>1388</v>
      </c>
      <c r="E351" s="14" t="s">
        <v>142</v>
      </c>
      <c r="F351" s="14" t="s">
        <v>424</v>
      </c>
      <c r="G351" s="14" t="s">
        <v>356</v>
      </c>
      <c r="H351" s="14" t="s">
        <v>357</v>
      </c>
      <c r="I351" s="14" t="s">
        <v>1426</v>
      </c>
    </row>
    <row r="352" spans="1:9" ht="19.95" customHeight="1" x14ac:dyDescent="0.3">
      <c r="A352" s="21">
        <v>46277.056379293979</v>
      </c>
      <c r="B352" s="13" t="s">
        <v>440</v>
      </c>
      <c r="C352" s="11" t="s">
        <v>427</v>
      </c>
      <c r="D352" s="11" t="s">
        <v>1409</v>
      </c>
      <c r="E352" s="11" t="s">
        <v>142</v>
      </c>
      <c r="F352" s="11" t="s">
        <v>446</v>
      </c>
      <c r="G352" s="11" t="s">
        <v>356</v>
      </c>
      <c r="H352" s="11" t="s">
        <v>357</v>
      </c>
      <c r="I352" s="11" t="s">
        <v>1428</v>
      </c>
    </row>
    <row r="353" spans="1:9" ht="19.95" customHeight="1" x14ac:dyDescent="0.3">
      <c r="A353" s="23">
        <v>46276.877184571757</v>
      </c>
      <c r="B353" s="16" t="s">
        <v>440</v>
      </c>
      <c r="C353" s="14" t="s">
        <v>427</v>
      </c>
      <c r="D353" s="14" t="s">
        <v>1429</v>
      </c>
      <c r="E353" s="14" t="s">
        <v>142</v>
      </c>
      <c r="F353" s="14" t="s">
        <v>424</v>
      </c>
      <c r="G353" s="14" t="s">
        <v>356</v>
      </c>
      <c r="H353" s="14" t="s">
        <v>357</v>
      </c>
      <c r="I353" s="14" t="s">
        <v>38</v>
      </c>
    </row>
    <row r="354" spans="1:9" ht="19.95" customHeight="1" x14ac:dyDescent="0.3">
      <c r="A354" s="21">
        <v>46276.864682916668</v>
      </c>
      <c r="B354" s="13" t="s">
        <v>440</v>
      </c>
      <c r="C354" s="11" t="s">
        <v>427</v>
      </c>
      <c r="D354" s="11" t="s">
        <v>1285</v>
      </c>
      <c r="E354" s="11" t="s">
        <v>361</v>
      </c>
      <c r="F354" s="11" t="s">
        <v>380</v>
      </c>
      <c r="G354" s="11" t="s">
        <v>152</v>
      </c>
      <c r="H354" s="11" t="s">
        <v>242</v>
      </c>
      <c r="I354" s="11" t="s">
        <v>1430</v>
      </c>
    </row>
    <row r="355" spans="1:9" ht="19.95" customHeight="1" x14ac:dyDescent="0.3">
      <c r="A355" s="23">
        <v>46276.709246574072</v>
      </c>
      <c r="B355" s="16" t="s">
        <v>440</v>
      </c>
      <c r="C355" s="14" t="s">
        <v>427</v>
      </c>
      <c r="D355" s="14" t="s">
        <v>1431</v>
      </c>
      <c r="E355" s="14" t="s">
        <v>142</v>
      </c>
      <c r="F355" s="14" t="s">
        <v>446</v>
      </c>
      <c r="G355" s="14" t="s">
        <v>152</v>
      </c>
      <c r="H355" s="14" t="s">
        <v>247</v>
      </c>
      <c r="I355" s="14" t="s">
        <v>1432</v>
      </c>
    </row>
    <row r="356" spans="1:9" ht="19.95" customHeight="1" x14ac:dyDescent="0.3">
      <c r="A356" s="21">
        <v>46276.708288009257</v>
      </c>
      <c r="B356" s="13" t="s">
        <v>440</v>
      </c>
      <c r="C356" s="11" t="s">
        <v>427</v>
      </c>
      <c r="D356" s="11" t="s">
        <v>1433</v>
      </c>
      <c r="E356" s="11" t="s">
        <v>142</v>
      </c>
      <c r="F356" s="11" t="s">
        <v>446</v>
      </c>
      <c r="G356" s="11" t="s">
        <v>150</v>
      </c>
      <c r="H356" s="11" t="s">
        <v>252</v>
      </c>
      <c r="I356" s="11" t="s">
        <v>1434</v>
      </c>
    </row>
    <row r="357" spans="1:9" ht="19.95" customHeight="1" x14ac:dyDescent="0.3">
      <c r="A357" s="23">
        <v>46276.705577071763</v>
      </c>
      <c r="B357" s="16" t="s">
        <v>440</v>
      </c>
      <c r="C357" s="14" t="s">
        <v>427</v>
      </c>
      <c r="D357" s="14" t="s">
        <v>1435</v>
      </c>
      <c r="E357" s="14" t="s">
        <v>142</v>
      </c>
      <c r="F357" s="14" t="s">
        <v>446</v>
      </c>
      <c r="G357" s="14" t="s">
        <v>356</v>
      </c>
      <c r="H357" s="14" t="s">
        <v>357</v>
      </c>
      <c r="I357" s="14" t="s">
        <v>1366</v>
      </c>
    </row>
    <row r="358" spans="1:9" ht="19.95" customHeight="1" x14ac:dyDescent="0.3">
      <c r="A358" s="21">
        <v>46276.679264085651</v>
      </c>
      <c r="B358" s="13" t="s">
        <v>440</v>
      </c>
      <c r="C358" s="11" t="s">
        <v>427</v>
      </c>
      <c r="D358" s="11" t="s">
        <v>1435</v>
      </c>
      <c r="E358" s="11" t="s">
        <v>142</v>
      </c>
      <c r="F358" s="11" t="s">
        <v>446</v>
      </c>
      <c r="G358" s="11" t="s">
        <v>356</v>
      </c>
      <c r="H358" s="11" t="s">
        <v>357</v>
      </c>
      <c r="I358" s="11" t="s">
        <v>1366</v>
      </c>
    </row>
    <row r="359" spans="1:9" ht="19.95" customHeight="1" x14ac:dyDescent="0.3">
      <c r="A359" s="23">
        <v>46276.652172002323</v>
      </c>
      <c r="B359" s="16" t="s">
        <v>440</v>
      </c>
      <c r="C359" s="14" t="s">
        <v>427</v>
      </c>
      <c r="D359" s="14" t="s">
        <v>1433</v>
      </c>
      <c r="E359" s="14" t="s">
        <v>142</v>
      </c>
      <c r="F359" s="14" t="s">
        <v>446</v>
      </c>
      <c r="G359" s="14" t="s">
        <v>356</v>
      </c>
      <c r="H359" s="14" t="s">
        <v>357</v>
      </c>
      <c r="I359" s="14" t="s">
        <v>1366</v>
      </c>
    </row>
    <row r="360" spans="1:9" ht="19.95" customHeight="1" x14ac:dyDescent="0.3">
      <c r="A360" s="21">
        <v>46276.620983831017</v>
      </c>
      <c r="B360" s="13" t="s">
        <v>440</v>
      </c>
      <c r="C360" s="11" t="s">
        <v>427</v>
      </c>
      <c r="D360" s="11" t="s">
        <v>1436</v>
      </c>
      <c r="E360" s="11" t="s">
        <v>142</v>
      </c>
      <c r="F360" s="11" t="s">
        <v>446</v>
      </c>
      <c r="G360" s="11" t="s">
        <v>356</v>
      </c>
      <c r="H360" s="11" t="s">
        <v>357</v>
      </c>
      <c r="I360" s="11" t="s">
        <v>1366</v>
      </c>
    </row>
    <row r="361" spans="1:9" ht="19.95" customHeight="1" x14ac:dyDescent="0.3">
      <c r="A361" s="23">
        <v>46276.567845451391</v>
      </c>
      <c r="B361" s="16" t="s">
        <v>440</v>
      </c>
      <c r="C361" s="14" t="s">
        <v>427</v>
      </c>
      <c r="D361" s="14" t="s">
        <v>1437</v>
      </c>
      <c r="E361" s="14" t="s">
        <v>142</v>
      </c>
      <c r="F361" s="14" t="s">
        <v>446</v>
      </c>
      <c r="G361" s="14" t="s">
        <v>356</v>
      </c>
      <c r="H361" s="14" t="s">
        <v>357</v>
      </c>
      <c r="I361" s="14" t="s">
        <v>1426</v>
      </c>
    </row>
    <row r="362" spans="1:9" ht="19.95" customHeight="1" x14ac:dyDescent="0.3">
      <c r="A362" s="21">
        <v>46276.567845324083</v>
      </c>
      <c r="B362" s="13" t="s">
        <v>440</v>
      </c>
      <c r="C362" s="11" t="s">
        <v>427</v>
      </c>
      <c r="D362" s="11" t="s">
        <v>1438</v>
      </c>
      <c r="E362" s="11" t="s">
        <v>145</v>
      </c>
      <c r="F362" s="11" t="s">
        <v>446</v>
      </c>
      <c r="G362" s="11" t="s">
        <v>356</v>
      </c>
      <c r="H362" s="11" t="s">
        <v>357</v>
      </c>
      <c r="I362" s="11" t="s">
        <v>1366</v>
      </c>
    </row>
    <row r="363" spans="1:9" ht="19.95" customHeight="1" x14ac:dyDescent="0.3">
      <c r="A363" s="23">
        <v>46276.562782766203</v>
      </c>
      <c r="B363" s="16" t="s">
        <v>440</v>
      </c>
      <c r="C363" s="14" t="s">
        <v>427</v>
      </c>
      <c r="D363" s="14" t="s">
        <v>1439</v>
      </c>
      <c r="E363" s="14" t="s">
        <v>142</v>
      </c>
      <c r="F363" s="14" t="s">
        <v>446</v>
      </c>
      <c r="G363" s="14" t="s">
        <v>356</v>
      </c>
      <c r="H363" s="14" t="s">
        <v>357</v>
      </c>
      <c r="I363" s="14" t="s">
        <v>1440</v>
      </c>
    </row>
    <row r="364" spans="1:9" ht="19.95" customHeight="1" x14ac:dyDescent="0.3">
      <c r="A364" s="21">
        <v>46276.556066874997</v>
      </c>
      <c r="B364" s="13" t="s">
        <v>440</v>
      </c>
      <c r="C364" s="11" t="s">
        <v>427</v>
      </c>
      <c r="D364" s="11" t="s">
        <v>1441</v>
      </c>
      <c r="E364" s="11" t="s">
        <v>145</v>
      </c>
      <c r="F364" s="11" t="s">
        <v>446</v>
      </c>
      <c r="G364" s="11" t="s">
        <v>150</v>
      </c>
      <c r="H364" s="11" t="s">
        <v>508</v>
      </c>
      <c r="I364" s="11" t="s">
        <v>1442</v>
      </c>
    </row>
    <row r="365" spans="1:9" ht="19.95" customHeight="1" x14ac:dyDescent="0.3">
      <c r="A365" s="23">
        <v>46276.54581491898</v>
      </c>
      <c r="B365" s="16" t="s">
        <v>440</v>
      </c>
      <c r="C365" s="14" t="s">
        <v>427</v>
      </c>
      <c r="D365" s="14" t="s">
        <v>1443</v>
      </c>
      <c r="E365" s="14" t="s">
        <v>145</v>
      </c>
      <c r="F365" s="14" t="s">
        <v>446</v>
      </c>
      <c r="G365" s="14" t="s">
        <v>356</v>
      </c>
      <c r="H365" s="14" t="s">
        <v>357</v>
      </c>
      <c r="I365" s="14" t="s">
        <v>1366</v>
      </c>
    </row>
    <row r="366" spans="1:9" ht="19.95" customHeight="1" x14ac:dyDescent="0.3">
      <c r="A366" s="21">
        <v>46276.510559652779</v>
      </c>
      <c r="B366" s="13" t="s">
        <v>440</v>
      </c>
      <c r="C366" s="11" t="s">
        <v>1250</v>
      </c>
      <c r="D366" s="11" t="s">
        <v>586</v>
      </c>
      <c r="E366" s="11" t="s">
        <v>361</v>
      </c>
      <c r="F366" s="11" t="s">
        <v>424</v>
      </c>
      <c r="G366" s="11" t="s">
        <v>152</v>
      </c>
      <c r="H366" s="11" t="s">
        <v>446</v>
      </c>
      <c r="I366" s="11" t="s">
        <v>1444</v>
      </c>
    </row>
    <row r="367" spans="1:9" ht="19.95" customHeight="1" x14ac:dyDescent="0.3">
      <c r="A367" s="23">
        <v>46276.510559432871</v>
      </c>
      <c r="B367" s="16" t="s">
        <v>440</v>
      </c>
      <c r="C367" s="14" t="s">
        <v>1250</v>
      </c>
      <c r="D367" s="14" t="s">
        <v>650</v>
      </c>
      <c r="E367" s="14" t="s">
        <v>142</v>
      </c>
      <c r="F367" s="14" t="s">
        <v>424</v>
      </c>
      <c r="G367" s="14" t="s">
        <v>356</v>
      </c>
      <c r="H367" s="14" t="s">
        <v>357</v>
      </c>
      <c r="I367" s="14" t="s">
        <v>38</v>
      </c>
    </row>
    <row r="368" spans="1:9" ht="19.95" customHeight="1" x14ac:dyDescent="0.3">
      <c r="A368" s="21">
        <v>46276.510517708331</v>
      </c>
      <c r="B368" s="13" t="s">
        <v>440</v>
      </c>
      <c r="C368" s="11" t="s">
        <v>1250</v>
      </c>
      <c r="D368" s="11" t="s">
        <v>644</v>
      </c>
      <c r="E368" s="11" t="s">
        <v>142</v>
      </c>
      <c r="F368" s="11" t="s">
        <v>424</v>
      </c>
      <c r="G368" s="11" t="s">
        <v>356</v>
      </c>
      <c r="H368" s="11" t="s">
        <v>357</v>
      </c>
      <c r="I368" s="11" t="s">
        <v>38</v>
      </c>
    </row>
    <row r="369" spans="1:9" ht="19.95" customHeight="1" x14ac:dyDescent="0.3">
      <c r="A369" s="23">
        <v>46276.510516921298</v>
      </c>
      <c r="B369" s="16" t="s">
        <v>440</v>
      </c>
      <c r="C369" s="14" t="s">
        <v>1250</v>
      </c>
      <c r="D369" s="14" t="s">
        <v>640</v>
      </c>
      <c r="E369" s="14" t="s">
        <v>361</v>
      </c>
      <c r="F369" s="14" t="s">
        <v>355</v>
      </c>
      <c r="G369" s="14" t="s">
        <v>356</v>
      </c>
      <c r="H369" s="14" t="s">
        <v>357</v>
      </c>
      <c r="I369" s="14" t="s">
        <v>1445</v>
      </c>
    </row>
    <row r="370" spans="1:9" ht="19.95" customHeight="1" x14ac:dyDescent="0.3">
      <c r="A370" s="21">
        <v>46276.510516134258</v>
      </c>
      <c r="B370" s="13" t="s">
        <v>440</v>
      </c>
      <c r="C370" s="11" t="s">
        <v>1250</v>
      </c>
      <c r="D370" s="11" t="s">
        <v>645</v>
      </c>
      <c r="E370" s="11" t="s">
        <v>361</v>
      </c>
      <c r="F370" s="11" t="s">
        <v>355</v>
      </c>
      <c r="G370" s="11" t="s">
        <v>356</v>
      </c>
      <c r="H370" s="11" t="s">
        <v>357</v>
      </c>
      <c r="I370" s="11" t="s">
        <v>38</v>
      </c>
    </row>
    <row r="371" spans="1:9" ht="19.95" customHeight="1" x14ac:dyDescent="0.3">
      <c r="A371" s="23">
        <v>46276.510515393522</v>
      </c>
      <c r="B371" s="16" t="s">
        <v>440</v>
      </c>
      <c r="C371" s="14" t="s">
        <v>1250</v>
      </c>
      <c r="D371" s="14" t="s">
        <v>652</v>
      </c>
      <c r="E371" s="14" t="s">
        <v>361</v>
      </c>
      <c r="F371" s="14" t="s">
        <v>355</v>
      </c>
      <c r="G371" s="14" t="s">
        <v>356</v>
      </c>
      <c r="H371" s="14" t="s">
        <v>357</v>
      </c>
      <c r="I371" s="14" t="s">
        <v>38</v>
      </c>
    </row>
    <row r="372" spans="1:9" ht="19.95" customHeight="1" x14ac:dyDescent="0.3">
      <c r="A372" s="21">
        <v>46276.510514502312</v>
      </c>
      <c r="B372" s="13" t="s">
        <v>440</v>
      </c>
      <c r="C372" s="11" t="s">
        <v>1250</v>
      </c>
      <c r="D372" s="11" t="s">
        <v>1446</v>
      </c>
      <c r="E372" s="11" t="s">
        <v>361</v>
      </c>
      <c r="F372" s="11" t="s">
        <v>355</v>
      </c>
      <c r="G372" s="11" t="s">
        <v>356</v>
      </c>
      <c r="H372" s="11" t="s">
        <v>357</v>
      </c>
      <c r="I372" s="11" t="s">
        <v>1447</v>
      </c>
    </row>
    <row r="373" spans="1:9" ht="19.95" customHeight="1" x14ac:dyDescent="0.3">
      <c r="A373" s="23">
        <v>46276.51051310185</v>
      </c>
      <c r="B373" s="16" t="s">
        <v>440</v>
      </c>
      <c r="C373" s="14" t="s">
        <v>1250</v>
      </c>
      <c r="D373" s="14" t="s">
        <v>662</v>
      </c>
      <c r="E373" s="14" t="s">
        <v>361</v>
      </c>
      <c r="F373" s="14" t="s">
        <v>355</v>
      </c>
      <c r="G373" s="14" t="s">
        <v>356</v>
      </c>
      <c r="H373" s="14" t="s">
        <v>357</v>
      </c>
      <c r="I373" s="14" t="s">
        <v>38</v>
      </c>
    </row>
    <row r="374" spans="1:9" ht="19.95" customHeight="1" x14ac:dyDescent="0.3">
      <c r="A374" s="21">
        <v>46276.510512407411</v>
      </c>
      <c r="B374" s="13" t="s">
        <v>440</v>
      </c>
      <c r="C374" s="11" t="s">
        <v>1250</v>
      </c>
      <c r="D374" s="11" t="s">
        <v>745</v>
      </c>
      <c r="E374" s="11" t="s">
        <v>361</v>
      </c>
      <c r="F374" s="11" t="s">
        <v>355</v>
      </c>
      <c r="G374" s="11" t="s">
        <v>356</v>
      </c>
      <c r="H374" s="11" t="s">
        <v>357</v>
      </c>
      <c r="I374" s="11" t="s">
        <v>38</v>
      </c>
    </row>
    <row r="375" spans="1:9" ht="19.95" customHeight="1" x14ac:dyDescent="0.3">
      <c r="A375" s="23">
        <v>46276.510511805558</v>
      </c>
      <c r="B375" s="16" t="s">
        <v>440</v>
      </c>
      <c r="C375" s="14" t="s">
        <v>1250</v>
      </c>
      <c r="D375" s="14" t="s">
        <v>674</v>
      </c>
      <c r="E375" s="14" t="s">
        <v>361</v>
      </c>
      <c r="F375" s="14" t="s">
        <v>355</v>
      </c>
      <c r="G375" s="14" t="s">
        <v>356</v>
      </c>
      <c r="H375" s="14" t="s">
        <v>357</v>
      </c>
      <c r="I375" s="14" t="s">
        <v>1448</v>
      </c>
    </row>
    <row r="376" spans="1:9" ht="19.95" customHeight="1" x14ac:dyDescent="0.3">
      <c r="A376" s="21">
        <v>46276.506904675924</v>
      </c>
      <c r="B376" s="13" t="s">
        <v>440</v>
      </c>
      <c r="C376" s="11" t="s">
        <v>1250</v>
      </c>
      <c r="D376" s="11" t="s">
        <v>687</v>
      </c>
      <c r="E376" s="11" t="s">
        <v>361</v>
      </c>
      <c r="F376" s="11" t="s">
        <v>355</v>
      </c>
      <c r="G376" s="11" t="s">
        <v>356</v>
      </c>
      <c r="H376" s="11" t="s">
        <v>357</v>
      </c>
      <c r="I376" s="11" t="s">
        <v>38</v>
      </c>
    </row>
    <row r="377" spans="1:9" ht="19.95" customHeight="1" x14ac:dyDescent="0.3">
      <c r="A377" s="23">
        <v>46276.506904444454</v>
      </c>
      <c r="B377" s="16" t="s">
        <v>440</v>
      </c>
      <c r="C377" s="14" t="s">
        <v>1250</v>
      </c>
      <c r="D377" s="14" t="s">
        <v>708</v>
      </c>
      <c r="E377" s="14" t="s">
        <v>361</v>
      </c>
      <c r="F377" s="14" t="s">
        <v>355</v>
      </c>
      <c r="G377" s="14" t="s">
        <v>356</v>
      </c>
      <c r="H377" s="14" t="s">
        <v>357</v>
      </c>
      <c r="I377" s="14" t="s">
        <v>38</v>
      </c>
    </row>
    <row r="378" spans="1:9" ht="19.95" customHeight="1" x14ac:dyDescent="0.3">
      <c r="A378" s="21">
        <v>46276.502911145843</v>
      </c>
      <c r="B378" s="13" t="s">
        <v>440</v>
      </c>
      <c r="C378" s="11" t="s">
        <v>427</v>
      </c>
      <c r="D378" s="11" t="s">
        <v>1395</v>
      </c>
      <c r="E378" s="11" t="s">
        <v>142</v>
      </c>
      <c r="F378" s="11" t="s">
        <v>446</v>
      </c>
      <c r="G378" s="11" t="s">
        <v>356</v>
      </c>
      <c r="H378" s="11" t="s">
        <v>357</v>
      </c>
      <c r="I378" s="11" t="s">
        <v>1449</v>
      </c>
    </row>
    <row r="379" spans="1:9" ht="19.95" customHeight="1" x14ac:dyDescent="0.3">
      <c r="A379" s="23">
        <v>46276.502910763891</v>
      </c>
      <c r="B379" s="16" t="s">
        <v>440</v>
      </c>
      <c r="C379" s="14" t="s">
        <v>427</v>
      </c>
      <c r="D379" s="14" t="s">
        <v>1450</v>
      </c>
      <c r="E379" s="14" t="s">
        <v>142</v>
      </c>
      <c r="F379" s="14" t="s">
        <v>424</v>
      </c>
      <c r="G379" s="14" t="s">
        <v>356</v>
      </c>
      <c r="H379" s="14" t="s">
        <v>357</v>
      </c>
      <c r="I379" s="14" t="s">
        <v>38</v>
      </c>
    </row>
    <row r="380" spans="1:9" ht="19.95" customHeight="1" x14ac:dyDescent="0.3">
      <c r="A380" s="21">
        <v>46276.502910474534</v>
      </c>
      <c r="B380" s="13" t="s">
        <v>440</v>
      </c>
      <c r="C380" s="11" t="s">
        <v>427</v>
      </c>
      <c r="D380" s="11" t="s">
        <v>1451</v>
      </c>
      <c r="E380" s="11" t="s">
        <v>142</v>
      </c>
      <c r="F380" s="11" t="s">
        <v>432</v>
      </c>
      <c r="G380" s="11" t="s">
        <v>356</v>
      </c>
      <c r="H380" s="11" t="s">
        <v>357</v>
      </c>
      <c r="I380" s="11" t="s">
        <v>447</v>
      </c>
    </row>
    <row r="381" spans="1:9" ht="19.95" customHeight="1" x14ac:dyDescent="0.3">
      <c r="A381" s="23">
        <v>46276.502910219897</v>
      </c>
      <c r="B381" s="16" t="s">
        <v>440</v>
      </c>
      <c r="C381" s="14" t="s">
        <v>427</v>
      </c>
      <c r="D381" s="14" t="s">
        <v>1452</v>
      </c>
      <c r="E381" s="14" t="s">
        <v>142</v>
      </c>
      <c r="F381" s="14" t="s">
        <v>432</v>
      </c>
      <c r="G381" s="14" t="s">
        <v>356</v>
      </c>
      <c r="H381" s="14" t="s">
        <v>357</v>
      </c>
      <c r="I381" s="14" t="s">
        <v>1453</v>
      </c>
    </row>
    <row r="382" spans="1:9" ht="19.95" customHeight="1" x14ac:dyDescent="0.3">
      <c r="A382" s="21">
        <v>46276.502909861112</v>
      </c>
      <c r="B382" s="13" t="s">
        <v>440</v>
      </c>
      <c r="C382" s="11" t="s">
        <v>427</v>
      </c>
      <c r="D382" s="11" t="s">
        <v>1454</v>
      </c>
      <c r="E382" s="11" t="s">
        <v>142</v>
      </c>
      <c r="F382" s="11" t="s">
        <v>424</v>
      </c>
      <c r="G382" s="11" t="s">
        <v>356</v>
      </c>
      <c r="H382" s="11" t="s">
        <v>357</v>
      </c>
      <c r="I382" s="11" t="s">
        <v>38</v>
      </c>
    </row>
    <row r="383" spans="1:9" ht="19.95" customHeight="1" x14ac:dyDescent="0.3">
      <c r="A383" s="23">
        <v>46276.502909571762</v>
      </c>
      <c r="B383" s="16" t="s">
        <v>440</v>
      </c>
      <c r="C383" s="14" t="s">
        <v>427</v>
      </c>
      <c r="D383" s="14" t="s">
        <v>1431</v>
      </c>
      <c r="E383" s="14" t="s">
        <v>142</v>
      </c>
      <c r="F383" s="14" t="s">
        <v>446</v>
      </c>
      <c r="G383" s="14" t="s">
        <v>356</v>
      </c>
      <c r="H383" s="14" t="s">
        <v>357</v>
      </c>
      <c r="I383" s="14" t="s">
        <v>1366</v>
      </c>
    </row>
    <row r="384" spans="1:9" ht="19.95" customHeight="1" x14ac:dyDescent="0.3">
      <c r="A384" s="21">
        <v>46276.502909270843</v>
      </c>
      <c r="B384" s="13" t="s">
        <v>440</v>
      </c>
      <c r="C384" s="11" t="s">
        <v>427</v>
      </c>
      <c r="D384" s="11" t="s">
        <v>1437</v>
      </c>
      <c r="E384" s="11" t="s">
        <v>142</v>
      </c>
      <c r="F384" s="11" t="s">
        <v>446</v>
      </c>
      <c r="G384" s="11" t="s">
        <v>356</v>
      </c>
      <c r="H384" s="11" t="s">
        <v>357</v>
      </c>
      <c r="I384" s="11" t="s">
        <v>1426</v>
      </c>
    </row>
    <row r="385" spans="1:9" ht="19.95" customHeight="1" x14ac:dyDescent="0.3">
      <c r="A385" s="23">
        <v>46275.889503935177</v>
      </c>
      <c r="B385" s="16" t="s">
        <v>440</v>
      </c>
      <c r="C385" s="14" t="s">
        <v>427</v>
      </c>
      <c r="D385" s="14" t="s">
        <v>1455</v>
      </c>
      <c r="E385" s="14" t="s">
        <v>142</v>
      </c>
      <c r="F385" s="14" t="s">
        <v>424</v>
      </c>
      <c r="G385" s="14" t="s">
        <v>356</v>
      </c>
      <c r="H385" s="14" t="s">
        <v>357</v>
      </c>
      <c r="I385" s="14" t="s">
        <v>38</v>
      </c>
    </row>
    <row r="386" spans="1:9" ht="19.95" customHeight="1" x14ac:dyDescent="0.3">
      <c r="A386" s="21">
        <v>46275.550381805559</v>
      </c>
      <c r="B386" s="13" t="s">
        <v>440</v>
      </c>
      <c r="C386" s="11" t="s">
        <v>427</v>
      </c>
      <c r="D386" s="11" t="s">
        <v>1456</v>
      </c>
      <c r="E386" s="11" t="s">
        <v>142</v>
      </c>
      <c r="F386" s="11" t="s">
        <v>424</v>
      </c>
      <c r="G386" s="11" t="s">
        <v>356</v>
      </c>
      <c r="H386" s="11" t="s">
        <v>357</v>
      </c>
      <c r="I386" s="11" t="s">
        <v>38</v>
      </c>
    </row>
    <row r="387" spans="1:9" ht="19.95" customHeight="1" x14ac:dyDescent="0.3">
      <c r="A387" s="23">
        <v>46275.514974756938</v>
      </c>
      <c r="B387" s="16" t="s">
        <v>440</v>
      </c>
      <c r="C387" s="14" t="s">
        <v>427</v>
      </c>
      <c r="D387" s="14" t="s">
        <v>1016</v>
      </c>
      <c r="E387" s="14" t="s">
        <v>142</v>
      </c>
      <c r="F387" s="14" t="s">
        <v>446</v>
      </c>
      <c r="G387" s="14" t="s">
        <v>152</v>
      </c>
      <c r="H387" s="14" t="s">
        <v>446</v>
      </c>
      <c r="I387" s="14" t="s">
        <v>1457</v>
      </c>
    </row>
    <row r="388" spans="1:9" ht="19.95" customHeight="1" x14ac:dyDescent="0.3">
      <c r="A388" s="21">
        <v>46275.512200752317</v>
      </c>
      <c r="B388" s="13" t="s">
        <v>440</v>
      </c>
      <c r="C388" s="11" t="s">
        <v>1250</v>
      </c>
      <c r="D388" s="11" t="s">
        <v>701</v>
      </c>
      <c r="E388" s="11" t="s">
        <v>361</v>
      </c>
      <c r="F388" s="11" t="s">
        <v>355</v>
      </c>
      <c r="G388" s="11" t="s">
        <v>356</v>
      </c>
      <c r="H388" s="11" t="s">
        <v>357</v>
      </c>
      <c r="I388" s="11" t="s">
        <v>38</v>
      </c>
    </row>
    <row r="389" spans="1:9" ht="19.95" customHeight="1" x14ac:dyDescent="0.3">
      <c r="A389" s="23">
        <v>46275.512200324083</v>
      </c>
      <c r="B389" s="16" t="s">
        <v>440</v>
      </c>
      <c r="C389" s="14" t="s">
        <v>1250</v>
      </c>
      <c r="D389" s="14" t="s">
        <v>699</v>
      </c>
      <c r="E389" s="14" t="s">
        <v>361</v>
      </c>
      <c r="F389" s="14" t="s">
        <v>355</v>
      </c>
      <c r="G389" s="14" t="s">
        <v>356</v>
      </c>
      <c r="H389" s="14" t="s">
        <v>357</v>
      </c>
      <c r="I389" s="14" t="s">
        <v>38</v>
      </c>
    </row>
    <row r="390" spans="1:9" ht="19.95" customHeight="1" x14ac:dyDescent="0.3">
      <c r="A390" s="21">
        <v>46275.512200034733</v>
      </c>
      <c r="B390" s="13" t="s">
        <v>440</v>
      </c>
      <c r="C390" s="11" t="s">
        <v>1250</v>
      </c>
      <c r="D390" s="11" t="s">
        <v>707</v>
      </c>
      <c r="E390" s="11" t="s">
        <v>361</v>
      </c>
      <c r="F390" s="11" t="s">
        <v>355</v>
      </c>
      <c r="G390" s="11" t="s">
        <v>356</v>
      </c>
      <c r="H390" s="11" t="s">
        <v>357</v>
      </c>
      <c r="I390" s="11" t="s">
        <v>38</v>
      </c>
    </row>
    <row r="391" spans="1:9" ht="19.95" customHeight="1" x14ac:dyDescent="0.3">
      <c r="A391" s="23">
        <v>46275.483108194443</v>
      </c>
      <c r="B391" s="16" t="s">
        <v>440</v>
      </c>
      <c r="C391" s="14" t="s">
        <v>427</v>
      </c>
      <c r="D391" s="14" t="s">
        <v>1276</v>
      </c>
      <c r="E391" s="14" t="s">
        <v>145</v>
      </c>
      <c r="F391" s="14" t="s">
        <v>446</v>
      </c>
      <c r="G391" s="14" t="s">
        <v>356</v>
      </c>
      <c r="H391" s="14" t="s">
        <v>357</v>
      </c>
      <c r="I391" s="14" t="s">
        <v>1366</v>
      </c>
    </row>
    <row r="392" spans="1:9" ht="19.95" customHeight="1" x14ac:dyDescent="0.3">
      <c r="A392" s="21">
        <v>46275.483108055552</v>
      </c>
      <c r="B392" s="13" t="s">
        <v>440</v>
      </c>
      <c r="C392" s="11" t="s">
        <v>427</v>
      </c>
      <c r="D392" s="11" t="s">
        <v>1274</v>
      </c>
      <c r="E392" s="11" t="s">
        <v>145</v>
      </c>
      <c r="F392" s="11" t="s">
        <v>446</v>
      </c>
      <c r="G392" s="11" t="s">
        <v>356</v>
      </c>
      <c r="H392" s="11" t="s">
        <v>357</v>
      </c>
      <c r="I392" s="11" t="s">
        <v>1458</v>
      </c>
    </row>
    <row r="393" spans="1:9" ht="19.95" customHeight="1" x14ac:dyDescent="0.3">
      <c r="A393" s="23">
        <v>46275.483107881948</v>
      </c>
      <c r="B393" s="16" t="s">
        <v>440</v>
      </c>
      <c r="C393" s="14" t="s">
        <v>427</v>
      </c>
      <c r="D393" s="14" t="s">
        <v>1459</v>
      </c>
      <c r="E393" s="14" t="s">
        <v>145</v>
      </c>
      <c r="F393" s="14" t="s">
        <v>424</v>
      </c>
      <c r="G393" s="14" t="s">
        <v>356</v>
      </c>
      <c r="H393" s="14" t="s">
        <v>357</v>
      </c>
      <c r="I393" s="14" t="s">
        <v>38</v>
      </c>
    </row>
    <row r="394" spans="1:9" ht="19.95" customHeight="1" x14ac:dyDescent="0.3">
      <c r="A394" s="21">
        <v>46275.483107673608</v>
      </c>
      <c r="B394" s="13" t="s">
        <v>440</v>
      </c>
      <c r="C394" s="11" t="s">
        <v>427</v>
      </c>
      <c r="D394" s="11" t="s">
        <v>1425</v>
      </c>
      <c r="E394" s="11" t="s">
        <v>145</v>
      </c>
      <c r="F394" s="11" t="s">
        <v>446</v>
      </c>
      <c r="G394" s="11" t="s">
        <v>356</v>
      </c>
      <c r="H394" s="11" t="s">
        <v>357</v>
      </c>
      <c r="I394" s="11" t="s">
        <v>1426</v>
      </c>
    </row>
    <row r="395" spans="1:9" ht="19.95" customHeight="1" x14ac:dyDescent="0.3">
      <c r="A395" s="23">
        <v>46275.483107499997</v>
      </c>
      <c r="B395" s="16" t="s">
        <v>440</v>
      </c>
      <c r="C395" s="14" t="s">
        <v>427</v>
      </c>
      <c r="D395" s="14" t="s">
        <v>1460</v>
      </c>
      <c r="E395" s="14" t="s">
        <v>145</v>
      </c>
      <c r="F395" s="14" t="s">
        <v>424</v>
      </c>
      <c r="G395" s="14" t="s">
        <v>356</v>
      </c>
      <c r="H395" s="14" t="s">
        <v>357</v>
      </c>
      <c r="I395" s="14" t="s">
        <v>38</v>
      </c>
    </row>
    <row r="396" spans="1:9" ht="19.95" customHeight="1" x14ac:dyDescent="0.3">
      <c r="A396" s="21">
        <v>46275.483107256943</v>
      </c>
      <c r="B396" s="13" t="s">
        <v>440</v>
      </c>
      <c r="C396" s="11" t="s">
        <v>427</v>
      </c>
      <c r="D396" s="11" t="s">
        <v>1268</v>
      </c>
      <c r="E396" s="11" t="s">
        <v>145</v>
      </c>
      <c r="F396" s="11" t="s">
        <v>446</v>
      </c>
      <c r="G396" s="11" t="s">
        <v>356</v>
      </c>
      <c r="H396" s="11" t="s">
        <v>357</v>
      </c>
      <c r="I396" s="11" t="s">
        <v>1366</v>
      </c>
    </row>
    <row r="397" spans="1:9" ht="19.95" customHeight="1" x14ac:dyDescent="0.3">
      <c r="A397" s="23">
        <v>46275.483107071763</v>
      </c>
      <c r="B397" s="16" t="s">
        <v>440</v>
      </c>
      <c r="C397" s="14" t="s">
        <v>427</v>
      </c>
      <c r="D397" s="14" t="s">
        <v>1270</v>
      </c>
      <c r="E397" s="14" t="s">
        <v>145</v>
      </c>
      <c r="F397" s="14" t="s">
        <v>446</v>
      </c>
      <c r="G397" s="14" t="s">
        <v>356</v>
      </c>
      <c r="H397" s="14" t="s">
        <v>357</v>
      </c>
      <c r="I397" s="14" t="s">
        <v>1461</v>
      </c>
    </row>
    <row r="398" spans="1:9" ht="19.95" customHeight="1" x14ac:dyDescent="0.3">
      <c r="A398" s="21">
        <v>46275.48310690972</v>
      </c>
      <c r="B398" s="13" t="s">
        <v>440</v>
      </c>
      <c r="C398" s="11" t="s">
        <v>427</v>
      </c>
      <c r="D398" s="11" t="s">
        <v>1272</v>
      </c>
      <c r="E398" s="11" t="s">
        <v>145</v>
      </c>
      <c r="F398" s="11" t="s">
        <v>446</v>
      </c>
      <c r="G398" s="11" t="s">
        <v>356</v>
      </c>
      <c r="H398" s="11" t="s">
        <v>357</v>
      </c>
      <c r="I398" s="11" t="s">
        <v>1462</v>
      </c>
    </row>
    <row r="399" spans="1:9" ht="19.95" customHeight="1" x14ac:dyDescent="0.3">
      <c r="A399" s="23">
        <v>46275.483106736108</v>
      </c>
      <c r="B399" s="16" t="s">
        <v>440</v>
      </c>
      <c r="C399" s="14" t="s">
        <v>427</v>
      </c>
      <c r="D399" s="14" t="s">
        <v>1463</v>
      </c>
      <c r="E399" s="14" t="s">
        <v>145</v>
      </c>
      <c r="F399" s="14" t="s">
        <v>424</v>
      </c>
      <c r="G399" s="14" t="s">
        <v>356</v>
      </c>
      <c r="H399" s="14" t="s">
        <v>357</v>
      </c>
      <c r="I399" s="14" t="s">
        <v>38</v>
      </c>
    </row>
    <row r="400" spans="1:9" ht="19.95" customHeight="1" x14ac:dyDescent="0.3">
      <c r="A400" s="21">
        <v>46275.483106550928</v>
      </c>
      <c r="B400" s="13" t="s">
        <v>440</v>
      </c>
      <c r="C400" s="11" t="s">
        <v>427</v>
      </c>
      <c r="D400" s="11" t="s">
        <v>1464</v>
      </c>
      <c r="E400" s="11" t="s">
        <v>142</v>
      </c>
      <c r="F400" s="11" t="s">
        <v>424</v>
      </c>
      <c r="G400" s="11" t="s">
        <v>356</v>
      </c>
      <c r="H400" s="11" t="s">
        <v>357</v>
      </c>
      <c r="I400" s="11" t="s">
        <v>38</v>
      </c>
    </row>
    <row r="401" spans="1:9" ht="19.95" customHeight="1" x14ac:dyDescent="0.3">
      <c r="A401" s="23">
        <v>46275.483105983803</v>
      </c>
      <c r="B401" s="16" t="s">
        <v>440</v>
      </c>
      <c r="C401" s="14" t="s">
        <v>427</v>
      </c>
      <c r="D401" s="14" t="s">
        <v>1016</v>
      </c>
      <c r="E401" s="14" t="s">
        <v>142</v>
      </c>
      <c r="F401" s="14" t="s">
        <v>446</v>
      </c>
      <c r="G401" s="14" t="s">
        <v>356</v>
      </c>
      <c r="H401" s="14" t="s">
        <v>357</v>
      </c>
      <c r="I401" s="14" t="s">
        <v>1465</v>
      </c>
    </row>
    <row r="402" spans="1:9" ht="19.95" customHeight="1" x14ac:dyDescent="0.3">
      <c r="A402" s="21">
        <v>46274.774752349527</v>
      </c>
      <c r="B402" s="13" t="s">
        <v>440</v>
      </c>
      <c r="C402" s="11" t="s">
        <v>1250</v>
      </c>
      <c r="D402" s="11" t="s">
        <v>1374</v>
      </c>
      <c r="E402" s="11" t="s">
        <v>142</v>
      </c>
      <c r="F402" s="11" t="s">
        <v>424</v>
      </c>
      <c r="G402" s="11" t="s">
        <v>356</v>
      </c>
      <c r="H402" s="11" t="s">
        <v>357</v>
      </c>
      <c r="I402" s="11" t="s">
        <v>1466</v>
      </c>
    </row>
    <row r="403" spans="1:9" ht="19.95" customHeight="1" x14ac:dyDescent="0.3">
      <c r="A403" s="23">
        <v>46274.774752245372</v>
      </c>
      <c r="B403" s="16" t="s">
        <v>440</v>
      </c>
      <c r="C403" s="14" t="s">
        <v>1250</v>
      </c>
      <c r="D403" s="14" t="s">
        <v>1345</v>
      </c>
      <c r="E403" s="14" t="s">
        <v>142</v>
      </c>
      <c r="F403" s="14" t="s">
        <v>424</v>
      </c>
      <c r="G403" s="14" t="s">
        <v>356</v>
      </c>
      <c r="H403" s="14" t="s">
        <v>357</v>
      </c>
      <c r="I403" s="14" t="s">
        <v>1467</v>
      </c>
    </row>
    <row r="404" spans="1:9" ht="19.95" customHeight="1" x14ac:dyDescent="0.3">
      <c r="A404" s="21">
        <v>46274.774752164347</v>
      </c>
      <c r="B404" s="13" t="s">
        <v>440</v>
      </c>
      <c r="C404" s="11" t="s">
        <v>1250</v>
      </c>
      <c r="D404" s="11" t="s">
        <v>1338</v>
      </c>
      <c r="E404" s="11" t="s">
        <v>361</v>
      </c>
      <c r="F404" s="11" t="s">
        <v>424</v>
      </c>
      <c r="G404" s="11" t="s">
        <v>152</v>
      </c>
      <c r="H404" s="11" t="s">
        <v>381</v>
      </c>
      <c r="I404" s="11" t="s">
        <v>1468</v>
      </c>
    </row>
    <row r="405" spans="1:9" ht="19.95" customHeight="1" x14ac:dyDescent="0.3">
      <c r="A405" s="23">
        <v>46274.774752060177</v>
      </c>
      <c r="B405" s="16" t="s">
        <v>440</v>
      </c>
      <c r="C405" s="14" t="s">
        <v>1250</v>
      </c>
      <c r="D405" s="14" t="s">
        <v>1336</v>
      </c>
      <c r="E405" s="14" t="s">
        <v>361</v>
      </c>
      <c r="F405" s="14" t="s">
        <v>424</v>
      </c>
      <c r="G405" s="14" t="s">
        <v>150</v>
      </c>
      <c r="H405" s="14" t="s">
        <v>256</v>
      </c>
      <c r="I405" s="14" t="s">
        <v>1469</v>
      </c>
    </row>
    <row r="406" spans="1:9" ht="19.95" customHeight="1" x14ac:dyDescent="0.3">
      <c r="A406" s="21">
        <v>46274.774751921294</v>
      </c>
      <c r="B406" s="13" t="s">
        <v>440</v>
      </c>
      <c r="C406" s="11" t="s">
        <v>1250</v>
      </c>
      <c r="D406" s="11" t="s">
        <v>1294</v>
      </c>
      <c r="E406" s="11" t="s">
        <v>361</v>
      </c>
      <c r="F406" s="11" t="s">
        <v>424</v>
      </c>
      <c r="G406" s="11" t="s">
        <v>147</v>
      </c>
      <c r="H406" s="11" t="s">
        <v>381</v>
      </c>
      <c r="I406" s="11" t="s">
        <v>1470</v>
      </c>
    </row>
    <row r="407" spans="1:9" ht="19.95" customHeight="1" x14ac:dyDescent="0.3">
      <c r="A407" s="23">
        <v>46274.774751770827</v>
      </c>
      <c r="B407" s="16" t="s">
        <v>440</v>
      </c>
      <c r="C407" s="14" t="s">
        <v>1250</v>
      </c>
      <c r="D407" s="14" t="s">
        <v>1334</v>
      </c>
      <c r="E407" s="14" t="s">
        <v>361</v>
      </c>
      <c r="F407" s="14" t="s">
        <v>424</v>
      </c>
      <c r="G407" s="14" t="s">
        <v>147</v>
      </c>
      <c r="H407" s="14" t="s">
        <v>381</v>
      </c>
      <c r="I407" s="14" t="s">
        <v>1471</v>
      </c>
    </row>
    <row r="408" spans="1:9" ht="19.95" customHeight="1" x14ac:dyDescent="0.3">
      <c r="A408" s="21">
        <v>46274.774751585654</v>
      </c>
      <c r="B408" s="13" t="s">
        <v>440</v>
      </c>
      <c r="C408" s="11" t="s">
        <v>1250</v>
      </c>
      <c r="D408" s="11" t="s">
        <v>1332</v>
      </c>
      <c r="E408" s="11" t="s">
        <v>361</v>
      </c>
      <c r="F408" s="11" t="s">
        <v>424</v>
      </c>
      <c r="G408" s="11" t="s">
        <v>152</v>
      </c>
      <c r="H408" s="11" t="s">
        <v>381</v>
      </c>
      <c r="I408" s="11" t="s">
        <v>1472</v>
      </c>
    </row>
    <row r="409" spans="1:9" ht="19.95" customHeight="1" x14ac:dyDescent="0.3">
      <c r="A409" s="23">
        <v>46274.774751331017</v>
      </c>
      <c r="B409" s="16" t="s">
        <v>440</v>
      </c>
      <c r="C409" s="14" t="s">
        <v>1250</v>
      </c>
      <c r="D409" s="14" t="s">
        <v>1327</v>
      </c>
      <c r="E409" s="14" t="s">
        <v>361</v>
      </c>
      <c r="F409" s="14" t="s">
        <v>424</v>
      </c>
      <c r="G409" s="14" t="s">
        <v>150</v>
      </c>
      <c r="H409" s="14" t="s">
        <v>425</v>
      </c>
      <c r="I409" s="14" t="s">
        <v>1473</v>
      </c>
    </row>
    <row r="410" spans="1:9" ht="19.95" customHeight="1" x14ac:dyDescent="0.3">
      <c r="A410" s="21">
        <v>46274.774751192133</v>
      </c>
      <c r="B410" s="13" t="s">
        <v>440</v>
      </c>
      <c r="C410" s="11" t="s">
        <v>1250</v>
      </c>
      <c r="D410" s="11" t="s">
        <v>1329</v>
      </c>
      <c r="E410" s="11" t="s">
        <v>361</v>
      </c>
      <c r="F410" s="11" t="s">
        <v>424</v>
      </c>
      <c r="G410" s="11" t="s">
        <v>356</v>
      </c>
      <c r="H410" s="11" t="s">
        <v>446</v>
      </c>
      <c r="I410" s="11" t="s">
        <v>1474</v>
      </c>
    </row>
    <row r="411" spans="1:9" ht="19.95" customHeight="1" x14ac:dyDescent="0.3">
      <c r="A411" s="23">
        <v>46274.774751030091</v>
      </c>
      <c r="B411" s="16" t="s">
        <v>440</v>
      </c>
      <c r="C411" s="14" t="s">
        <v>1250</v>
      </c>
      <c r="D411" s="14" t="s">
        <v>1306</v>
      </c>
      <c r="E411" s="14" t="s">
        <v>361</v>
      </c>
      <c r="F411" s="14" t="s">
        <v>446</v>
      </c>
      <c r="G411" s="14" t="s">
        <v>356</v>
      </c>
      <c r="H411" s="14" t="s">
        <v>446</v>
      </c>
      <c r="I411" s="14" t="s">
        <v>1475</v>
      </c>
    </row>
    <row r="412" spans="1:9" ht="19.95" customHeight="1" x14ac:dyDescent="0.3">
      <c r="A412" s="21">
        <v>46274.774750775461</v>
      </c>
      <c r="B412" s="13" t="s">
        <v>440</v>
      </c>
      <c r="C412" s="11" t="s">
        <v>1250</v>
      </c>
      <c r="D412" s="11" t="s">
        <v>1322</v>
      </c>
      <c r="E412" s="11" t="s">
        <v>361</v>
      </c>
      <c r="F412" s="11" t="s">
        <v>424</v>
      </c>
      <c r="G412" s="11" t="s">
        <v>147</v>
      </c>
      <c r="H412" s="11" t="s">
        <v>1314</v>
      </c>
      <c r="I412" s="11" t="s">
        <v>1476</v>
      </c>
    </row>
    <row r="413" spans="1:9" ht="19.95" customHeight="1" x14ac:dyDescent="0.3">
      <c r="A413" s="23">
        <v>46274.774750520832</v>
      </c>
      <c r="B413" s="16" t="s">
        <v>440</v>
      </c>
      <c r="C413" s="14" t="s">
        <v>1250</v>
      </c>
      <c r="D413" s="14" t="s">
        <v>1313</v>
      </c>
      <c r="E413" s="14" t="s">
        <v>361</v>
      </c>
      <c r="F413" s="14" t="s">
        <v>424</v>
      </c>
      <c r="G413" s="14" t="s">
        <v>152</v>
      </c>
      <c r="H413" s="14" t="s">
        <v>1314</v>
      </c>
      <c r="I413" s="14" t="s">
        <v>1477</v>
      </c>
    </row>
    <row r="414" spans="1:9" ht="19.95" customHeight="1" x14ac:dyDescent="0.3">
      <c r="A414" s="21">
        <v>46274.774750405093</v>
      </c>
      <c r="B414" s="13" t="s">
        <v>440</v>
      </c>
      <c r="C414" s="11" t="s">
        <v>1250</v>
      </c>
      <c r="D414" s="11" t="s">
        <v>1318</v>
      </c>
      <c r="E414" s="11" t="s">
        <v>361</v>
      </c>
      <c r="F414" s="11" t="s">
        <v>424</v>
      </c>
      <c r="G414" s="11" t="s">
        <v>152</v>
      </c>
      <c r="H414" s="11" t="s">
        <v>446</v>
      </c>
      <c r="I414" s="11" t="s">
        <v>1478</v>
      </c>
    </row>
    <row r="415" spans="1:9" ht="19.95" customHeight="1" x14ac:dyDescent="0.3">
      <c r="A415" s="23">
        <v>46274.774750289347</v>
      </c>
      <c r="B415" s="16" t="s">
        <v>440</v>
      </c>
      <c r="C415" s="14" t="s">
        <v>1250</v>
      </c>
      <c r="D415" s="14" t="s">
        <v>1362</v>
      </c>
      <c r="E415" s="14" t="s">
        <v>142</v>
      </c>
      <c r="F415" s="14" t="s">
        <v>424</v>
      </c>
      <c r="G415" s="14" t="s">
        <v>356</v>
      </c>
      <c r="H415" s="14" t="s">
        <v>357</v>
      </c>
      <c r="I415" s="14" t="s">
        <v>1467</v>
      </c>
    </row>
    <row r="416" spans="1:9" ht="19.95" customHeight="1" x14ac:dyDescent="0.3">
      <c r="A416" s="21">
        <v>46274.774750185177</v>
      </c>
      <c r="B416" s="13" t="s">
        <v>440</v>
      </c>
      <c r="C416" s="11" t="s">
        <v>1250</v>
      </c>
      <c r="D416" s="11" t="s">
        <v>411</v>
      </c>
      <c r="E416" s="11" t="s">
        <v>142</v>
      </c>
      <c r="F416" s="11" t="s">
        <v>446</v>
      </c>
      <c r="G416" s="11" t="s">
        <v>152</v>
      </c>
      <c r="H416" s="11" t="s">
        <v>381</v>
      </c>
      <c r="I416" s="11" t="s">
        <v>1479</v>
      </c>
    </row>
    <row r="417" spans="1:9" ht="19.95" customHeight="1" x14ac:dyDescent="0.3">
      <c r="A417" s="23">
        <v>46274.774750092591</v>
      </c>
      <c r="B417" s="16" t="s">
        <v>440</v>
      </c>
      <c r="C417" s="14" t="s">
        <v>1250</v>
      </c>
      <c r="D417" s="14" t="s">
        <v>1316</v>
      </c>
      <c r="E417" s="14" t="s">
        <v>361</v>
      </c>
      <c r="F417" s="14" t="s">
        <v>380</v>
      </c>
      <c r="G417" s="14" t="s">
        <v>152</v>
      </c>
      <c r="H417" s="14" t="s">
        <v>381</v>
      </c>
      <c r="I417" s="14" t="s">
        <v>1480</v>
      </c>
    </row>
    <row r="418" spans="1:9" ht="19.95" customHeight="1" x14ac:dyDescent="0.3">
      <c r="A418" s="21">
        <v>46274.774749999997</v>
      </c>
      <c r="B418" s="13" t="s">
        <v>440</v>
      </c>
      <c r="C418" s="11" t="s">
        <v>1250</v>
      </c>
      <c r="D418" s="11" t="s">
        <v>1296</v>
      </c>
      <c r="E418" s="11" t="s">
        <v>361</v>
      </c>
      <c r="F418" s="11" t="s">
        <v>424</v>
      </c>
      <c r="G418" s="11" t="s">
        <v>150</v>
      </c>
      <c r="H418" s="11" t="s">
        <v>381</v>
      </c>
      <c r="I418" s="11" t="s">
        <v>1481</v>
      </c>
    </row>
    <row r="419" spans="1:9" ht="19.95" customHeight="1" x14ac:dyDescent="0.3">
      <c r="A419" s="23">
        <v>46274.774749560187</v>
      </c>
      <c r="B419" s="16" t="s">
        <v>440</v>
      </c>
      <c r="C419" s="14" t="s">
        <v>1250</v>
      </c>
      <c r="D419" s="14" t="s">
        <v>1311</v>
      </c>
      <c r="E419" s="14" t="s">
        <v>361</v>
      </c>
      <c r="F419" s="14" t="s">
        <v>424</v>
      </c>
      <c r="G419" s="14" t="s">
        <v>152</v>
      </c>
      <c r="H419" s="14" t="s">
        <v>247</v>
      </c>
      <c r="I419" s="14" t="s">
        <v>1482</v>
      </c>
    </row>
    <row r="420" spans="1:9" ht="19.95" customHeight="1" x14ac:dyDescent="0.3">
      <c r="A420" s="21">
        <v>46274.774749456017</v>
      </c>
      <c r="B420" s="13" t="s">
        <v>440</v>
      </c>
      <c r="C420" s="11" t="s">
        <v>1250</v>
      </c>
      <c r="D420" s="11" t="s">
        <v>1302</v>
      </c>
      <c r="E420" s="11" t="s">
        <v>361</v>
      </c>
      <c r="F420" s="11" t="s">
        <v>424</v>
      </c>
      <c r="G420" s="11" t="s">
        <v>152</v>
      </c>
      <c r="H420" s="11" t="s">
        <v>242</v>
      </c>
      <c r="I420" s="11" t="s">
        <v>1483</v>
      </c>
    </row>
    <row r="421" spans="1:9" ht="19.95" customHeight="1" x14ac:dyDescent="0.3">
      <c r="A421" s="23">
        <v>46274.774749317126</v>
      </c>
      <c r="B421" s="16" t="s">
        <v>440</v>
      </c>
      <c r="C421" s="14" t="s">
        <v>1250</v>
      </c>
      <c r="D421" s="14" t="s">
        <v>1308</v>
      </c>
      <c r="E421" s="14" t="s">
        <v>361</v>
      </c>
      <c r="F421" s="14" t="s">
        <v>424</v>
      </c>
      <c r="G421" s="14" t="s">
        <v>152</v>
      </c>
      <c r="H421" s="14" t="s">
        <v>446</v>
      </c>
      <c r="I421" s="14" t="s">
        <v>1484</v>
      </c>
    </row>
    <row r="422" spans="1:9" ht="19.95" customHeight="1" x14ac:dyDescent="0.3">
      <c r="A422" s="21">
        <v>46274.774748993063</v>
      </c>
      <c r="B422" s="13" t="s">
        <v>440</v>
      </c>
      <c r="C422" s="11" t="s">
        <v>1250</v>
      </c>
      <c r="D422" s="11" t="s">
        <v>1300</v>
      </c>
      <c r="E422" s="11" t="s">
        <v>361</v>
      </c>
      <c r="F422" s="11" t="s">
        <v>424</v>
      </c>
      <c r="G422" s="11" t="s">
        <v>152</v>
      </c>
      <c r="H422" s="11" t="s">
        <v>425</v>
      </c>
      <c r="I422" s="11" t="s">
        <v>1485</v>
      </c>
    </row>
    <row r="423" spans="1:9" ht="19.95" customHeight="1" x14ac:dyDescent="0.3">
      <c r="A423" s="23">
        <v>46274.774748877317</v>
      </c>
      <c r="B423" s="16" t="s">
        <v>440</v>
      </c>
      <c r="C423" s="14" t="s">
        <v>1250</v>
      </c>
      <c r="D423" s="14" t="s">
        <v>1287</v>
      </c>
      <c r="E423" s="14" t="s">
        <v>361</v>
      </c>
      <c r="F423" s="14" t="s">
        <v>424</v>
      </c>
      <c r="G423" s="14" t="s">
        <v>147</v>
      </c>
      <c r="H423" s="14" t="s">
        <v>381</v>
      </c>
      <c r="I423" s="14" t="s">
        <v>1486</v>
      </c>
    </row>
    <row r="424" spans="1:9" ht="19.95" customHeight="1" x14ac:dyDescent="0.3">
      <c r="A424" s="21">
        <v>46274.774748715281</v>
      </c>
      <c r="B424" s="13" t="s">
        <v>440</v>
      </c>
      <c r="C424" s="11" t="s">
        <v>1250</v>
      </c>
      <c r="D424" s="11" t="s">
        <v>1289</v>
      </c>
      <c r="E424" s="11" t="s">
        <v>361</v>
      </c>
      <c r="F424" s="11" t="s">
        <v>424</v>
      </c>
      <c r="G424" s="11" t="s">
        <v>152</v>
      </c>
      <c r="H424" s="11" t="s">
        <v>381</v>
      </c>
      <c r="I424" s="11" t="s">
        <v>1487</v>
      </c>
    </row>
    <row r="425" spans="1:9" ht="19.95" customHeight="1" x14ac:dyDescent="0.3">
      <c r="A425" s="23">
        <v>46274.774748611111</v>
      </c>
      <c r="B425" s="16" t="s">
        <v>440</v>
      </c>
      <c r="C425" s="14" t="s">
        <v>1250</v>
      </c>
      <c r="D425" s="14" t="s">
        <v>1298</v>
      </c>
      <c r="E425" s="14" t="s">
        <v>361</v>
      </c>
      <c r="F425" s="14" t="s">
        <v>424</v>
      </c>
      <c r="G425" s="14" t="s">
        <v>152</v>
      </c>
      <c r="H425" s="14" t="s">
        <v>381</v>
      </c>
      <c r="I425" s="14" t="s">
        <v>1488</v>
      </c>
    </row>
    <row r="426" spans="1:9" ht="19.95" customHeight="1" x14ac:dyDescent="0.3">
      <c r="A426" s="21">
        <v>46274.774748495372</v>
      </c>
      <c r="B426" s="13" t="s">
        <v>440</v>
      </c>
      <c r="C426" s="11" t="s">
        <v>1250</v>
      </c>
      <c r="D426" s="11" t="s">
        <v>1489</v>
      </c>
      <c r="E426" s="11" t="s">
        <v>142</v>
      </c>
      <c r="F426" s="11" t="s">
        <v>424</v>
      </c>
      <c r="G426" s="11" t="s">
        <v>356</v>
      </c>
      <c r="H426" s="11" t="s">
        <v>357</v>
      </c>
      <c r="I426" s="11" t="s">
        <v>1490</v>
      </c>
    </row>
    <row r="427" spans="1:9" ht="19.95" customHeight="1" x14ac:dyDescent="0.3">
      <c r="A427" s="23">
        <v>46274.774748391203</v>
      </c>
      <c r="B427" s="16" t="s">
        <v>440</v>
      </c>
      <c r="C427" s="14" t="s">
        <v>1250</v>
      </c>
      <c r="D427" s="14" t="s">
        <v>1491</v>
      </c>
      <c r="E427" s="14" t="s">
        <v>142</v>
      </c>
      <c r="F427" s="14" t="s">
        <v>424</v>
      </c>
      <c r="G427" s="14" t="s">
        <v>356</v>
      </c>
      <c r="H427" s="14" t="s">
        <v>357</v>
      </c>
      <c r="I427" s="14" t="s">
        <v>38</v>
      </c>
    </row>
    <row r="428" spans="1:9" ht="19.95" customHeight="1" x14ac:dyDescent="0.3">
      <c r="A428" s="21">
        <v>46274.77474828704</v>
      </c>
      <c r="B428" s="13" t="s">
        <v>440</v>
      </c>
      <c r="C428" s="11" t="s">
        <v>1250</v>
      </c>
      <c r="D428" s="11" t="s">
        <v>1278</v>
      </c>
      <c r="E428" s="11" t="s">
        <v>361</v>
      </c>
      <c r="F428" s="11" t="s">
        <v>424</v>
      </c>
      <c r="G428" s="11" t="s">
        <v>150</v>
      </c>
      <c r="H428" s="11" t="s">
        <v>446</v>
      </c>
      <c r="I428" s="11" t="s">
        <v>1486</v>
      </c>
    </row>
    <row r="429" spans="1:9" ht="19.95" customHeight="1" x14ac:dyDescent="0.3">
      <c r="A429" s="23">
        <v>46274.77474818287</v>
      </c>
      <c r="B429" s="16" t="s">
        <v>440</v>
      </c>
      <c r="C429" s="14" t="s">
        <v>1250</v>
      </c>
      <c r="D429" s="14" t="s">
        <v>1282</v>
      </c>
      <c r="E429" s="14" t="s">
        <v>361</v>
      </c>
      <c r="F429" s="14" t="s">
        <v>424</v>
      </c>
      <c r="G429" s="14" t="s">
        <v>150</v>
      </c>
      <c r="H429" s="14" t="s">
        <v>381</v>
      </c>
      <c r="I429" s="14" t="s">
        <v>1492</v>
      </c>
    </row>
    <row r="430" spans="1:9" ht="19.95" customHeight="1" x14ac:dyDescent="0.3">
      <c r="A430" s="21">
        <v>46274.7747480787</v>
      </c>
      <c r="B430" s="13" t="s">
        <v>440</v>
      </c>
      <c r="C430" s="11" t="s">
        <v>1250</v>
      </c>
      <c r="D430" s="11" t="s">
        <v>1493</v>
      </c>
      <c r="E430" s="11" t="s">
        <v>142</v>
      </c>
      <c r="F430" s="11" t="s">
        <v>424</v>
      </c>
      <c r="G430" s="11" t="s">
        <v>356</v>
      </c>
      <c r="H430" s="11" t="s">
        <v>357</v>
      </c>
      <c r="I430" s="11" t="s">
        <v>38</v>
      </c>
    </row>
    <row r="431" spans="1:9" ht="19.95" customHeight="1" x14ac:dyDescent="0.3">
      <c r="A431" s="23">
        <v>46274.774747986106</v>
      </c>
      <c r="B431" s="16" t="s">
        <v>440</v>
      </c>
      <c r="C431" s="14" t="s">
        <v>1250</v>
      </c>
      <c r="D431" s="14" t="s">
        <v>1494</v>
      </c>
      <c r="E431" s="14" t="s">
        <v>142</v>
      </c>
      <c r="F431" s="14" t="s">
        <v>424</v>
      </c>
      <c r="G431" s="14" t="s">
        <v>356</v>
      </c>
      <c r="H431" s="14" t="s">
        <v>357</v>
      </c>
      <c r="I431" s="14" t="s">
        <v>38</v>
      </c>
    </row>
    <row r="432" spans="1:9" ht="19.95" customHeight="1" x14ac:dyDescent="0.3">
      <c r="A432" s="21">
        <v>46274.774747731477</v>
      </c>
      <c r="B432" s="13" t="s">
        <v>440</v>
      </c>
      <c r="C432" s="11" t="s">
        <v>1250</v>
      </c>
      <c r="D432" s="11" t="s">
        <v>1495</v>
      </c>
      <c r="E432" s="11" t="s">
        <v>142</v>
      </c>
      <c r="F432" s="11" t="s">
        <v>424</v>
      </c>
      <c r="G432" s="11" t="s">
        <v>356</v>
      </c>
      <c r="H432" s="11" t="s">
        <v>357</v>
      </c>
      <c r="I432" s="11" t="s">
        <v>38</v>
      </c>
    </row>
    <row r="433" spans="1:9" ht="19.95" customHeight="1" x14ac:dyDescent="0.3">
      <c r="A433" s="23">
        <v>46274.77474763889</v>
      </c>
      <c r="B433" s="16" t="s">
        <v>440</v>
      </c>
      <c r="C433" s="14" t="s">
        <v>1250</v>
      </c>
      <c r="D433" s="14" t="s">
        <v>1496</v>
      </c>
      <c r="E433" s="14" t="s">
        <v>142</v>
      </c>
      <c r="F433" s="14" t="s">
        <v>424</v>
      </c>
      <c r="G433" s="14" t="s">
        <v>356</v>
      </c>
      <c r="H433" s="14" t="s">
        <v>357</v>
      </c>
      <c r="I433" s="14" t="s">
        <v>38</v>
      </c>
    </row>
    <row r="434" spans="1:9" ht="19.95" customHeight="1" x14ac:dyDescent="0.3">
      <c r="A434" s="21">
        <v>46274.774747453703</v>
      </c>
      <c r="B434" s="13" t="s">
        <v>440</v>
      </c>
      <c r="C434" s="11" t="s">
        <v>1250</v>
      </c>
      <c r="D434" s="11" t="s">
        <v>1497</v>
      </c>
      <c r="E434" s="11" t="s">
        <v>142</v>
      </c>
      <c r="F434" s="11" t="s">
        <v>424</v>
      </c>
      <c r="G434" s="11" t="s">
        <v>356</v>
      </c>
      <c r="H434" s="11" t="s">
        <v>357</v>
      </c>
      <c r="I434" s="11" t="s">
        <v>38</v>
      </c>
    </row>
    <row r="435" spans="1:9" ht="19.95" customHeight="1" x14ac:dyDescent="0.3">
      <c r="A435" s="23">
        <v>46274.774747256954</v>
      </c>
      <c r="B435" s="16" t="s">
        <v>440</v>
      </c>
      <c r="C435" s="14" t="s">
        <v>1250</v>
      </c>
      <c r="D435" s="14" t="s">
        <v>1498</v>
      </c>
      <c r="E435" s="14" t="s">
        <v>142</v>
      </c>
      <c r="F435" s="14" t="s">
        <v>424</v>
      </c>
      <c r="G435" s="14" t="s">
        <v>356</v>
      </c>
      <c r="H435" s="14" t="s">
        <v>357</v>
      </c>
      <c r="I435" s="14" t="s">
        <v>38</v>
      </c>
    </row>
    <row r="436" spans="1:9" ht="19.95" customHeight="1" x14ac:dyDescent="0.3">
      <c r="A436" s="21">
        <v>46274.774747071759</v>
      </c>
      <c r="B436" s="13" t="s">
        <v>440</v>
      </c>
      <c r="C436" s="11" t="s">
        <v>1250</v>
      </c>
      <c r="D436" s="11" t="s">
        <v>1499</v>
      </c>
      <c r="E436" s="11" t="s">
        <v>142</v>
      </c>
      <c r="F436" s="11" t="s">
        <v>424</v>
      </c>
      <c r="G436" s="11" t="s">
        <v>356</v>
      </c>
      <c r="H436" s="11" t="s">
        <v>357</v>
      </c>
      <c r="I436" s="11" t="s">
        <v>38</v>
      </c>
    </row>
    <row r="437" spans="1:9" ht="19.95" customHeight="1" x14ac:dyDescent="0.3">
      <c r="A437" s="23">
        <v>46274.774746979157</v>
      </c>
      <c r="B437" s="16" t="s">
        <v>440</v>
      </c>
      <c r="C437" s="14" t="s">
        <v>1250</v>
      </c>
      <c r="D437" s="14" t="s">
        <v>1500</v>
      </c>
      <c r="E437" s="14" t="s">
        <v>142</v>
      </c>
      <c r="F437" s="14" t="s">
        <v>424</v>
      </c>
      <c r="G437" s="14" t="s">
        <v>356</v>
      </c>
      <c r="H437" s="14" t="s">
        <v>357</v>
      </c>
      <c r="I437" s="14" t="s">
        <v>38</v>
      </c>
    </row>
    <row r="438" spans="1:9" ht="19.95" customHeight="1" x14ac:dyDescent="0.3">
      <c r="A438" s="21">
        <v>46274.774746805553</v>
      </c>
      <c r="B438" s="13" t="s">
        <v>440</v>
      </c>
      <c r="C438" s="11" t="s">
        <v>1250</v>
      </c>
      <c r="D438" s="11" t="s">
        <v>1501</v>
      </c>
      <c r="E438" s="11" t="s">
        <v>142</v>
      </c>
      <c r="F438" s="11" t="s">
        <v>424</v>
      </c>
      <c r="G438" s="11" t="s">
        <v>356</v>
      </c>
      <c r="H438" s="11" t="s">
        <v>357</v>
      </c>
      <c r="I438" s="11" t="s">
        <v>38</v>
      </c>
    </row>
    <row r="439" spans="1:9" ht="19.95" customHeight="1" x14ac:dyDescent="0.3">
      <c r="A439" s="23">
        <v>46274.774746701391</v>
      </c>
      <c r="B439" s="16" t="s">
        <v>440</v>
      </c>
      <c r="C439" s="14" t="s">
        <v>1250</v>
      </c>
      <c r="D439" s="14" t="s">
        <v>1363</v>
      </c>
      <c r="E439" s="14" t="s">
        <v>142</v>
      </c>
      <c r="F439" s="14" t="s">
        <v>424</v>
      </c>
      <c r="G439" s="14" t="s">
        <v>356</v>
      </c>
      <c r="H439" s="14" t="s">
        <v>357</v>
      </c>
      <c r="I439" s="14" t="s">
        <v>1502</v>
      </c>
    </row>
    <row r="440" spans="1:9" ht="19.95" customHeight="1" x14ac:dyDescent="0.3">
      <c r="A440" s="21">
        <v>46274.774746608797</v>
      </c>
      <c r="B440" s="13" t="s">
        <v>440</v>
      </c>
      <c r="C440" s="11" t="s">
        <v>1250</v>
      </c>
      <c r="D440" s="11" t="s">
        <v>1503</v>
      </c>
      <c r="E440" s="11" t="s">
        <v>142</v>
      </c>
      <c r="F440" s="11" t="s">
        <v>424</v>
      </c>
      <c r="G440" s="11" t="s">
        <v>356</v>
      </c>
      <c r="H440" s="11" t="s">
        <v>357</v>
      </c>
      <c r="I440" s="11" t="s">
        <v>38</v>
      </c>
    </row>
    <row r="441" spans="1:9" ht="19.95" customHeight="1" x14ac:dyDescent="0.3">
      <c r="A441" s="23">
        <v>46274.774746504627</v>
      </c>
      <c r="B441" s="16" t="s">
        <v>440</v>
      </c>
      <c r="C441" s="14" t="s">
        <v>1250</v>
      </c>
      <c r="D441" s="14" t="s">
        <v>1504</v>
      </c>
      <c r="E441" s="14" t="s">
        <v>142</v>
      </c>
      <c r="F441" s="14" t="s">
        <v>424</v>
      </c>
      <c r="G441" s="14" t="s">
        <v>356</v>
      </c>
      <c r="H441" s="14" t="s">
        <v>357</v>
      </c>
      <c r="I441" s="14" t="s">
        <v>1505</v>
      </c>
    </row>
    <row r="442" spans="1:9" ht="19.95" customHeight="1" x14ac:dyDescent="0.3">
      <c r="A442" s="21">
        <v>46274.774746296287</v>
      </c>
      <c r="B442" s="13" t="s">
        <v>440</v>
      </c>
      <c r="C442" s="11" t="s">
        <v>1250</v>
      </c>
      <c r="D442" s="11" t="s">
        <v>1506</v>
      </c>
      <c r="E442" s="11" t="s">
        <v>142</v>
      </c>
      <c r="F442" s="11" t="s">
        <v>424</v>
      </c>
      <c r="G442" s="11" t="s">
        <v>356</v>
      </c>
      <c r="H442" s="11" t="s">
        <v>357</v>
      </c>
      <c r="I442" s="11" t="s">
        <v>38</v>
      </c>
    </row>
    <row r="443" spans="1:9" ht="19.95" customHeight="1" x14ac:dyDescent="0.3">
      <c r="A443" s="23">
        <v>46274.774746122683</v>
      </c>
      <c r="B443" s="16" t="s">
        <v>440</v>
      </c>
      <c r="C443" s="14" t="s">
        <v>1250</v>
      </c>
      <c r="D443" s="14" t="s">
        <v>1507</v>
      </c>
      <c r="E443" s="14" t="s">
        <v>142</v>
      </c>
      <c r="F443" s="14" t="s">
        <v>424</v>
      </c>
      <c r="G443" s="14" t="s">
        <v>356</v>
      </c>
      <c r="H443" s="14" t="s">
        <v>357</v>
      </c>
      <c r="I443" s="14" t="s">
        <v>38</v>
      </c>
    </row>
    <row r="444" spans="1:9" ht="19.95" customHeight="1" x14ac:dyDescent="0.3">
      <c r="A444" s="21">
        <v>46274.774745983799</v>
      </c>
      <c r="B444" s="13" t="s">
        <v>440</v>
      </c>
      <c r="C444" s="11" t="s">
        <v>1250</v>
      </c>
      <c r="D444" s="11" t="s">
        <v>1508</v>
      </c>
      <c r="E444" s="11" t="s">
        <v>142</v>
      </c>
      <c r="F444" s="11" t="s">
        <v>424</v>
      </c>
      <c r="G444" s="11" t="s">
        <v>356</v>
      </c>
      <c r="H444" s="11" t="s">
        <v>357</v>
      </c>
      <c r="I444" s="11" t="s">
        <v>38</v>
      </c>
    </row>
    <row r="445" spans="1:9" ht="19.95" customHeight="1" x14ac:dyDescent="0.3">
      <c r="A445" s="23">
        <v>46274.774745787043</v>
      </c>
      <c r="B445" s="16" t="s">
        <v>440</v>
      </c>
      <c r="C445" s="14" t="s">
        <v>1250</v>
      </c>
      <c r="D445" s="14" t="s">
        <v>1509</v>
      </c>
      <c r="E445" s="14" t="s">
        <v>142</v>
      </c>
      <c r="F445" s="14" t="s">
        <v>424</v>
      </c>
      <c r="G445" s="14" t="s">
        <v>356</v>
      </c>
      <c r="H445" s="14" t="s">
        <v>357</v>
      </c>
      <c r="I445" s="14" t="s">
        <v>38</v>
      </c>
    </row>
    <row r="446" spans="1:9" ht="19.95" customHeight="1" x14ac:dyDescent="0.3">
      <c r="A446" s="21">
        <v>46274.774745671297</v>
      </c>
      <c r="B446" s="13" t="s">
        <v>440</v>
      </c>
      <c r="C446" s="11" t="s">
        <v>1250</v>
      </c>
      <c r="D446" s="11" t="s">
        <v>1510</v>
      </c>
      <c r="E446" s="11" t="s">
        <v>142</v>
      </c>
      <c r="F446" s="11" t="s">
        <v>424</v>
      </c>
      <c r="G446" s="11" t="s">
        <v>356</v>
      </c>
      <c r="H446" s="11" t="s">
        <v>357</v>
      </c>
      <c r="I446" s="11" t="s">
        <v>38</v>
      </c>
    </row>
    <row r="447" spans="1:9" ht="19.95" customHeight="1" x14ac:dyDescent="0.3">
      <c r="A447" s="23">
        <v>46274.774745567127</v>
      </c>
      <c r="B447" s="16" t="s">
        <v>440</v>
      </c>
      <c r="C447" s="14" t="s">
        <v>1250</v>
      </c>
      <c r="D447" s="14" t="s">
        <v>1511</v>
      </c>
      <c r="E447" s="14" t="s">
        <v>142</v>
      </c>
      <c r="F447" s="14" t="s">
        <v>424</v>
      </c>
      <c r="G447" s="14" t="s">
        <v>356</v>
      </c>
      <c r="H447" s="14" t="s">
        <v>357</v>
      </c>
      <c r="I447" s="14" t="s">
        <v>38</v>
      </c>
    </row>
    <row r="448" spans="1:9" ht="19.95" customHeight="1" x14ac:dyDescent="0.3">
      <c r="A448" s="21">
        <v>46274.774745428243</v>
      </c>
      <c r="B448" s="13" t="s">
        <v>440</v>
      </c>
      <c r="C448" s="11" t="s">
        <v>1250</v>
      </c>
      <c r="D448" s="11" t="s">
        <v>1512</v>
      </c>
      <c r="E448" s="11" t="s">
        <v>142</v>
      </c>
      <c r="F448" s="11" t="s">
        <v>424</v>
      </c>
      <c r="G448" s="11" t="s">
        <v>356</v>
      </c>
      <c r="H448" s="11" t="s">
        <v>357</v>
      </c>
      <c r="I448" s="11" t="s">
        <v>38</v>
      </c>
    </row>
    <row r="449" spans="1:9" ht="19.95" customHeight="1" x14ac:dyDescent="0.3">
      <c r="A449" s="23">
        <v>46274.774745312498</v>
      </c>
      <c r="B449" s="16" t="s">
        <v>440</v>
      </c>
      <c r="C449" s="14" t="s">
        <v>1250</v>
      </c>
      <c r="D449" s="14" t="s">
        <v>1513</v>
      </c>
      <c r="E449" s="14" t="s">
        <v>142</v>
      </c>
      <c r="F449" s="14" t="s">
        <v>424</v>
      </c>
      <c r="G449" s="14" t="s">
        <v>356</v>
      </c>
      <c r="H449" s="14" t="s">
        <v>357</v>
      </c>
      <c r="I449" s="14" t="s">
        <v>38</v>
      </c>
    </row>
    <row r="450" spans="1:9" ht="19.95" customHeight="1" x14ac:dyDescent="0.3">
      <c r="A450" s="21">
        <v>46274.774745219911</v>
      </c>
      <c r="B450" s="13" t="s">
        <v>440</v>
      </c>
      <c r="C450" s="11" t="s">
        <v>1250</v>
      </c>
      <c r="D450" s="11" t="s">
        <v>1514</v>
      </c>
      <c r="E450" s="11" t="s">
        <v>142</v>
      </c>
      <c r="F450" s="11" t="s">
        <v>424</v>
      </c>
      <c r="G450" s="11" t="s">
        <v>356</v>
      </c>
      <c r="H450" s="11" t="s">
        <v>357</v>
      </c>
      <c r="I450" s="11" t="s">
        <v>38</v>
      </c>
    </row>
    <row r="451" spans="1:9" ht="19.95" customHeight="1" x14ac:dyDescent="0.3">
      <c r="A451" s="23">
        <v>46274.774745092589</v>
      </c>
      <c r="B451" s="16" t="s">
        <v>440</v>
      </c>
      <c r="C451" s="14" t="s">
        <v>1250</v>
      </c>
      <c r="D451" s="14" t="s">
        <v>1515</v>
      </c>
      <c r="E451" s="14" t="s">
        <v>142</v>
      </c>
      <c r="F451" s="14" t="s">
        <v>424</v>
      </c>
      <c r="G451" s="14" t="s">
        <v>356</v>
      </c>
      <c r="H451" s="14" t="s">
        <v>357</v>
      </c>
      <c r="I451" s="14" t="s">
        <v>38</v>
      </c>
    </row>
    <row r="452" spans="1:9" ht="19.95" customHeight="1" x14ac:dyDescent="0.3">
      <c r="A452" s="21">
        <v>46274.774744965267</v>
      </c>
      <c r="B452" s="13" t="s">
        <v>440</v>
      </c>
      <c r="C452" s="11" t="s">
        <v>1250</v>
      </c>
      <c r="D452" s="11" t="s">
        <v>1013</v>
      </c>
      <c r="E452" s="11" t="s">
        <v>142</v>
      </c>
      <c r="F452" s="11" t="s">
        <v>424</v>
      </c>
      <c r="G452" s="11" t="s">
        <v>356</v>
      </c>
      <c r="H452" s="11" t="s">
        <v>357</v>
      </c>
      <c r="I452" s="11" t="s">
        <v>1516</v>
      </c>
    </row>
    <row r="453" spans="1:9" ht="19.95" customHeight="1" x14ac:dyDescent="0.3">
      <c r="A453" s="23">
        <v>46274.774744826391</v>
      </c>
      <c r="B453" s="16" t="s">
        <v>440</v>
      </c>
      <c r="C453" s="14" t="s">
        <v>1250</v>
      </c>
      <c r="D453" s="14" t="s">
        <v>1517</v>
      </c>
      <c r="E453" s="14" t="s">
        <v>142</v>
      </c>
      <c r="F453" s="14" t="s">
        <v>424</v>
      </c>
      <c r="G453" s="14" t="s">
        <v>356</v>
      </c>
      <c r="H453" s="14" t="s">
        <v>357</v>
      </c>
      <c r="I453" s="14" t="s">
        <v>38</v>
      </c>
    </row>
    <row r="454" spans="1:9" ht="19.95" customHeight="1" x14ac:dyDescent="0.3">
      <c r="A454" s="21">
        <v>46274.774744571761</v>
      </c>
      <c r="B454" s="13" t="s">
        <v>440</v>
      </c>
      <c r="C454" s="11" t="s">
        <v>1250</v>
      </c>
      <c r="D454" s="11" t="s">
        <v>1518</v>
      </c>
      <c r="E454" s="11" t="s">
        <v>142</v>
      </c>
      <c r="F454" s="11" t="s">
        <v>424</v>
      </c>
      <c r="G454" s="11" t="s">
        <v>356</v>
      </c>
      <c r="H454" s="11" t="s">
        <v>357</v>
      </c>
      <c r="I454" s="11" t="s">
        <v>1519</v>
      </c>
    </row>
    <row r="455" spans="1:9" ht="19.95" customHeight="1" x14ac:dyDescent="0.3">
      <c r="A455" s="23">
        <v>46274.774744456023</v>
      </c>
      <c r="B455" s="16" t="s">
        <v>440</v>
      </c>
      <c r="C455" s="14" t="s">
        <v>1250</v>
      </c>
      <c r="D455" s="14" t="s">
        <v>1520</v>
      </c>
      <c r="E455" s="14" t="s">
        <v>142</v>
      </c>
      <c r="F455" s="14" t="s">
        <v>424</v>
      </c>
      <c r="G455" s="14" t="s">
        <v>356</v>
      </c>
      <c r="H455" s="14" t="s">
        <v>357</v>
      </c>
      <c r="I455" s="14" t="s">
        <v>38</v>
      </c>
    </row>
    <row r="456" spans="1:9" ht="19.95" customHeight="1" x14ac:dyDescent="0.3">
      <c r="A456" s="21">
        <v>46274.774744351853</v>
      </c>
      <c r="B456" s="13" t="s">
        <v>440</v>
      </c>
      <c r="C456" s="11" t="s">
        <v>1250</v>
      </c>
      <c r="D456" s="11" t="s">
        <v>1521</v>
      </c>
      <c r="E456" s="11" t="s">
        <v>142</v>
      </c>
      <c r="F456" s="11" t="s">
        <v>424</v>
      </c>
      <c r="G456" s="11" t="s">
        <v>356</v>
      </c>
      <c r="H456" s="11" t="s">
        <v>357</v>
      </c>
      <c r="I456" s="11" t="s">
        <v>38</v>
      </c>
    </row>
    <row r="457" spans="1:9" ht="19.95" customHeight="1" x14ac:dyDescent="0.3">
      <c r="A457" s="23">
        <v>46274.774744236107</v>
      </c>
      <c r="B457" s="16" t="s">
        <v>440</v>
      </c>
      <c r="C457" s="14" t="s">
        <v>1250</v>
      </c>
      <c r="D457" s="14" t="s">
        <v>1522</v>
      </c>
      <c r="E457" s="14" t="s">
        <v>142</v>
      </c>
      <c r="F457" s="14" t="s">
        <v>424</v>
      </c>
      <c r="G457" s="14" t="s">
        <v>356</v>
      </c>
      <c r="H457" s="14" t="s">
        <v>357</v>
      </c>
      <c r="I457" s="14" t="s">
        <v>38</v>
      </c>
    </row>
    <row r="458" spans="1:9" ht="19.95" customHeight="1" x14ac:dyDescent="0.3">
      <c r="A458" s="21">
        <v>46274.774744131937</v>
      </c>
      <c r="B458" s="13" t="s">
        <v>440</v>
      </c>
      <c r="C458" s="11" t="s">
        <v>1250</v>
      </c>
      <c r="D458" s="11" t="s">
        <v>1523</v>
      </c>
      <c r="E458" s="11" t="s">
        <v>142</v>
      </c>
      <c r="F458" s="11" t="s">
        <v>424</v>
      </c>
      <c r="G458" s="11" t="s">
        <v>356</v>
      </c>
      <c r="H458" s="11" t="s">
        <v>357</v>
      </c>
      <c r="I458" s="11" t="s">
        <v>38</v>
      </c>
    </row>
    <row r="459" spans="1:9" ht="19.95" customHeight="1" x14ac:dyDescent="0.3">
      <c r="A459" s="23">
        <v>46274.77474400463</v>
      </c>
      <c r="B459" s="16" t="s">
        <v>440</v>
      </c>
      <c r="C459" s="14" t="s">
        <v>1250</v>
      </c>
      <c r="D459" s="14" t="s">
        <v>1524</v>
      </c>
      <c r="E459" s="14" t="s">
        <v>142</v>
      </c>
      <c r="F459" s="14" t="s">
        <v>380</v>
      </c>
      <c r="G459" s="14" t="s">
        <v>147</v>
      </c>
      <c r="H459" s="14" t="s">
        <v>381</v>
      </c>
      <c r="I459" s="14" t="s">
        <v>1525</v>
      </c>
    </row>
    <row r="460" spans="1:9" ht="19.95" customHeight="1" x14ac:dyDescent="0.3">
      <c r="A460" s="21">
        <v>46274.774743865739</v>
      </c>
      <c r="B460" s="13" t="s">
        <v>440</v>
      </c>
      <c r="C460" s="11" t="s">
        <v>1250</v>
      </c>
      <c r="D460" s="11" t="s">
        <v>1526</v>
      </c>
      <c r="E460" s="11" t="s">
        <v>142</v>
      </c>
      <c r="F460" s="11" t="s">
        <v>355</v>
      </c>
      <c r="G460" s="11" t="s">
        <v>356</v>
      </c>
      <c r="H460" s="11" t="s">
        <v>357</v>
      </c>
      <c r="I460" s="11" t="s">
        <v>38</v>
      </c>
    </row>
    <row r="461" spans="1:9" ht="19.95" customHeight="1" x14ac:dyDescent="0.3">
      <c r="A461" s="23">
        <v>46274.774743726863</v>
      </c>
      <c r="B461" s="16" t="s">
        <v>440</v>
      </c>
      <c r="C461" s="14" t="s">
        <v>1250</v>
      </c>
      <c r="D461" s="14" t="s">
        <v>1527</v>
      </c>
      <c r="E461" s="14" t="s">
        <v>142</v>
      </c>
      <c r="F461" s="14" t="s">
        <v>355</v>
      </c>
      <c r="G461" s="14" t="s">
        <v>356</v>
      </c>
      <c r="H461" s="14" t="s">
        <v>357</v>
      </c>
      <c r="I461" s="14" t="s">
        <v>1528</v>
      </c>
    </row>
    <row r="462" spans="1:9" ht="19.95" customHeight="1" x14ac:dyDescent="0.3">
      <c r="A462" s="21">
        <v>46274.774743611109</v>
      </c>
      <c r="B462" s="13" t="s">
        <v>440</v>
      </c>
      <c r="C462" s="11" t="s">
        <v>1250</v>
      </c>
      <c r="D462" s="11" t="s">
        <v>1354</v>
      </c>
      <c r="E462" s="11" t="s">
        <v>142</v>
      </c>
      <c r="F462" s="11" t="s">
        <v>446</v>
      </c>
      <c r="G462" s="11" t="s">
        <v>356</v>
      </c>
      <c r="H462" s="11" t="s">
        <v>357</v>
      </c>
      <c r="I462" s="11" t="s">
        <v>1529</v>
      </c>
    </row>
    <row r="463" spans="1:9" ht="19.95" customHeight="1" x14ac:dyDescent="0.3">
      <c r="A463" s="23">
        <v>46274.774743518523</v>
      </c>
      <c r="B463" s="16" t="s">
        <v>440</v>
      </c>
      <c r="C463" s="14" t="s">
        <v>1250</v>
      </c>
      <c r="D463" s="14" t="s">
        <v>1530</v>
      </c>
      <c r="E463" s="14" t="s">
        <v>142</v>
      </c>
      <c r="F463" s="14" t="s">
        <v>424</v>
      </c>
      <c r="G463" s="14" t="s">
        <v>356</v>
      </c>
      <c r="H463" s="14" t="s">
        <v>357</v>
      </c>
      <c r="I463" s="14" t="s">
        <v>421</v>
      </c>
    </row>
    <row r="464" spans="1:9" ht="19.95" customHeight="1" x14ac:dyDescent="0.3">
      <c r="A464" s="21">
        <v>46274.774743414353</v>
      </c>
      <c r="B464" s="13" t="s">
        <v>440</v>
      </c>
      <c r="C464" s="11" t="s">
        <v>1250</v>
      </c>
      <c r="D464" s="11" t="s">
        <v>1531</v>
      </c>
      <c r="E464" s="11" t="s">
        <v>142</v>
      </c>
      <c r="F464" s="11" t="s">
        <v>424</v>
      </c>
      <c r="G464" s="11" t="s">
        <v>356</v>
      </c>
      <c r="H464" s="11" t="s">
        <v>357</v>
      </c>
      <c r="I464" s="11" t="s">
        <v>38</v>
      </c>
    </row>
    <row r="465" spans="1:9" ht="19.95" customHeight="1" x14ac:dyDescent="0.3">
      <c r="A465" s="23">
        <v>46274.774743321759</v>
      </c>
      <c r="B465" s="16" t="s">
        <v>440</v>
      </c>
      <c r="C465" s="14" t="s">
        <v>1250</v>
      </c>
      <c r="D465" s="14" t="s">
        <v>1532</v>
      </c>
      <c r="E465" s="14" t="s">
        <v>142</v>
      </c>
      <c r="F465" s="14" t="s">
        <v>424</v>
      </c>
      <c r="G465" s="14" t="s">
        <v>356</v>
      </c>
      <c r="H465" s="14" t="s">
        <v>357</v>
      </c>
      <c r="I465" s="14" t="s">
        <v>38</v>
      </c>
    </row>
    <row r="466" spans="1:9" ht="19.95" customHeight="1" x14ac:dyDescent="0.3">
      <c r="A466" s="21">
        <v>46274.774743229173</v>
      </c>
      <c r="B466" s="13" t="s">
        <v>440</v>
      </c>
      <c r="C466" s="11" t="s">
        <v>1250</v>
      </c>
      <c r="D466" s="11" t="s">
        <v>1533</v>
      </c>
      <c r="E466" s="11" t="s">
        <v>142</v>
      </c>
      <c r="F466" s="11" t="s">
        <v>424</v>
      </c>
      <c r="G466" s="11" t="s">
        <v>356</v>
      </c>
      <c r="H466" s="11" t="s">
        <v>357</v>
      </c>
      <c r="I466" s="11" t="s">
        <v>38</v>
      </c>
    </row>
    <row r="467" spans="1:9" ht="19.95" customHeight="1" x14ac:dyDescent="0.3">
      <c r="A467" s="23">
        <v>46274.774743136571</v>
      </c>
      <c r="B467" s="16" t="s">
        <v>440</v>
      </c>
      <c r="C467" s="14" t="s">
        <v>1250</v>
      </c>
      <c r="D467" s="14" t="s">
        <v>1534</v>
      </c>
      <c r="E467" s="14" t="s">
        <v>142</v>
      </c>
      <c r="F467" s="14" t="s">
        <v>424</v>
      </c>
      <c r="G467" s="14" t="s">
        <v>356</v>
      </c>
      <c r="H467" s="14" t="s">
        <v>357</v>
      </c>
      <c r="I467" s="14" t="s">
        <v>38</v>
      </c>
    </row>
    <row r="468" spans="1:9" ht="19.95" customHeight="1" x14ac:dyDescent="0.3">
      <c r="A468" s="21">
        <v>46274.774743020833</v>
      </c>
      <c r="B468" s="13" t="s">
        <v>440</v>
      </c>
      <c r="C468" s="11" t="s">
        <v>1250</v>
      </c>
      <c r="D468" s="11" t="s">
        <v>1535</v>
      </c>
      <c r="E468" s="11" t="s">
        <v>145</v>
      </c>
      <c r="F468" s="11" t="s">
        <v>355</v>
      </c>
      <c r="G468" s="11" t="s">
        <v>356</v>
      </c>
      <c r="H468" s="11" t="s">
        <v>357</v>
      </c>
      <c r="I468" s="11" t="s">
        <v>38</v>
      </c>
    </row>
    <row r="469" spans="1:9" ht="19.95" customHeight="1" x14ac:dyDescent="0.3">
      <c r="A469" s="23">
        <v>46274.774742893518</v>
      </c>
      <c r="B469" s="16" t="s">
        <v>440</v>
      </c>
      <c r="C469" s="14" t="s">
        <v>1250</v>
      </c>
      <c r="D469" s="14" t="s">
        <v>1251</v>
      </c>
      <c r="E469" s="14" t="s">
        <v>361</v>
      </c>
      <c r="F469" s="14" t="s">
        <v>380</v>
      </c>
      <c r="G469" s="14" t="s">
        <v>150</v>
      </c>
      <c r="H469" s="14" t="s">
        <v>381</v>
      </c>
      <c r="I469" s="14" t="s">
        <v>1536</v>
      </c>
    </row>
    <row r="470" spans="1:9" ht="19.95" customHeight="1" x14ac:dyDescent="0.3">
      <c r="A470" s="21">
        <v>46274.774742638889</v>
      </c>
      <c r="B470" s="13" t="s">
        <v>440</v>
      </c>
      <c r="C470" s="11" t="s">
        <v>1250</v>
      </c>
      <c r="D470" s="11" t="s">
        <v>1255</v>
      </c>
      <c r="E470" s="11" t="s">
        <v>361</v>
      </c>
      <c r="F470" s="11" t="s">
        <v>424</v>
      </c>
      <c r="G470" s="11" t="s">
        <v>150</v>
      </c>
      <c r="H470" s="11" t="s">
        <v>1256</v>
      </c>
      <c r="I470" s="11" t="s">
        <v>1537</v>
      </c>
    </row>
    <row r="471" spans="1:9" ht="19.95" customHeight="1" x14ac:dyDescent="0.3">
      <c r="A471" s="23">
        <v>46274.774742465277</v>
      </c>
      <c r="B471" s="16" t="s">
        <v>440</v>
      </c>
      <c r="C471" s="14" t="s">
        <v>1250</v>
      </c>
      <c r="D471" s="14" t="s">
        <v>1538</v>
      </c>
      <c r="E471" s="14" t="s">
        <v>142</v>
      </c>
      <c r="F471" s="14" t="s">
        <v>424</v>
      </c>
      <c r="G471" s="14" t="s">
        <v>356</v>
      </c>
      <c r="H471" s="14" t="s">
        <v>357</v>
      </c>
      <c r="I471" s="14" t="s">
        <v>38</v>
      </c>
    </row>
    <row r="472" spans="1:9" ht="19.95" customHeight="1" x14ac:dyDescent="0.3">
      <c r="A472" s="21">
        <v>46274.774742245369</v>
      </c>
      <c r="B472" s="13" t="s">
        <v>440</v>
      </c>
      <c r="C472" s="11" t="s">
        <v>1250</v>
      </c>
      <c r="D472" s="11" t="s">
        <v>1539</v>
      </c>
      <c r="E472" s="11" t="s">
        <v>142</v>
      </c>
      <c r="F472" s="11" t="s">
        <v>424</v>
      </c>
      <c r="G472" s="11" t="s">
        <v>356</v>
      </c>
      <c r="H472" s="11" t="s">
        <v>357</v>
      </c>
      <c r="I472" s="11" t="s">
        <v>38</v>
      </c>
    </row>
    <row r="473" spans="1:9" ht="19.95" customHeight="1" x14ac:dyDescent="0.3">
      <c r="A473" s="23">
        <v>46274.77474212963</v>
      </c>
      <c r="B473" s="16" t="s">
        <v>440</v>
      </c>
      <c r="C473" s="14" t="s">
        <v>1250</v>
      </c>
      <c r="D473" s="14" t="s">
        <v>1540</v>
      </c>
      <c r="E473" s="14" t="s">
        <v>142</v>
      </c>
      <c r="F473" s="14" t="s">
        <v>424</v>
      </c>
      <c r="G473" s="14" t="s">
        <v>356</v>
      </c>
      <c r="H473" s="14" t="s">
        <v>357</v>
      </c>
      <c r="I473" s="14" t="s">
        <v>38</v>
      </c>
    </row>
    <row r="474" spans="1:9" ht="19.95" customHeight="1" x14ac:dyDescent="0.3">
      <c r="A474" s="21">
        <v>46274.774712754632</v>
      </c>
      <c r="B474" s="13" t="s">
        <v>440</v>
      </c>
      <c r="C474" s="11" t="s">
        <v>1250</v>
      </c>
      <c r="D474" s="11" t="s">
        <v>1541</v>
      </c>
      <c r="E474" s="11" t="s">
        <v>142</v>
      </c>
      <c r="F474" s="11" t="s">
        <v>424</v>
      </c>
      <c r="G474" s="11" t="s">
        <v>356</v>
      </c>
      <c r="H474" s="11" t="s">
        <v>357</v>
      </c>
      <c r="I474" s="11" t="s">
        <v>38</v>
      </c>
    </row>
    <row r="475" spans="1:9" ht="19.95" customHeight="1" x14ac:dyDescent="0.3">
      <c r="A475" s="23">
        <v>46274.774712638893</v>
      </c>
      <c r="B475" s="16" t="s">
        <v>440</v>
      </c>
      <c r="C475" s="14" t="s">
        <v>1250</v>
      </c>
      <c r="D475" s="14" t="s">
        <v>1253</v>
      </c>
      <c r="E475" s="14" t="s">
        <v>361</v>
      </c>
      <c r="F475" s="14" t="s">
        <v>380</v>
      </c>
      <c r="G475" s="14" t="s">
        <v>150</v>
      </c>
      <c r="H475" s="14" t="s">
        <v>381</v>
      </c>
      <c r="I475" s="14" t="s">
        <v>1542</v>
      </c>
    </row>
    <row r="476" spans="1:9" ht="19.95" customHeight="1" x14ac:dyDescent="0.3">
      <c r="A476" s="21">
        <v>46274.774712523147</v>
      </c>
      <c r="B476" s="13" t="s">
        <v>440</v>
      </c>
      <c r="C476" s="11" t="s">
        <v>1250</v>
      </c>
      <c r="D476" s="11" t="s">
        <v>1543</v>
      </c>
      <c r="E476" s="11" t="s">
        <v>142</v>
      </c>
      <c r="F476" s="11" t="s">
        <v>424</v>
      </c>
      <c r="G476" s="11" t="s">
        <v>356</v>
      </c>
      <c r="H476" s="11" t="s">
        <v>357</v>
      </c>
      <c r="I476" s="11" t="s">
        <v>38</v>
      </c>
    </row>
    <row r="477" spans="1:9" ht="19.95" customHeight="1" x14ac:dyDescent="0.3">
      <c r="A477" s="23">
        <v>46274.774712418977</v>
      </c>
      <c r="B477" s="16" t="s">
        <v>440</v>
      </c>
      <c r="C477" s="14" t="s">
        <v>1250</v>
      </c>
      <c r="D477" s="14" t="s">
        <v>1544</v>
      </c>
      <c r="E477" s="14" t="s">
        <v>142</v>
      </c>
      <c r="F477" s="14" t="s">
        <v>424</v>
      </c>
      <c r="G477" s="14" t="s">
        <v>356</v>
      </c>
      <c r="H477" s="14" t="s">
        <v>357</v>
      </c>
      <c r="I477" s="14" t="s">
        <v>1545</v>
      </c>
    </row>
    <row r="478" spans="1:9" ht="19.95" customHeight="1" x14ac:dyDescent="0.3">
      <c r="A478" s="21">
        <v>46274.774712314807</v>
      </c>
      <c r="B478" s="13" t="s">
        <v>440</v>
      </c>
      <c r="C478" s="11" t="s">
        <v>1250</v>
      </c>
      <c r="D478" s="11" t="s">
        <v>1546</v>
      </c>
      <c r="E478" s="11" t="s">
        <v>142</v>
      </c>
      <c r="F478" s="11" t="s">
        <v>424</v>
      </c>
      <c r="G478" s="11" t="s">
        <v>356</v>
      </c>
      <c r="H478" s="11" t="s">
        <v>357</v>
      </c>
      <c r="I478" s="11" t="s">
        <v>38</v>
      </c>
    </row>
    <row r="479" spans="1:9" ht="19.95" customHeight="1" x14ac:dyDescent="0.3">
      <c r="A479" s="23">
        <v>46274.774712210638</v>
      </c>
      <c r="B479" s="16" t="s">
        <v>440</v>
      </c>
      <c r="C479" s="14" t="s">
        <v>1250</v>
      </c>
      <c r="D479" s="14" t="s">
        <v>1547</v>
      </c>
      <c r="E479" s="14" t="s">
        <v>142</v>
      </c>
      <c r="F479" s="14" t="s">
        <v>424</v>
      </c>
      <c r="G479" s="14" t="s">
        <v>356</v>
      </c>
      <c r="H479" s="14" t="s">
        <v>357</v>
      </c>
      <c r="I479" s="14" t="s">
        <v>38</v>
      </c>
    </row>
    <row r="480" spans="1:9" ht="19.95" customHeight="1" x14ac:dyDescent="0.3">
      <c r="A480" s="21">
        <v>46274.774711979167</v>
      </c>
      <c r="B480" s="13" t="s">
        <v>440</v>
      </c>
      <c r="C480" s="11" t="s">
        <v>1250</v>
      </c>
      <c r="D480" s="11" t="s">
        <v>1548</v>
      </c>
      <c r="E480" s="11" t="s">
        <v>142</v>
      </c>
      <c r="F480" s="11" t="s">
        <v>424</v>
      </c>
      <c r="G480" s="11" t="s">
        <v>356</v>
      </c>
      <c r="H480" s="11" t="s">
        <v>357</v>
      </c>
      <c r="I480" s="11" t="s">
        <v>38</v>
      </c>
    </row>
    <row r="481" spans="1:9" ht="19.95" customHeight="1" x14ac:dyDescent="0.3">
      <c r="A481" s="23">
        <v>46274.774706111108</v>
      </c>
      <c r="B481" s="16" t="s">
        <v>440</v>
      </c>
      <c r="C481" s="14" t="s">
        <v>1250</v>
      </c>
      <c r="D481" s="14" t="s">
        <v>1549</v>
      </c>
      <c r="E481" s="14" t="s">
        <v>142</v>
      </c>
      <c r="F481" s="14" t="s">
        <v>424</v>
      </c>
      <c r="G481" s="14" t="s">
        <v>356</v>
      </c>
      <c r="H481" s="14" t="s">
        <v>357</v>
      </c>
      <c r="I481" s="14" t="s">
        <v>38</v>
      </c>
    </row>
    <row r="482" spans="1:9" ht="19.95" customHeight="1" x14ac:dyDescent="0.3">
      <c r="A482" s="21">
        <v>46274.774705937503</v>
      </c>
      <c r="B482" s="13" t="s">
        <v>440</v>
      </c>
      <c r="C482" s="11" t="s">
        <v>1250</v>
      </c>
      <c r="D482" s="11" t="s">
        <v>1550</v>
      </c>
      <c r="E482" s="11" t="s">
        <v>142</v>
      </c>
      <c r="F482" s="11" t="s">
        <v>355</v>
      </c>
      <c r="G482" s="11" t="s">
        <v>356</v>
      </c>
      <c r="H482" s="11" t="s">
        <v>357</v>
      </c>
      <c r="I482" s="11" t="s">
        <v>38</v>
      </c>
    </row>
    <row r="483" spans="1:9" ht="19.95" customHeight="1" x14ac:dyDescent="0.3">
      <c r="A483" s="23">
        <v>46274.774705810189</v>
      </c>
      <c r="B483" s="16" t="s">
        <v>440</v>
      </c>
      <c r="C483" s="14" t="s">
        <v>1250</v>
      </c>
      <c r="D483" s="14" t="s">
        <v>1551</v>
      </c>
      <c r="E483" s="14" t="s">
        <v>142</v>
      </c>
      <c r="F483" s="14" t="s">
        <v>355</v>
      </c>
      <c r="G483" s="14" t="s">
        <v>356</v>
      </c>
      <c r="H483" s="14" t="s">
        <v>357</v>
      </c>
      <c r="I483" s="14" t="s">
        <v>38</v>
      </c>
    </row>
    <row r="484" spans="1:9" ht="19.95" customHeight="1" x14ac:dyDescent="0.3">
      <c r="A484" s="21">
        <v>46274.774705648153</v>
      </c>
      <c r="B484" s="13" t="s">
        <v>440</v>
      </c>
      <c r="C484" s="11" t="s">
        <v>1250</v>
      </c>
      <c r="D484" s="11" t="s">
        <v>1552</v>
      </c>
      <c r="E484" s="11" t="s">
        <v>145</v>
      </c>
      <c r="F484" s="11" t="s">
        <v>355</v>
      </c>
      <c r="G484" s="11" t="s">
        <v>356</v>
      </c>
      <c r="H484" s="11" t="s">
        <v>357</v>
      </c>
      <c r="I484" s="11" t="s">
        <v>38</v>
      </c>
    </row>
    <row r="485" spans="1:9" ht="19.95" customHeight="1" x14ac:dyDescent="0.3">
      <c r="A485" s="23">
        <v>46274.774705543983</v>
      </c>
      <c r="B485" s="16" t="s">
        <v>440</v>
      </c>
      <c r="C485" s="14" t="s">
        <v>1250</v>
      </c>
      <c r="D485" s="14" t="s">
        <v>1553</v>
      </c>
      <c r="E485" s="14" t="s">
        <v>142</v>
      </c>
      <c r="F485" s="14" t="s">
        <v>355</v>
      </c>
      <c r="G485" s="14" t="s">
        <v>356</v>
      </c>
      <c r="H485" s="14" t="s">
        <v>357</v>
      </c>
      <c r="I485" s="14" t="s">
        <v>38</v>
      </c>
    </row>
    <row r="486" spans="1:9" ht="19.95" customHeight="1" x14ac:dyDescent="0.3">
      <c r="A486" s="21">
        <v>46274.774705370372</v>
      </c>
      <c r="B486" s="13" t="s">
        <v>440</v>
      </c>
      <c r="C486" s="11" t="s">
        <v>1250</v>
      </c>
      <c r="D486" s="11" t="s">
        <v>1554</v>
      </c>
      <c r="E486" s="11" t="s">
        <v>142</v>
      </c>
      <c r="F486" s="11" t="s">
        <v>355</v>
      </c>
      <c r="G486" s="11" t="s">
        <v>356</v>
      </c>
      <c r="H486" s="11" t="s">
        <v>357</v>
      </c>
      <c r="I486" s="11" t="s">
        <v>38</v>
      </c>
    </row>
    <row r="487" spans="1:9" ht="19.95" customHeight="1" x14ac:dyDescent="0.3">
      <c r="A487" s="23">
        <v>46274.774705266202</v>
      </c>
      <c r="B487" s="16" t="s">
        <v>440</v>
      </c>
      <c r="C487" s="14" t="s">
        <v>1250</v>
      </c>
      <c r="D487" s="14" t="s">
        <v>1349</v>
      </c>
      <c r="E487" s="14" t="s">
        <v>142</v>
      </c>
      <c r="F487" s="14" t="s">
        <v>446</v>
      </c>
      <c r="G487" s="14" t="s">
        <v>356</v>
      </c>
      <c r="H487" s="14" t="s">
        <v>357</v>
      </c>
      <c r="I487" s="14" t="s">
        <v>1467</v>
      </c>
    </row>
    <row r="488" spans="1:9" ht="19.95" customHeight="1" x14ac:dyDescent="0.3">
      <c r="A488" s="21">
        <v>46274.774705162039</v>
      </c>
      <c r="B488" s="13" t="s">
        <v>440</v>
      </c>
      <c r="C488" s="11" t="s">
        <v>1250</v>
      </c>
      <c r="D488" s="11" t="s">
        <v>1555</v>
      </c>
      <c r="E488" s="11" t="s">
        <v>142</v>
      </c>
      <c r="F488" s="11" t="s">
        <v>355</v>
      </c>
      <c r="G488" s="11" t="s">
        <v>356</v>
      </c>
      <c r="H488" s="11" t="s">
        <v>357</v>
      </c>
      <c r="I488" s="11" t="s">
        <v>38</v>
      </c>
    </row>
    <row r="489" spans="1:9" ht="19.95" customHeight="1" x14ac:dyDescent="0.3">
      <c r="A489" s="23">
        <v>46274.774705057869</v>
      </c>
      <c r="B489" s="16" t="s">
        <v>440</v>
      </c>
      <c r="C489" s="14" t="s">
        <v>1250</v>
      </c>
      <c r="D489" s="14" t="s">
        <v>1556</v>
      </c>
      <c r="E489" s="14" t="s">
        <v>142</v>
      </c>
      <c r="F489" s="14" t="s">
        <v>355</v>
      </c>
      <c r="G489" s="14" t="s">
        <v>356</v>
      </c>
      <c r="H489" s="14" t="s">
        <v>357</v>
      </c>
      <c r="I489" s="14" t="s">
        <v>1557</v>
      </c>
    </row>
    <row r="490" spans="1:9" ht="19.95" customHeight="1" x14ac:dyDescent="0.3">
      <c r="A490" s="21">
        <v>46274.774704953707</v>
      </c>
      <c r="B490" s="13" t="s">
        <v>440</v>
      </c>
      <c r="C490" s="11" t="s">
        <v>1250</v>
      </c>
      <c r="D490" s="11" t="s">
        <v>1558</v>
      </c>
      <c r="E490" s="11" t="s">
        <v>145</v>
      </c>
      <c r="F490" s="11" t="s">
        <v>355</v>
      </c>
      <c r="G490" s="11" t="s">
        <v>356</v>
      </c>
      <c r="H490" s="11" t="s">
        <v>357</v>
      </c>
      <c r="I490" s="11" t="s">
        <v>1559</v>
      </c>
    </row>
    <row r="491" spans="1:9" ht="19.95" customHeight="1" x14ac:dyDescent="0.3">
      <c r="A491" s="23">
        <v>46274.774704849537</v>
      </c>
      <c r="B491" s="16" t="s">
        <v>440</v>
      </c>
      <c r="C491" s="14" t="s">
        <v>1250</v>
      </c>
      <c r="D491" s="14" t="s">
        <v>1560</v>
      </c>
      <c r="E491" s="14" t="s">
        <v>361</v>
      </c>
      <c r="F491" s="14" t="s">
        <v>432</v>
      </c>
      <c r="G491" s="14" t="s">
        <v>356</v>
      </c>
      <c r="H491" s="14" t="s">
        <v>357</v>
      </c>
      <c r="I491" s="14" t="s">
        <v>38</v>
      </c>
    </row>
    <row r="492" spans="1:9" ht="19.95" customHeight="1" x14ac:dyDescent="0.3">
      <c r="A492" s="21">
        <v>46274.774704745367</v>
      </c>
      <c r="B492" s="13" t="s">
        <v>440</v>
      </c>
      <c r="C492" s="11" t="s">
        <v>1250</v>
      </c>
      <c r="D492" s="11" t="s">
        <v>1561</v>
      </c>
      <c r="E492" s="11" t="s">
        <v>145</v>
      </c>
      <c r="F492" s="11" t="s">
        <v>355</v>
      </c>
      <c r="G492" s="11" t="s">
        <v>356</v>
      </c>
      <c r="H492" s="11" t="s">
        <v>357</v>
      </c>
      <c r="I492" s="11" t="s">
        <v>38</v>
      </c>
    </row>
    <row r="493" spans="1:9" ht="19.95" customHeight="1" x14ac:dyDescent="0.3">
      <c r="A493" s="23">
        <v>46274.774704525473</v>
      </c>
      <c r="B493" s="16" t="s">
        <v>440</v>
      </c>
      <c r="C493" s="14" t="s">
        <v>1250</v>
      </c>
      <c r="D493" s="14" t="s">
        <v>1562</v>
      </c>
      <c r="E493" s="14" t="s">
        <v>145</v>
      </c>
      <c r="F493" s="14" t="s">
        <v>355</v>
      </c>
      <c r="G493" s="14" t="s">
        <v>356</v>
      </c>
      <c r="H493" s="14" t="s">
        <v>357</v>
      </c>
      <c r="I493" s="14" t="s">
        <v>1563</v>
      </c>
    </row>
    <row r="494" spans="1:9" ht="19.95" customHeight="1" x14ac:dyDescent="0.3">
      <c r="A494" s="21">
        <v>46274.774704421303</v>
      </c>
      <c r="B494" s="13" t="s">
        <v>440</v>
      </c>
      <c r="C494" s="11" t="s">
        <v>1250</v>
      </c>
      <c r="D494" s="11" t="s">
        <v>1564</v>
      </c>
      <c r="E494" s="11" t="s">
        <v>142</v>
      </c>
      <c r="F494" s="11" t="s">
        <v>355</v>
      </c>
      <c r="G494" s="11" t="s">
        <v>356</v>
      </c>
      <c r="H494" s="11" t="s">
        <v>357</v>
      </c>
      <c r="I494" s="11" t="s">
        <v>38</v>
      </c>
    </row>
    <row r="495" spans="1:9" ht="19.95" customHeight="1" x14ac:dyDescent="0.3">
      <c r="A495" s="23">
        <v>46274.774704305557</v>
      </c>
      <c r="B495" s="16" t="s">
        <v>440</v>
      </c>
      <c r="C495" s="14" t="s">
        <v>1250</v>
      </c>
      <c r="D495" s="14" t="s">
        <v>1565</v>
      </c>
      <c r="E495" s="14" t="s">
        <v>142</v>
      </c>
      <c r="F495" s="14" t="s">
        <v>355</v>
      </c>
      <c r="G495" s="14" t="s">
        <v>356</v>
      </c>
      <c r="H495" s="14" t="s">
        <v>357</v>
      </c>
      <c r="I495" s="14" t="s">
        <v>38</v>
      </c>
    </row>
    <row r="496" spans="1:9" ht="19.95" customHeight="1" x14ac:dyDescent="0.3">
      <c r="A496" s="21">
        <v>46274.774704178242</v>
      </c>
      <c r="B496" s="13" t="s">
        <v>440</v>
      </c>
      <c r="C496" s="11" t="s">
        <v>1250</v>
      </c>
      <c r="D496" s="11" t="s">
        <v>1566</v>
      </c>
      <c r="E496" s="11" t="s">
        <v>145</v>
      </c>
      <c r="F496" s="11" t="s">
        <v>355</v>
      </c>
      <c r="G496" s="11" t="s">
        <v>356</v>
      </c>
      <c r="H496" s="11" t="s">
        <v>357</v>
      </c>
      <c r="I496" s="11" t="s">
        <v>38</v>
      </c>
    </row>
    <row r="497" spans="1:9" ht="19.95" customHeight="1" x14ac:dyDescent="0.3">
      <c r="A497" s="23">
        <v>46274.774704027783</v>
      </c>
      <c r="B497" s="16" t="s">
        <v>440</v>
      </c>
      <c r="C497" s="14" t="s">
        <v>1250</v>
      </c>
      <c r="D497" s="14" t="s">
        <v>1567</v>
      </c>
      <c r="E497" s="14" t="s">
        <v>145</v>
      </c>
      <c r="F497" s="14" t="s">
        <v>355</v>
      </c>
      <c r="G497" s="14" t="s">
        <v>356</v>
      </c>
      <c r="H497" s="14" t="s">
        <v>357</v>
      </c>
      <c r="I497" s="14" t="s">
        <v>38</v>
      </c>
    </row>
    <row r="498" spans="1:9" ht="19.95" customHeight="1" x14ac:dyDescent="0.3">
      <c r="A498" s="21">
        <v>46274.774703912037</v>
      </c>
      <c r="B498" s="13" t="s">
        <v>440</v>
      </c>
      <c r="C498" s="11" t="s">
        <v>1250</v>
      </c>
      <c r="D498" s="11" t="s">
        <v>1568</v>
      </c>
      <c r="E498" s="11" t="s">
        <v>142</v>
      </c>
      <c r="F498" s="11" t="s">
        <v>355</v>
      </c>
      <c r="G498" s="11" t="s">
        <v>356</v>
      </c>
      <c r="H498" s="11" t="s">
        <v>357</v>
      </c>
      <c r="I498" s="11" t="s">
        <v>38</v>
      </c>
    </row>
    <row r="499" spans="1:9" ht="19.95" customHeight="1" x14ac:dyDescent="0.3">
      <c r="A499" s="23">
        <v>46274.774703796298</v>
      </c>
      <c r="B499" s="16" t="s">
        <v>440</v>
      </c>
      <c r="C499" s="14" t="s">
        <v>1250</v>
      </c>
      <c r="D499" s="14" t="s">
        <v>1569</v>
      </c>
      <c r="E499" s="14" t="s">
        <v>142</v>
      </c>
      <c r="F499" s="14" t="s">
        <v>355</v>
      </c>
      <c r="G499" s="14" t="s">
        <v>356</v>
      </c>
      <c r="H499" s="14" t="s">
        <v>357</v>
      </c>
      <c r="I499" s="14" t="s">
        <v>38</v>
      </c>
    </row>
    <row r="500" spans="1:9" ht="19.95" customHeight="1" x14ac:dyDescent="0.3">
      <c r="A500" s="21">
        <v>46274.774703530093</v>
      </c>
      <c r="B500" s="13" t="s">
        <v>440</v>
      </c>
      <c r="C500" s="11" t="s">
        <v>1250</v>
      </c>
      <c r="D500" s="11" t="s">
        <v>1570</v>
      </c>
      <c r="E500" s="11" t="s">
        <v>142</v>
      </c>
      <c r="F500" s="11" t="s">
        <v>355</v>
      </c>
      <c r="G500" s="11" t="s">
        <v>356</v>
      </c>
      <c r="H500" s="11" t="s">
        <v>357</v>
      </c>
      <c r="I500" s="11" t="s">
        <v>38</v>
      </c>
    </row>
    <row r="501" spans="1:9" ht="19.95" customHeight="1" x14ac:dyDescent="0.3">
      <c r="A501" s="23">
        <v>46274.774703425923</v>
      </c>
      <c r="B501" s="16" t="s">
        <v>440</v>
      </c>
      <c r="C501" s="14" t="s">
        <v>1250</v>
      </c>
      <c r="D501" s="14" t="s">
        <v>1571</v>
      </c>
      <c r="E501" s="14" t="s">
        <v>142</v>
      </c>
      <c r="F501" s="14" t="s">
        <v>424</v>
      </c>
      <c r="G501" s="14" t="s">
        <v>356</v>
      </c>
      <c r="H501" s="14" t="s">
        <v>357</v>
      </c>
      <c r="I501" s="14" t="s">
        <v>38</v>
      </c>
    </row>
    <row r="502" spans="1:9" ht="19.95" customHeight="1" x14ac:dyDescent="0.3">
      <c r="A502" s="21">
        <v>46274.77470332176</v>
      </c>
      <c r="B502" s="13" t="s">
        <v>440</v>
      </c>
      <c r="C502" s="11" t="s">
        <v>1250</v>
      </c>
      <c r="D502" s="11" t="s">
        <v>1572</v>
      </c>
      <c r="E502" s="11" t="s">
        <v>142</v>
      </c>
      <c r="F502" s="11" t="s">
        <v>424</v>
      </c>
      <c r="G502" s="11" t="s">
        <v>356</v>
      </c>
      <c r="H502" s="11" t="s">
        <v>357</v>
      </c>
      <c r="I502" s="11" t="s">
        <v>38</v>
      </c>
    </row>
    <row r="503" spans="1:9" ht="19.95" customHeight="1" x14ac:dyDescent="0.3">
      <c r="A503" s="23">
        <v>46274.774702962961</v>
      </c>
      <c r="B503" s="16" t="s">
        <v>440</v>
      </c>
      <c r="C503" s="14" t="s">
        <v>1250</v>
      </c>
      <c r="D503" s="14" t="s">
        <v>1573</v>
      </c>
      <c r="E503" s="14" t="s">
        <v>142</v>
      </c>
      <c r="F503" s="14" t="s">
        <v>355</v>
      </c>
      <c r="G503" s="14" t="s">
        <v>356</v>
      </c>
      <c r="H503" s="14" t="s">
        <v>357</v>
      </c>
      <c r="I503" s="14" t="s">
        <v>38</v>
      </c>
    </row>
    <row r="504" spans="1:9" ht="19.95" customHeight="1" x14ac:dyDescent="0.3">
      <c r="A504" s="21">
        <v>46274.77470277778</v>
      </c>
      <c r="B504" s="13" t="s">
        <v>440</v>
      </c>
      <c r="C504" s="11" t="s">
        <v>1250</v>
      </c>
      <c r="D504" s="11" t="s">
        <v>1574</v>
      </c>
      <c r="E504" s="11" t="s">
        <v>142</v>
      </c>
      <c r="F504" s="11" t="s">
        <v>355</v>
      </c>
      <c r="G504" s="11" t="s">
        <v>356</v>
      </c>
      <c r="H504" s="11" t="s">
        <v>357</v>
      </c>
      <c r="I504" s="11" t="s">
        <v>38</v>
      </c>
    </row>
    <row r="505" spans="1:9" ht="19.95" customHeight="1" x14ac:dyDescent="0.3">
      <c r="A505" s="23">
        <v>46274.774702662027</v>
      </c>
      <c r="B505" s="16" t="s">
        <v>440</v>
      </c>
      <c r="C505" s="14" t="s">
        <v>1250</v>
      </c>
      <c r="D505" s="14" t="s">
        <v>1575</v>
      </c>
      <c r="E505" s="14" t="s">
        <v>142</v>
      </c>
      <c r="F505" s="14" t="s">
        <v>355</v>
      </c>
      <c r="G505" s="14" t="s">
        <v>356</v>
      </c>
      <c r="H505" s="14" t="s">
        <v>357</v>
      </c>
      <c r="I505" s="14" t="s">
        <v>38</v>
      </c>
    </row>
    <row r="506" spans="1:9" ht="19.95" customHeight="1" x14ac:dyDescent="0.3">
      <c r="A506" s="21">
        <v>46274.774702557872</v>
      </c>
      <c r="B506" s="13" t="s">
        <v>440</v>
      </c>
      <c r="C506" s="11" t="s">
        <v>1250</v>
      </c>
      <c r="D506" s="11" t="s">
        <v>1576</v>
      </c>
      <c r="E506" s="11" t="s">
        <v>361</v>
      </c>
      <c r="F506" s="11" t="s">
        <v>432</v>
      </c>
      <c r="G506" s="11" t="s">
        <v>356</v>
      </c>
      <c r="H506" s="11" t="s">
        <v>357</v>
      </c>
      <c r="I506" s="11" t="s">
        <v>38</v>
      </c>
    </row>
    <row r="507" spans="1:9" ht="19.95" customHeight="1" x14ac:dyDescent="0.3">
      <c r="A507" s="23">
        <v>46274.774702395844</v>
      </c>
      <c r="B507" s="16" t="s">
        <v>440</v>
      </c>
      <c r="C507" s="14" t="s">
        <v>1250</v>
      </c>
      <c r="D507" s="14" t="s">
        <v>1577</v>
      </c>
      <c r="E507" s="14" t="s">
        <v>142</v>
      </c>
      <c r="F507" s="14" t="s">
        <v>355</v>
      </c>
      <c r="G507" s="14" t="s">
        <v>356</v>
      </c>
      <c r="H507" s="14" t="s">
        <v>357</v>
      </c>
      <c r="I507" s="14" t="s">
        <v>38</v>
      </c>
    </row>
    <row r="508" spans="1:9" ht="19.95" customHeight="1" x14ac:dyDescent="0.3">
      <c r="A508" s="21">
        <v>46274.77470224537</v>
      </c>
      <c r="B508" s="13" t="s">
        <v>440</v>
      </c>
      <c r="C508" s="11" t="s">
        <v>1250</v>
      </c>
      <c r="D508" s="11" t="s">
        <v>1578</v>
      </c>
      <c r="E508" s="11" t="s">
        <v>361</v>
      </c>
      <c r="F508" s="11" t="s">
        <v>380</v>
      </c>
      <c r="G508" s="11" t="s">
        <v>150</v>
      </c>
      <c r="H508" s="11" t="s">
        <v>508</v>
      </c>
      <c r="I508" s="11" t="s">
        <v>1579</v>
      </c>
    </row>
    <row r="509" spans="1:9" ht="19.95" customHeight="1" x14ac:dyDescent="0.3">
      <c r="A509" s="23">
        <v>46274.774702083327</v>
      </c>
      <c r="B509" s="16" t="s">
        <v>440</v>
      </c>
      <c r="C509" s="14" t="s">
        <v>1250</v>
      </c>
      <c r="D509" s="14" t="s">
        <v>1580</v>
      </c>
      <c r="E509" s="14" t="s">
        <v>361</v>
      </c>
      <c r="F509" s="14" t="s">
        <v>432</v>
      </c>
      <c r="G509" s="14" t="s">
        <v>356</v>
      </c>
      <c r="H509" s="14" t="s">
        <v>357</v>
      </c>
      <c r="I509" s="14" t="s">
        <v>1581</v>
      </c>
    </row>
    <row r="510" spans="1:9" ht="19.95" customHeight="1" x14ac:dyDescent="0.3">
      <c r="A510" s="21">
        <v>46274.774701944443</v>
      </c>
      <c r="B510" s="13" t="s">
        <v>440</v>
      </c>
      <c r="C510" s="11" t="s">
        <v>1250</v>
      </c>
      <c r="D510" s="11" t="s">
        <v>1582</v>
      </c>
      <c r="E510" s="11" t="s">
        <v>142</v>
      </c>
      <c r="F510" s="11" t="s">
        <v>355</v>
      </c>
      <c r="G510" s="11" t="s">
        <v>356</v>
      </c>
      <c r="H510" s="11" t="s">
        <v>357</v>
      </c>
      <c r="I510" s="11" t="s">
        <v>38</v>
      </c>
    </row>
    <row r="511" spans="1:9" ht="19.95" customHeight="1" x14ac:dyDescent="0.3">
      <c r="A511" s="23">
        <v>46274.774701840281</v>
      </c>
      <c r="B511" s="16" t="s">
        <v>440</v>
      </c>
      <c r="C511" s="14" t="s">
        <v>1250</v>
      </c>
      <c r="D511" s="14" t="s">
        <v>1583</v>
      </c>
      <c r="E511" s="14" t="s">
        <v>145</v>
      </c>
      <c r="F511" s="14" t="s">
        <v>355</v>
      </c>
      <c r="G511" s="14" t="s">
        <v>356</v>
      </c>
      <c r="H511" s="14" t="s">
        <v>357</v>
      </c>
      <c r="I511" s="14" t="s">
        <v>38</v>
      </c>
    </row>
    <row r="512" spans="1:9" ht="19.95" customHeight="1" x14ac:dyDescent="0.3">
      <c r="A512" s="21">
        <v>46274.774701736111</v>
      </c>
      <c r="B512" s="13" t="s">
        <v>440</v>
      </c>
      <c r="C512" s="11" t="s">
        <v>1250</v>
      </c>
      <c r="D512" s="11" t="s">
        <v>1584</v>
      </c>
      <c r="E512" s="11" t="s">
        <v>145</v>
      </c>
      <c r="F512" s="11" t="s">
        <v>355</v>
      </c>
      <c r="G512" s="11" t="s">
        <v>356</v>
      </c>
      <c r="H512" s="11" t="s">
        <v>357</v>
      </c>
      <c r="I512" s="11" t="s">
        <v>38</v>
      </c>
    </row>
    <row r="513" spans="1:9" ht="19.95" customHeight="1" x14ac:dyDescent="0.3">
      <c r="A513" s="23">
        <v>46274.774701493057</v>
      </c>
      <c r="B513" s="16" t="s">
        <v>440</v>
      </c>
      <c r="C513" s="14" t="s">
        <v>1250</v>
      </c>
      <c r="D513" s="14" t="s">
        <v>1585</v>
      </c>
      <c r="E513" s="14" t="s">
        <v>142</v>
      </c>
      <c r="F513" s="14" t="s">
        <v>355</v>
      </c>
      <c r="G513" s="14" t="s">
        <v>356</v>
      </c>
      <c r="H513" s="14" t="s">
        <v>357</v>
      </c>
      <c r="I513" s="14" t="s">
        <v>38</v>
      </c>
    </row>
    <row r="514" spans="1:9" ht="19.95" customHeight="1" x14ac:dyDescent="0.3">
      <c r="A514" s="21">
        <v>46274.774701377311</v>
      </c>
      <c r="B514" s="13" t="s">
        <v>440</v>
      </c>
      <c r="C514" s="11" t="s">
        <v>1250</v>
      </c>
      <c r="D514" s="11" t="s">
        <v>1586</v>
      </c>
      <c r="E514" s="11" t="s">
        <v>361</v>
      </c>
      <c r="F514" s="11" t="s">
        <v>432</v>
      </c>
      <c r="G514" s="11" t="s">
        <v>356</v>
      </c>
      <c r="H514" s="11" t="s">
        <v>357</v>
      </c>
      <c r="I514" s="11" t="s">
        <v>38</v>
      </c>
    </row>
    <row r="515" spans="1:9" ht="19.95" customHeight="1" x14ac:dyDescent="0.3">
      <c r="A515" s="23">
        <v>46274.774701249997</v>
      </c>
      <c r="B515" s="16" t="s">
        <v>440</v>
      </c>
      <c r="C515" s="14" t="s">
        <v>1250</v>
      </c>
      <c r="D515" s="14" t="s">
        <v>1587</v>
      </c>
      <c r="E515" s="14" t="s">
        <v>145</v>
      </c>
      <c r="F515" s="14" t="s">
        <v>355</v>
      </c>
      <c r="G515" s="14" t="s">
        <v>356</v>
      </c>
      <c r="H515" s="14" t="s">
        <v>357</v>
      </c>
      <c r="I515" s="14" t="s">
        <v>38</v>
      </c>
    </row>
    <row r="516" spans="1:9" ht="19.95" customHeight="1" x14ac:dyDescent="0.3">
      <c r="A516" s="21">
        <v>46274.774700983799</v>
      </c>
      <c r="B516" s="13" t="s">
        <v>440</v>
      </c>
      <c r="C516" s="11" t="s">
        <v>1250</v>
      </c>
      <c r="D516" s="11" t="s">
        <v>1588</v>
      </c>
      <c r="E516" s="11" t="s">
        <v>361</v>
      </c>
      <c r="F516" s="11" t="s">
        <v>432</v>
      </c>
      <c r="G516" s="11" t="s">
        <v>356</v>
      </c>
      <c r="H516" s="11" t="s">
        <v>357</v>
      </c>
      <c r="I516" s="11" t="s">
        <v>38</v>
      </c>
    </row>
    <row r="517" spans="1:9" ht="19.95" customHeight="1" x14ac:dyDescent="0.3">
      <c r="A517" s="23">
        <v>46274.774700833332</v>
      </c>
      <c r="B517" s="16" t="s">
        <v>440</v>
      </c>
      <c r="C517" s="14" t="s">
        <v>1250</v>
      </c>
      <c r="D517" s="14" t="s">
        <v>1589</v>
      </c>
      <c r="E517" s="14" t="s">
        <v>361</v>
      </c>
      <c r="F517" s="14" t="s">
        <v>432</v>
      </c>
      <c r="G517" s="14" t="s">
        <v>356</v>
      </c>
      <c r="H517" s="14" t="s">
        <v>357</v>
      </c>
      <c r="I517" s="14" t="s">
        <v>38</v>
      </c>
    </row>
    <row r="518" spans="1:9" ht="19.95" customHeight="1" x14ac:dyDescent="0.3">
      <c r="A518" s="21">
        <v>46274.774700613423</v>
      </c>
      <c r="B518" s="13" t="s">
        <v>440</v>
      </c>
      <c r="C518" s="11" t="s">
        <v>1250</v>
      </c>
      <c r="D518" s="11" t="s">
        <v>1590</v>
      </c>
      <c r="E518" s="11" t="s">
        <v>145</v>
      </c>
      <c r="F518" s="11" t="s">
        <v>355</v>
      </c>
      <c r="G518" s="11" t="s">
        <v>356</v>
      </c>
      <c r="H518" s="11" t="s">
        <v>357</v>
      </c>
      <c r="I518" s="11" t="s">
        <v>38</v>
      </c>
    </row>
    <row r="519" spans="1:9" ht="19.95" customHeight="1" x14ac:dyDescent="0.3">
      <c r="A519" s="23">
        <v>46274.774700324073</v>
      </c>
      <c r="B519" s="16" t="s">
        <v>440</v>
      </c>
      <c r="C519" s="14" t="s">
        <v>1250</v>
      </c>
      <c r="D519" s="14" t="s">
        <v>1591</v>
      </c>
      <c r="E519" s="14" t="s">
        <v>142</v>
      </c>
      <c r="F519" s="14" t="s">
        <v>355</v>
      </c>
      <c r="G519" s="14" t="s">
        <v>356</v>
      </c>
      <c r="H519" s="14" t="s">
        <v>357</v>
      </c>
      <c r="I519" s="14" t="s">
        <v>38</v>
      </c>
    </row>
    <row r="520" spans="1:9" ht="19.95" customHeight="1" x14ac:dyDescent="0.3">
      <c r="A520" s="21">
        <v>46274.774700196758</v>
      </c>
      <c r="B520" s="13" t="s">
        <v>440</v>
      </c>
      <c r="C520" s="11" t="s">
        <v>1250</v>
      </c>
      <c r="D520" s="11" t="s">
        <v>1592</v>
      </c>
      <c r="E520" s="11" t="s">
        <v>145</v>
      </c>
      <c r="F520" s="11" t="s">
        <v>355</v>
      </c>
      <c r="G520" s="11" t="s">
        <v>356</v>
      </c>
      <c r="H520" s="11" t="s">
        <v>357</v>
      </c>
      <c r="I520" s="11" t="s">
        <v>38</v>
      </c>
    </row>
    <row r="521" spans="1:9" ht="19.95" customHeight="1" x14ac:dyDescent="0.3">
      <c r="A521" s="23">
        <v>46274.77470008102</v>
      </c>
      <c r="B521" s="16" t="s">
        <v>440</v>
      </c>
      <c r="C521" s="14" t="s">
        <v>1250</v>
      </c>
      <c r="D521" s="14" t="s">
        <v>1593</v>
      </c>
      <c r="E521" s="14" t="s">
        <v>142</v>
      </c>
      <c r="F521" s="14" t="s">
        <v>355</v>
      </c>
      <c r="G521" s="14" t="s">
        <v>356</v>
      </c>
      <c r="H521" s="14" t="s">
        <v>357</v>
      </c>
      <c r="I521" s="14" t="s">
        <v>38</v>
      </c>
    </row>
    <row r="522" spans="1:9" ht="19.95" customHeight="1" x14ac:dyDescent="0.3">
      <c r="A522" s="21">
        <v>46274.774699953698</v>
      </c>
      <c r="B522" s="13" t="s">
        <v>440</v>
      </c>
      <c r="C522" s="11" t="s">
        <v>1250</v>
      </c>
      <c r="D522" s="11" t="s">
        <v>1594</v>
      </c>
      <c r="E522" s="11" t="s">
        <v>142</v>
      </c>
      <c r="F522" s="11" t="s">
        <v>355</v>
      </c>
      <c r="G522" s="11" t="s">
        <v>356</v>
      </c>
      <c r="H522" s="11" t="s">
        <v>357</v>
      </c>
      <c r="I522" s="11" t="s">
        <v>38</v>
      </c>
    </row>
    <row r="523" spans="1:9" ht="19.95" customHeight="1" x14ac:dyDescent="0.3">
      <c r="A523" s="23">
        <v>46274.774699710651</v>
      </c>
      <c r="B523" s="16" t="s">
        <v>440</v>
      </c>
      <c r="C523" s="14" t="s">
        <v>1250</v>
      </c>
      <c r="D523" s="14" t="s">
        <v>1595</v>
      </c>
      <c r="E523" s="14" t="s">
        <v>145</v>
      </c>
      <c r="F523" s="14" t="s">
        <v>355</v>
      </c>
      <c r="G523" s="14" t="s">
        <v>356</v>
      </c>
      <c r="H523" s="14" t="s">
        <v>357</v>
      </c>
      <c r="I523" s="14" t="s">
        <v>38</v>
      </c>
    </row>
    <row r="524" spans="1:9" ht="19.95" customHeight="1" x14ac:dyDescent="0.3">
      <c r="A524" s="21">
        <v>46274.774699236114</v>
      </c>
      <c r="B524" s="13" t="s">
        <v>440</v>
      </c>
      <c r="C524" s="11" t="s">
        <v>1250</v>
      </c>
      <c r="D524" s="11" t="s">
        <v>1596</v>
      </c>
      <c r="E524" s="11" t="s">
        <v>145</v>
      </c>
      <c r="F524" s="11" t="s">
        <v>355</v>
      </c>
      <c r="G524" s="11" t="s">
        <v>356</v>
      </c>
      <c r="H524" s="11" t="s">
        <v>357</v>
      </c>
      <c r="I524" s="11" t="s">
        <v>38</v>
      </c>
    </row>
    <row r="525" spans="1:9" ht="19.95" customHeight="1" x14ac:dyDescent="0.3">
      <c r="A525" s="23">
        <v>46274.774699108799</v>
      </c>
      <c r="B525" s="16" t="s">
        <v>440</v>
      </c>
      <c r="C525" s="14" t="s">
        <v>1250</v>
      </c>
      <c r="D525" s="14" t="s">
        <v>1597</v>
      </c>
      <c r="E525" s="14" t="s">
        <v>145</v>
      </c>
      <c r="F525" s="14" t="s">
        <v>355</v>
      </c>
      <c r="G525" s="14" t="s">
        <v>356</v>
      </c>
      <c r="H525" s="14" t="s">
        <v>357</v>
      </c>
      <c r="I525" s="14" t="s">
        <v>38</v>
      </c>
    </row>
    <row r="526" spans="1:9" ht="19.95" customHeight="1" x14ac:dyDescent="0.3">
      <c r="A526" s="21">
        <v>46274.774699016198</v>
      </c>
      <c r="B526" s="13" t="s">
        <v>440</v>
      </c>
      <c r="C526" s="11" t="s">
        <v>1250</v>
      </c>
      <c r="D526" s="11" t="s">
        <v>1598</v>
      </c>
      <c r="E526" s="11" t="s">
        <v>361</v>
      </c>
      <c r="F526" s="11" t="s">
        <v>432</v>
      </c>
      <c r="G526" s="11" t="s">
        <v>356</v>
      </c>
      <c r="H526" s="11" t="s">
        <v>357</v>
      </c>
      <c r="I526" s="11" t="s">
        <v>1599</v>
      </c>
    </row>
    <row r="527" spans="1:9" ht="19.95" customHeight="1" x14ac:dyDescent="0.3">
      <c r="A527" s="23">
        <v>46274.774698912042</v>
      </c>
      <c r="B527" s="16" t="s">
        <v>440</v>
      </c>
      <c r="C527" s="14" t="s">
        <v>1250</v>
      </c>
      <c r="D527" s="14" t="s">
        <v>1600</v>
      </c>
      <c r="E527" s="14" t="s">
        <v>142</v>
      </c>
      <c r="F527" s="14" t="s">
        <v>355</v>
      </c>
      <c r="G527" s="14" t="s">
        <v>356</v>
      </c>
      <c r="H527" s="14" t="s">
        <v>357</v>
      </c>
      <c r="I527" s="14" t="s">
        <v>38</v>
      </c>
    </row>
    <row r="528" spans="1:9" ht="19.95" customHeight="1" x14ac:dyDescent="0.3">
      <c r="A528" s="21">
        <v>46274.77469878472</v>
      </c>
      <c r="B528" s="13" t="s">
        <v>440</v>
      </c>
      <c r="C528" s="11" t="s">
        <v>1250</v>
      </c>
      <c r="D528" s="11" t="s">
        <v>1601</v>
      </c>
      <c r="E528" s="11" t="s">
        <v>142</v>
      </c>
      <c r="F528" s="11" t="s">
        <v>355</v>
      </c>
      <c r="G528" s="11" t="s">
        <v>356</v>
      </c>
      <c r="H528" s="11" t="s">
        <v>357</v>
      </c>
      <c r="I528" s="11" t="s">
        <v>38</v>
      </c>
    </row>
    <row r="529" spans="1:9" ht="19.95" customHeight="1" x14ac:dyDescent="0.3">
      <c r="A529" s="23">
        <v>46274.774698622678</v>
      </c>
      <c r="B529" s="16" t="s">
        <v>440</v>
      </c>
      <c r="C529" s="14" t="s">
        <v>1250</v>
      </c>
      <c r="D529" s="14" t="s">
        <v>1602</v>
      </c>
      <c r="E529" s="14" t="s">
        <v>145</v>
      </c>
      <c r="F529" s="14" t="s">
        <v>355</v>
      </c>
      <c r="G529" s="14" t="s">
        <v>356</v>
      </c>
      <c r="H529" s="14" t="s">
        <v>357</v>
      </c>
      <c r="I529" s="14" t="s">
        <v>38</v>
      </c>
    </row>
    <row r="530" spans="1:9" ht="19.95" customHeight="1" x14ac:dyDescent="0.3">
      <c r="A530" s="21">
        <v>46274.774698483787</v>
      </c>
      <c r="B530" s="13" t="s">
        <v>440</v>
      </c>
      <c r="C530" s="11" t="s">
        <v>1250</v>
      </c>
      <c r="D530" s="11" t="s">
        <v>1603</v>
      </c>
      <c r="E530" s="11" t="s">
        <v>145</v>
      </c>
      <c r="F530" s="11" t="s">
        <v>355</v>
      </c>
      <c r="G530" s="11" t="s">
        <v>356</v>
      </c>
      <c r="H530" s="11" t="s">
        <v>357</v>
      </c>
      <c r="I530" s="11" t="s">
        <v>38</v>
      </c>
    </row>
    <row r="531" spans="1:9" ht="19.95" customHeight="1" x14ac:dyDescent="0.3">
      <c r="A531" s="23">
        <v>46274.774698368063</v>
      </c>
      <c r="B531" s="16" t="s">
        <v>440</v>
      </c>
      <c r="C531" s="14" t="s">
        <v>1250</v>
      </c>
      <c r="D531" s="14" t="s">
        <v>1604</v>
      </c>
      <c r="E531" s="14" t="s">
        <v>142</v>
      </c>
      <c r="F531" s="14" t="s">
        <v>355</v>
      </c>
      <c r="G531" s="14" t="s">
        <v>356</v>
      </c>
      <c r="H531" s="14" t="s">
        <v>357</v>
      </c>
      <c r="I531" s="14" t="s">
        <v>38</v>
      </c>
    </row>
    <row r="532" spans="1:9" ht="19.95" customHeight="1" x14ac:dyDescent="0.3">
      <c r="A532" s="21">
        <v>46274.774698275462</v>
      </c>
      <c r="B532" s="13" t="s">
        <v>440</v>
      </c>
      <c r="C532" s="11" t="s">
        <v>1250</v>
      </c>
      <c r="D532" s="11" t="s">
        <v>1605</v>
      </c>
      <c r="E532" s="11" t="s">
        <v>145</v>
      </c>
      <c r="F532" s="11" t="s">
        <v>355</v>
      </c>
      <c r="G532" s="11" t="s">
        <v>356</v>
      </c>
      <c r="H532" s="11" t="s">
        <v>357</v>
      </c>
      <c r="I532" s="11" t="s">
        <v>38</v>
      </c>
    </row>
    <row r="533" spans="1:9" ht="19.95" customHeight="1" x14ac:dyDescent="0.3">
      <c r="A533" s="23">
        <v>46274.774698148147</v>
      </c>
      <c r="B533" s="16" t="s">
        <v>440</v>
      </c>
      <c r="C533" s="14" t="s">
        <v>1250</v>
      </c>
      <c r="D533" s="14" t="s">
        <v>1606</v>
      </c>
      <c r="E533" s="14" t="s">
        <v>142</v>
      </c>
      <c r="F533" s="14" t="s">
        <v>355</v>
      </c>
      <c r="G533" s="14" t="s">
        <v>356</v>
      </c>
      <c r="H533" s="14" t="s">
        <v>357</v>
      </c>
      <c r="I533" s="14" t="s">
        <v>38</v>
      </c>
    </row>
    <row r="534" spans="1:9" ht="19.95" customHeight="1" x14ac:dyDescent="0.3">
      <c r="A534" s="21">
        <v>46274.774698032408</v>
      </c>
      <c r="B534" s="13" t="s">
        <v>440</v>
      </c>
      <c r="C534" s="11" t="s">
        <v>1250</v>
      </c>
      <c r="D534" s="11" t="s">
        <v>1607</v>
      </c>
      <c r="E534" s="11" t="s">
        <v>145</v>
      </c>
      <c r="F534" s="11" t="s">
        <v>355</v>
      </c>
      <c r="G534" s="11" t="s">
        <v>356</v>
      </c>
      <c r="H534" s="11" t="s">
        <v>357</v>
      </c>
      <c r="I534" s="11" t="s">
        <v>38</v>
      </c>
    </row>
    <row r="535" spans="1:9" ht="19.95" customHeight="1" x14ac:dyDescent="0.3">
      <c r="A535" s="23">
        <v>46274.77469791667</v>
      </c>
      <c r="B535" s="16" t="s">
        <v>440</v>
      </c>
      <c r="C535" s="14" t="s">
        <v>1250</v>
      </c>
      <c r="D535" s="14" t="s">
        <v>1608</v>
      </c>
      <c r="E535" s="14" t="s">
        <v>145</v>
      </c>
      <c r="F535" s="14" t="s">
        <v>355</v>
      </c>
      <c r="G535" s="14" t="s">
        <v>356</v>
      </c>
      <c r="H535" s="14" t="s">
        <v>357</v>
      </c>
      <c r="I535" s="14" t="s">
        <v>38</v>
      </c>
    </row>
    <row r="536" spans="1:9" ht="19.95" customHeight="1" x14ac:dyDescent="0.3">
      <c r="A536" s="21">
        <v>46274.774697546287</v>
      </c>
      <c r="B536" s="13" t="s">
        <v>440</v>
      </c>
      <c r="C536" s="11" t="s">
        <v>1250</v>
      </c>
      <c r="D536" s="11" t="s">
        <v>1609</v>
      </c>
      <c r="E536" s="11" t="s">
        <v>142</v>
      </c>
      <c r="F536" s="11" t="s">
        <v>355</v>
      </c>
      <c r="G536" s="11" t="s">
        <v>356</v>
      </c>
      <c r="H536" s="11" t="s">
        <v>357</v>
      </c>
      <c r="I536" s="11" t="s">
        <v>38</v>
      </c>
    </row>
    <row r="537" spans="1:9" ht="19.95" customHeight="1" x14ac:dyDescent="0.3">
      <c r="A537" s="23">
        <v>46274.774697141213</v>
      </c>
      <c r="B537" s="16" t="s">
        <v>440</v>
      </c>
      <c r="C537" s="14" t="s">
        <v>1250</v>
      </c>
      <c r="D537" s="14" t="s">
        <v>1181</v>
      </c>
      <c r="E537" s="14" t="s">
        <v>142</v>
      </c>
      <c r="F537" s="14" t="s">
        <v>424</v>
      </c>
      <c r="G537" s="14" t="s">
        <v>356</v>
      </c>
      <c r="H537" s="14" t="s">
        <v>357</v>
      </c>
      <c r="I537" s="14" t="s">
        <v>1610</v>
      </c>
    </row>
    <row r="538" spans="1:9" ht="19.95" customHeight="1" x14ac:dyDescent="0.3">
      <c r="A538" s="21">
        <v>46274.774696990738</v>
      </c>
      <c r="B538" s="13" t="s">
        <v>440</v>
      </c>
      <c r="C538" s="11" t="s">
        <v>1250</v>
      </c>
      <c r="D538" s="11" t="s">
        <v>1611</v>
      </c>
      <c r="E538" s="11" t="s">
        <v>145</v>
      </c>
      <c r="F538" s="11" t="s">
        <v>355</v>
      </c>
      <c r="G538" s="11" t="s">
        <v>356</v>
      </c>
      <c r="H538" s="11" t="s">
        <v>357</v>
      </c>
      <c r="I538" s="11" t="s">
        <v>38</v>
      </c>
    </row>
    <row r="539" spans="1:9" ht="19.95" customHeight="1" x14ac:dyDescent="0.3">
      <c r="A539" s="23">
        <v>46274.774696863416</v>
      </c>
      <c r="B539" s="16" t="s">
        <v>440</v>
      </c>
      <c r="C539" s="14" t="s">
        <v>1250</v>
      </c>
      <c r="D539" s="14" t="s">
        <v>1612</v>
      </c>
      <c r="E539" s="14" t="s">
        <v>142</v>
      </c>
      <c r="F539" s="14" t="s">
        <v>355</v>
      </c>
      <c r="G539" s="14" t="s">
        <v>356</v>
      </c>
      <c r="H539" s="14" t="s">
        <v>357</v>
      </c>
      <c r="I539" s="14" t="s">
        <v>38</v>
      </c>
    </row>
    <row r="540" spans="1:9" ht="19.95" customHeight="1" x14ac:dyDescent="0.3">
      <c r="A540" s="21">
        <v>46274.77469672454</v>
      </c>
      <c r="B540" s="13" t="s">
        <v>440</v>
      </c>
      <c r="C540" s="11" t="s">
        <v>1250</v>
      </c>
      <c r="D540" s="11" t="s">
        <v>1613</v>
      </c>
      <c r="E540" s="11" t="s">
        <v>142</v>
      </c>
      <c r="F540" s="11" t="s">
        <v>355</v>
      </c>
      <c r="G540" s="11" t="s">
        <v>356</v>
      </c>
      <c r="H540" s="11" t="s">
        <v>357</v>
      </c>
      <c r="I540" s="11" t="s">
        <v>38</v>
      </c>
    </row>
    <row r="541" spans="1:9" ht="19.95" customHeight="1" x14ac:dyDescent="0.3">
      <c r="A541" s="23">
        <v>46274.774696562497</v>
      </c>
      <c r="B541" s="16" t="s">
        <v>440</v>
      </c>
      <c r="C541" s="14" t="s">
        <v>1250</v>
      </c>
      <c r="D541" s="14" t="s">
        <v>1614</v>
      </c>
      <c r="E541" s="14" t="s">
        <v>145</v>
      </c>
      <c r="F541" s="14" t="s">
        <v>355</v>
      </c>
      <c r="G541" s="14" t="s">
        <v>356</v>
      </c>
      <c r="H541" s="14" t="s">
        <v>357</v>
      </c>
      <c r="I541" s="14" t="s">
        <v>38</v>
      </c>
    </row>
    <row r="542" spans="1:9" ht="19.95" customHeight="1" x14ac:dyDescent="0.3">
      <c r="A542" s="21">
        <v>46274.774696319437</v>
      </c>
      <c r="B542" s="13" t="s">
        <v>440</v>
      </c>
      <c r="C542" s="11" t="s">
        <v>1250</v>
      </c>
      <c r="D542" s="11" t="s">
        <v>1615</v>
      </c>
      <c r="E542" s="11" t="s">
        <v>142</v>
      </c>
      <c r="F542" s="11" t="s">
        <v>355</v>
      </c>
      <c r="G542" s="11" t="s">
        <v>356</v>
      </c>
      <c r="H542" s="11" t="s">
        <v>357</v>
      </c>
      <c r="I542" s="11" t="s">
        <v>38</v>
      </c>
    </row>
    <row r="543" spans="1:9" ht="19.95" customHeight="1" x14ac:dyDescent="0.3">
      <c r="A543" s="23">
        <v>46274.774696053239</v>
      </c>
      <c r="B543" s="16" t="s">
        <v>440</v>
      </c>
      <c r="C543" s="14" t="s">
        <v>1250</v>
      </c>
      <c r="D543" s="14" t="s">
        <v>1616</v>
      </c>
      <c r="E543" s="14" t="s">
        <v>145</v>
      </c>
      <c r="F543" s="14" t="s">
        <v>355</v>
      </c>
      <c r="G543" s="14" t="s">
        <v>356</v>
      </c>
      <c r="H543" s="14" t="s">
        <v>357</v>
      </c>
      <c r="I543" s="14" t="s">
        <v>38</v>
      </c>
    </row>
    <row r="544" spans="1:9" ht="19.95" customHeight="1" x14ac:dyDescent="0.3">
      <c r="A544" s="21">
        <v>46274.7746959375</v>
      </c>
      <c r="B544" s="13" t="s">
        <v>440</v>
      </c>
      <c r="C544" s="11" t="s">
        <v>1250</v>
      </c>
      <c r="D544" s="11" t="s">
        <v>1617</v>
      </c>
      <c r="E544" s="11" t="s">
        <v>145</v>
      </c>
      <c r="F544" s="11" t="s">
        <v>355</v>
      </c>
      <c r="G544" s="11" t="s">
        <v>356</v>
      </c>
      <c r="H544" s="11" t="s">
        <v>357</v>
      </c>
      <c r="I544" s="11" t="s">
        <v>38</v>
      </c>
    </row>
    <row r="545" spans="1:9" ht="19.95" customHeight="1" x14ac:dyDescent="0.3">
      <c r="A545" s="23">
        <v>46274.774695810192</v>
      </c>
      <c r="B545" s="16" t="s">
        <v>440</v>
      </c>
      <c r="C545" s="14" t="s">
        <v>1250</v>
      </c>
      <c r="D545" s="14" t="s">
        <v>1618</v>
      </c>
      <c r="E545" s="14" t="s">
        <v>145</v>
      </c>
      <c r="F545" s="14" t="s">
        <v>355</v>
      </c>
      <c r="G545" s="14" t="s">
        <v>356</v>
      </c>
      <c r="H545" s="14" t="s">
        <v>357</v>
      </c>
      <c r="I545" s="14" t="s">
        <v>38</v>
      </c>
    </row>
    <row r="546" spans="1:9" ht="19.95" customHeight="1" x14ac:dyDescent="0.3">
      <c r="A546" s="21">
        <v>46274.774695671287</v>
      </c>
      <c r="B546" s="13" t="s">
        <v>440</v>
      </c>
      <c r="C546" s="11" t="s">
        <v>1250</v>
      </c>
      <c r="D546" s="11" t="s">
        <v>1619</v>
      </c>
      <c r="E546" s="11" t="s">
        <v>142</v>
      </c>
      <c r="F546" s="11" t="s">
        <v>355</v>
      </c>
      <c r="G546" s="11" t="s">
        <v>356</v>
      </c>
      <c r="H546" s="11" t="s">
        <v>357</v>
      </c>
      <c r="I546" s="11" t="s">
        <v>38</v>
      </c>
    </row>
    <row r="547" spans="1:9" ht="19.95" customHeight="1" x14ac:dyDescent="0.3">
      <c r="A547" s="23">
        <v>46274.774695358799</v>
      </c>
      <c r="B547" s="16" t="s">
        <v>440</v>
      </c>
      <c r="C547" s="14" t="s">
        <v>1250</v>
      </c>
      <c r="D547" s="14" t="s">
        <v>1620</v>
      </c>
      <c r="E547" s="14" t="s">
        <v>145</v>
      </c>
      <c r="F547" s="14" t="s">
        <v>355</v>
      </c>
      <c r="G547" s="14" t="s">
        <v>356</v>
      </c>
      <c r="H547" s="14" t="s">
        <v>357</v>
      </c>
      <c r="I547" s="14" t="s">
        <v>38</v>
      </c>
    </row>
    <row r="548" spans="1:9" ht="19.95" customHeight="1" x14ac:dyDescent="0.3">
      <c r="A548" s="21">
        <v>46274.774695208333</v>
      </c>
      <c r="B548" s="13" t="s">
        <v>440</v>
      </c>
      <c r="C548" s="11" t="s">
        <v>1250</v>
      </c>
      <c r="D548" s="11" t="s">
        <v>1621</v>
      </c>
      <c r="E548" s="11" t="s">
        <v>142</v>
      </c>
      <c r="F548" s="11" t="s">
        <v>424</v>
      </c>
      <c r="G548" s="11" t="s">
        <v>356</v>
      </c>
      <c r="H548" s="11" t="s">
        <v>357</v>
      </c>
      <c r="I548" s="11" t="s">
        <v>38</v>
      </c>
    </row>
    <row r="549" spans="1:9" ht="19.95" customHeight="1" x14ac:dyDescent="0.3">
      <c r="A549" s="23">
        <v>46274.774694976863</v>
      </c>
      <c r="B549" s="16" t="s">
        <v>440</v>
      </c>
      <c r="C549" s="14" t="s">
        <v>1250</v>
      </c>
      <c r="D549" s="14" t="s">
        <v>1622</v>
      </c>
      <c r="E549" s="14" t="s">
        <v>142</v>
      </c>
      <c r="F549" s="14" t="s">
        <v>355</v>
      </c>
      <c r="G549" s="14" t="s">
        <v>356</v>
      </c>
      <c r="H549" s="14" t="s">
        <v>357</v>
      </c>
      <c r="I549" s="14" t="s">
        <v>38</v>
      </c>
    </row>
    <row r="550" spans="1:9" ht="19.95" customHeight="1" x14ac:dyDescent="0.3">
      <c r="A550" s="21">
        <v>46274.774694861109</v>
      </c>
      <c r="B550" s="13" t="s">
        <v>440</v>
      </c>
      <c r="C550" s="11" t="s">
        <v>1250</v>
      </c>
      <c r="D550" s="11" t="s">
        <v>1623</v>
      </c>
      <c r="E550" s="11" t="s">
        <v>142</v>
      </c>
      <c r="F550" s="11" t="s">
        <v>355</v>
      </c>
      <c r="G550" s="11" t="s">
        <v>356</v>
      </c>
      <c r="H550" s="11" t="s">
        <v>357</v>
      </c>
      <c r="I550" s="11" t="s">
        <v>38</v>
      </c>
    </row>
    <row r="551" spans="1:9" ht="19.95" customHeight="1" x14ac:dyDescent="0.3">
      <c r="A551" s="23">
        <v>46274.77469471065</v>
      </c>
      <c r="B551" s="16" t="s">
        <v>440</v>
      </c>
      <c r="C551" s="14" t="s">
        <v>1250</v>
      </c>
      <c r="D551" s="14" t="s">
        <v>1624</v>
      </c>
      <c r="E551" s="14" t="s">
        <v>142</v>
      </c>
      <c r="F551" s="14" t="s">
        <v>355</v>
      </c>
      <c r="G551" s="14" t="s">
        <v>356</v>
      </c>
      <c r="H551" s="14" t="s">
        <v>357</v>
      </c>
      <c r="I551" s="14" t="s">
        <v>38</v>
      </c>
    </row>
    <row r="552" spans="1:9" ht="19.95" customHeight="1" x14ac:dyDescent="0.3">
      <c r="A552" s="21">
        <v>46274.774694502317</v>
      </c>
      <c r="B552" s="13" t="s">
        <v>440</v>
      </c>
      <c r="C552" s="11" t="s">
        <v>1250</v>
      </c>
      <c r="D552" s="11" t="s">
        <v>1625</v>
      </c>
      <c r="E552" s="11" t="s">
        <v>142</v>
      </c>
      <c r="F552" s="11" t="s">
        <v>355</v>
      </c>
      <c r="G552" s="11" t="s">
        <v>356</v>
      </c>
      <c r="H552" s="11" t="s">
        <v>357</v>
      </c>
      <c r="I552" s="11" t="s">
        <v>38</v>
      </c>
    </row>
    <row r="553" spans="1:9" ht="19.95" customHeight="1" x14ac:dyDescent="0.3">
      <c r="A553" s="23">
        <v>46274.77469435185</v>
      </c>
      <c r="B553" s="16" t="s">
        <v>440</v>
      </c>
      <c r="C553" s="14" t="s">
        <v>1250</v>
      </c>
      <c r="D553" s="14" t="s">
        <v>1626</v>
      </c>
      <c r="E553" s="14" t="s">
        <v>145</v>
      </c>
      <c r="F553" s="14" t="s">
        <v>355</v>
      </c>
      <c r="G553" s="14" t="s">
        <v>356</v>
      </c>
      <c r="H553" s="14" t="s">
        <v>357</v>
      </c>
      <c r="I553" s="14" t="s">
        <v>38</v>
      </c>
    </row>
    <row r="554" spans="1:9" ht="19.95" customHeight="1" x14ac:dyDescent="0.3">
      <c r="A554" s="21">
        <v>46274.774694131942</v>
      </c>
      <c r="B554" s="13" t="s">
        <v>440</v>
      </c>
      <c r="C554" s="11" t="s">
        <v>1250</v>
      </c>
      <c r="D554" s="11" t="s">
        <v>1627</v>
      </c>
      <c r="E554" s="11" t="s">
        <v>145</v>
      </c>
      <c r="F554" s="11" t="s">
        <v>355</v>
      </c>
      <c r="G554" s="11" t="s">
        <v>356</v>
      </c>
      <c r="H554" s="11" t="s">
        <v>357</v>
      </c>
      <c r="I554" s="11" t="s">
        <v>38</v>
      </c>
    </row>
    <row r="555" spans="1:9" ht="19.95" customHeight="1" x14ac:dyDescent="0.3">
      <c r="A555" s="23">
        <v>46274.774694016203</v>
      </c>
      <c r="B555" s="16" t="s">
        <v>440</v>
      </c>
      <c r="C555" s="14" t="s">
        <v>1250</v>
      </c>
      <c r="D555" s="14" t="s">
        <v>1628</v>
      </c>
      <c r="E555" s="14" t="s">
        <v>142</v>
      </c>
      <c r="F555" s="14" t="s">
        <v>355</v>
      </c>
      <c r="G555" s="14" t="s">
        <v>356</v>
      </c>
      <c r="H555" s="14" t="s">
        <v>357</v>
      </c>
      <c r="I555" s="14" t="s">
        <v>38</v>
      </c>
    </row>
    <row r="556" spans="1:9" ht="19.95" customHeight="1" x14ac:dyDescent="0.3">
      <c r="A556" s="21">
        <v>46274.774693715277</v>
      </c>
      <c r="B556" s="13" t="s">
        <v>440</v>
      </c>
      <c r="C556" s="11" t="s">
        <v>1250</v>
      </c>
      <c r="D556" s="11" t="s">
        <v>1629</v>
      </c>
      <c r="E556" s="11" t="s">
        <v>145</v>
      </c>
      <c r="F556" s="11" t="s">
        <v>355</v>
      </c>
      <c r="G556" s="11" t="s">
        <v>356</v>
      </c>
      <c r="H556" s="11" t="s">
        <v>357</v>
      </c>
      <c r="I556" s="11" t="s">
        <v>38</v>
      </c>
    </row>
    <row r="557" spans="1:9" ht="19.95" customHeight="1" x14ac:dyDescent="0.3">
      <c r="A557" s="23">
        <v>46274.774693599538</v>
      </c>
      <c r="B557" s="16" t="s">
        <v>440</v>
      </c>
      <c r="C557" s="14" t="s">
        <v>1250</v>
      </c>
      <c r="D557" s="14" t="s">
        <v>1630</v>
      </c>
      <c r="E557" s="14" t="s">
        <v>142</v>
      </c>
      <c r="F557" s="14" t="s">
        <v>355</v>
      </c>
      <c r="G557" s="14" t="s">
        <v>356</v>
      </c>
      <c r="H557" s="14" t="s">
        <v>357</v>
      </c>
      <c r="I557" s="14" t="s">
        <v>38</v>
      </c>
    </row>
    <row r="558" spans="1:9" ht="19.95" customHeight="1" x14ac:dyDescent="0.3">
      <c r="A558" s="21">
        <v>46274.7746934838</v>
      </c>
      <c r="B558" s="13" t="s">
        <v>440</v>
      </c>
      <c r="C558" s="11" t="s">
        <v>1250</v>
      </c>
      <c r="D558" s="11" t="s">
        <v>1631</v>
      </c>
      <c r="E558" s="11" t="s">
        <v>142</v>
      </c>
      <c r="F558" s="11" t="s">
        <v>355</v>
      </c>
      <c r="G558" s="11" t="s">
        <v>356</v>
      </c>
      <c r="H558" s="11" t="s">
        <v>357</v>
      </c>
      <c r="I558" s="11" t="s">
        <v>38</v>
      </c>
    </row>
    <row r="559" spans="1:9" ht="19.95" customHeight="1" x14ac:dyDescent="0.3">
      <c r="A559" s="23">
        <v>46274.774693321757</v>
      </c>
      <c r="B559" s="16" t="s">
        <v>440</v>
      </c>
      <c r="C559" s="14" t="s">
        <v>1250</v>
      </c>
      <c r="D559" s="14" t="s">
        <v>1632</v>
      </c>
      <c r="E559" s="14" t="s">
        <v>142</v>
      </c>
      <c r="F559" s="14" t="s">
        <v>424</v>
      </c>
      <c r="G559" s="14" t="s">
        <v>356</v>
      </c>
      <c r="H559" s="14" t="s">
        <v>357</v>
      </c>
      <c r="I559" s="14" t="s">
        <v>38</v>
      </c>
    </row>
    <row r="560" spans="1:9" ht="19.95" customHeight="1" x14ac:dyDescent="0.3">
      <c r="A560" s="21">
        <v>46274.774693194442</v>
      </c>
      <c r="B560" s="13" t="s">
        <v>440</v>
      </c>
      <c r="C560" s="11" t="s">
        <v>1250</v>
      </c>
      <c r="D560" s="11" t="s">
        <v>1633</v>
      </c>
      <c r="E560" s="11" t="s">
        <v>361</v>
      </c>
      <c r="F560" s="11" t="s">
        <v>432</v>
      </c>
      <c r="G560" s="11" t="s">
        <v>356</v>
      </c>
      <c r="H560" s="11" t="s">
        <v>357</v>
      </c>
      <c r="I560" s="11" t="s">
        <v>38</v>
      </c>
    </row>
    <row r="561" spans="1:9" ht="19.95" customHeight="1" x14ac:dyDescent="0.3">
      <c r="A561" s="23">
        <v>46274.774693032407</v>
      </c>
      <c r="B561" s="16" t="s">
        <v>440</v>
      </c>
      <c r="C561" s="14" t="s">
        <v>1250</v>
      </c>
      <c r="D561" s="14" t="s">
        <v>1634</v>
      </c>
      <c r="E561" s="14" t="s">
        <v>142</v>
      </c>
      <c r="F561" s="14" t="s">
        <v>355</v>
      </c>
      <c r="G561" s="14" t="s">
        <v>356</v>
      </c>
      <c r="H561" s="14" t="s">
        <v>357</v>
      </c>
      <c r="I561" s="14" t="s">
        <v>38</v>
      </c>
    </row>
    <row r="562" spans="1:9" ht="19.95" customHeight="1" x14ac:dyDescent="0.3">
      <c r="A562" s="21">
        <v>46274.774692905092</v>
      </c>
      <c r="B562" s="13" t="s">
        <v>440</v>
      </c>
      <c r="C562" s="11" t="s">
        <v>1250</v>
      </c>
      <c r="D562" s="11" t="s">
        <v>1635</v>
      </c>
      <c r="E562" s="11" t="s">
        <v>142</v>
      </c>
      <c r="F562" s="11" t="s">
        <v>355</v>
      </c>
      <c r="G562" s="11" t="s">
        <v>356</v>
      </c>
      <c r="H562" s="11" t="s">
        <v>357</v>
      </c>
      <c r="I562" s="11" t="s">
        <v>38</v>
      </c>
    </row>
    <row r="563" spans="1:9" ht="19.95" customHeight="1" x14ac:dyDescent="0.3">
      <c r="A563" s="23">
        <v>46274.774692789353</v>
      </c>
      <c r="B563" s="16" t="s">
        <v>440</v>
      </c>
      <c r="C563" s="14" t="s">
        <v>1250</v>
      </c>
      <c r="D563" s="14" t="s">
        <v>1636</v>
      </c>
      <c r="E563" s="14" t="s">
        <v>142</v>
      </c>
      <c r="F563" s="14" t="s">
        <v>428</v>
      </c>
      <c r="G563" s="14" t="s">
        <v>356</v>
      </c>
      <c r="H563" s="14" t="s">
        <v>357</v>
      </c>
      <c r="I563" s="14" t="s">
        <v>1637</v>
      </c>
    </row>
    <row r="564" spans="1:9" ht="19.95" customHeight="1" x14ac:dyDescent="0.3">
      <c r="A564" s="21">
        <v>46274.774692662038</v>
      </c>
      <c r="B564" s="13" t="s">
        <v>440</v>
      </c>
      <c r="C564" s="11" t="s">
        <v>1250</v>
      </c>
      <c r="D564" s="11" t="s">
        <v>1638</v>
      </c>
      <c r="E564" s="11" t="s">
        <v>142</v>
      </c>
      <c r="F564" s="11" t="s">
        <v>424</v>
      </c>
      <c r="G564" s="11" t="s">
        <v>356</v>
      </c>
      <c r="H564" s="11" t="s">
        <v>357</v>
      </c>
      <c r="I564" s="11" t="s">
        <v>38</v>
      </c>
    </row>
    <row r="565" spans="1:9" ht="19.95" customHeight="1" x14ac:dyDescent="0.3">
      <c r="A565" s="23">
        <v>46274.774678113426</v>
      </c>
      <c r="B565" s="16" t="s">
        <v>440</v>
      </c>
      <c r="C565" s="14" t="s">
        <v>353</v>
      </c>
      <c r="D565" s="14" t="s">
        <v>1639</v>
      </c>
      <c r="E565" s="14" t="s">
        <v>142</v>
      </c>
      <c r="F565" s="14" t="s">
        <v>355</v>
      </c>
      <c r="G565" s="14" t="s">
        <v>356</v>
      </c>
      <c r="H565" s="14" t="s">
        <v>357</v>
      </c>
      <c r="I565" s="14" t="s">
        <v>38</v>
      </c>
    </row>
    <row r="566" spans="1:9" ht="19.95" customHeight="1" x14ac:dyDescent="0.3">
      <c r="A566" s="21">
        <v>46274.774675162043</v>
      </c>
      <c r="B566" s="13" t="s">
        <v>440</v>
      </c>
      <c r="C566" s="11" t="s">
        <v>353</v>
      </c>
      <c r="D566" s="11" t="s">
        <v>1446</v>
      </c>
      <c r="E566" s="11" t="s">
        <v>142</v>
      </c>
      <c r="F566" s="11" t="s">
        <v>355</v>
      </c>
      <c r="G566" s="11" t="s">
        <v>356</v>
      </c>
      <c r="H566" s="11" t="s">
        <v>357</v>
      </c>
      <c r="I566" s="11" t="s">
        <v>1447</v>
      </c>
    </row>
    <row r="567" spans="1:9" ht="19.95" customHeight="1" x14ac:dyDescent="0.3">
      <c r="A567" s="23">
        <v>46274.774661875002</v>
      </c>
      <c r="B567" s="16" t="s">
        <v>440</v>
      </c>
      <c r="C567" s="14" t="s">
        <v>353</v>
      </c>
      <c r="D567" s="14" t="s">
        <v>1640</v>
      </c>
      <c r="E567" s="14" t="s">
        <v>145</v>
      </c>
      <c r="F567" s="14" t="s">
        <v>355</v>
      </c>
      <c r="G567" s="14" t="s">
        <v>356</v>
      </c>
      <c r="H567" s="14" t="s">
        <v>357</v>
      </c>
      <c r="I567" s="14" t="s">
        <v>38</v>
      </c>
    </row>
    <row r="568" spans="1:9" ht="19.95" customHeight="1" x14ac:dyDescent="0.3">
      <c r="A568" s="21">
        <v>46274.774636770831</v>
      </c>
      <c r="B568" s="13" t="s">
        <v>440</v>
      </c>
      <c r="C568" s="11" t="s">
        <v>427</v>
      </c>
      <c r="D568" s="11" t="s">
        <v>552</v>
      </c>
      <c r="E568" s="11" t="s">
        <v>142</v>
      </c>
      <c r="F568" s="11" t="s">
        <v>446</v>
      </c>
      <c r="G568" s="11" t="s">
        <v>356</v>
      </c>
      <c r="H568" s="11" t="s">
        <v>357</v>
      </c>
      <c r="I568" s="11" t="s">
        <v>1641</v>
      </c>
    </row>
    <row r="569" spans="1:9" ht="19.95" customHeight="1" x14ac:dyDescent="0.3">
      <c r="A569" s="23">
        <v>46274.774636655093</v>
      </c>
      <c r="B569" s="16" t="s">
        <v>440</v>
      </c>
      <c r="C569" s="14" t="s">
        <v>427</v>
      </c>
      <c r="D569" s="14" t="s">
        <v>1360</v>
      </c>
      <c r="E569" s="14" t="s">
        <v>142</v>
      </c>
      <c r="F569" s="14" t="s">
        <v>355</v>
      </c>
      <c r="G569" s="14" t="s">
        <v>356</v>
      </c>
      <c r="H569" s="14" t="s">
        <v>357</v>
      </c>
      <c r="I569" s="14" t="s">
        <v>1642</v>
      </c>
    </row>
    <row r="570" spans="1:9" ht="19.95" customHeight="1" x14ac:dyDescent="0.3">
      <c r="A570" s="21">
        <v>46274.774636516202</v>
      </c>
      <c r="B570" s="13" t="s">
        <v>440</v>
      </c>
      <c r="C570" s="11" t="s">
        <v>427</v>
      </c>
      <c r="D570" s="11" t="s">
        <v>1643</v>
      </c>
      <c r="E570" s="11" t="s">
        <v>145</v>
      </c>
      <c r="F570" s="11" t="s">
        <v>355</v>
      </c>
      <c r="G570" s="11" t="s">
        <v>356</v>
      </c>
      <c r="H570" s="11" t="s">
        <v>357</v>
      </c>
      <c r="I570" s="11" t="s">
        <v>38</v>
      </c>
    </row>
    <row r="571" spans="1:9" ht="19.95" customHeight="1" x14ac:dyDescent="0.3">
      <c r="A571" s="23">
        <v>46274.774636354166</v>
      </c>
      <c r="B571" s="16" t="s">
        <v>440</v>
      </c>
      <c r="C571" s="14" t="s">
        <v>427</v>
      </c>
      <c r="D571" s="14" t="s">
        <v>1644</v>
      </c>
      <c r="E571" s="14" t="s">
        <v>361</v>
      </c>
      <c r="F571" s="14" t="s">
        <v>432</v>
      </c>
      <c r="G571" s="14" t="s">
        <v>356</v>
      </c>
      <c r="H571" s="14" t="s">
        <v>357</v>
      </c>
      <c r="I571" s="14" t="s">
        <v>38</v>
      </c>
    </row>
    <row r="572" spans="1:9" ht="19.95" customHeight="1" x14ac:dyDescent="0.3">
      <c r="A572" s="21">
        <v>46274.774636215283</v>
      </c>
      <c r="B572" s="13" t="s">
        <v>440</v>
      </c>
      <c r="C572" s="11" t="s">
        <v>427</v>
      </c>
      <c r="D572" s="11" t="s">
        <v>1645</v>
      </c>
      <c r="E572" s="11" t="s">
        <v>142</v>
      </c>
      <c r="F572" s="11" t="s">
        <v>355</v>
      </c>
      <c r="G572" s="11" t="s">
        <v>356</v>
      </c>
      <c r="H572" s="11" t="s">
        <v>357</v>
      </c>
      <c r="I572" s="11" t="s">
        <v>38</v>
      </c>
    </row>
    <row r="573" spans="1:9" ht="19.95" customHeight="1" x14ac:dyDescent="0.3">
      <c r="A573" s="23">
        <v>46274.774636041657</v>
      </c>
      <c r="B573" s="16" t="s">
        <v>440</v>
      </c>
      <c r="C573" s="14" t="s">
        <v>427</v>
      </c>
      <c r="D573" s="14" t="s">
        <v>1646</v>
      </c>
      <c r="E573" s="14" t="s">
        <v>145</v>
      </c>
      <c r="F573" s="14" t="s">
        <v>355</v>
      </c>
      <c r="G573" s="14" t="s">
        <v>356</v>
      </c>
      <c r="H573" s="14" t="s">
        <v>357</v>
      </c>
      <c r="I573" s="14" t="s">
        <v>38</v>
      </c>
    </row>
    <row r="574" spans="1:9" ht="19.95" customHeight="1" x14ac:dyDescent="0.3">
      <c r="A574" s="21">
        <v>46274.774635925933</v>
      </c>
      <c r="B574" s="13" t="s">
        <v>440</v>
      </c>
      <c r="C574" s="11" t="s">
        <v>427</v>
      </c>
      <c r="D574" s="11" t="s">
        <v>1647</v>
      </c>
      <c r="E574" s="11" t="s">
        <v>142</v>
      </c>
      <c r="F574" s="11" t="s">
        <v>355</v>
      </c>
      <c r="G574" s="11" t="s">
        <v>356</v>
      </c>
      <c r="H574" s="11" t="s">
        <v>357</v>
      </c>
      <c r="I574" s="11" t="s">
        <v>38</v>
      </c>
    </row>
    <row r="575" spans="1:9" ht="19.95" customHeight="1" x14ac:dyDescent="0.3">
      <c r="A575" s="23">
        <v>46274.774635810187</v>
      </c>
      <c r="B575" s="16" t="s">
        <v>440</v>
      </c>
      <c r="C575" s="14" t="s">
        <v>427</v>
      </c>
      <c r="D575" s="14" t="s">
        <v>1648</v>
      </c>
      <c r="E575" s="14" t="s">
        <v>142</v>
      </c>
      <c r="F575" s="14" t="s">
        <v>424</v>
      </c>
      <c r="G575" s="14" t="s">
        <v>152</v>
      </c>
      <c r="H575" s="14" t="s">
        <v>242</v>
      </c>
      <c r="I575" s="14" t="s">
        <v>1649</v>
      </c>
    </row>
    <row r="576" spans="1:9" ht="19.95" customHeight="1" x14ac:dyDescent="0.3">
      <c r="A576" s="21">
        <v>46274.774635694448</v>
      </c>
      <c r="B576" s="13" t="s">
        <v>440</v>
      </c>
      <c r="C576" s="11" t="s">
        <v>427</v>
      </c>
      <c r="D576" s="11" t="s">
        <v>1650</v>
      </c>
      <c r="E576" s="11" t="s">
        <v>142</v>
      </c>
      <c r="F576" s="11" t="s">
        <v>446</v>
      </c>
      <c r="G576" s="11" t="s">
        <v>356</v>
      </c>
      <c r="H576" s="11" t="s">
        <v>357</v>
      </c>
      <c r="I576" s="11" t="s">
        <v>38</v>
      </c>
    </row>
    <row r="577" spans="1:9" ht="19.95" customHeight="1" x14ac:dyDescent="0.3">
      <c r="A577" s="23">
        <v>46274.77463550926</v>
      </c>
      <c r="B577" s="16" t="s">
        <v>440</v>
      </c>
      <c r="C577" s="14" t="s">
        <v>427</v>
      </c>
      <c r="D577" s="14" t="s">
        <v>1368</v>
      </c>
      <c r="E577" s="14" t="s">
        <v>142</v>
      </c>
      <c r="F577" s="14" t="s">
        <v>355</v>
      </c>
      <c r="G577" s="14" t="s">
        <v>356</v>
      </c>
      <c r="H577" s="14" t="s">
        <v>357</v>
      </c>
      <c r="I577" s="14" t="s">
        <v>1344</v>
      </c>
    </row>
    <row r="578" spans="1:9" ht="19.95" customHeight="1" x14ac:dyDescent="0.3">
      <c r="A578" s="21">
        <v>46274.774635173613</v>
      </c>
      <c r="B578" s="13" t="s">
        <v>440</v>
      </c>
      <c r="C578" s="11" t="s">
        <v>1250</v>
      </c>
      <c r="D578" s="11" t="s">
        <v>1651</v>
      </c>
      <c r="E578" s="11" t="s">
        <v>142</v>
      </c>
      <c r="F578" s="11" t="s">
        <v>432</v>
      </c>
      <c r="G578" s="11" t="s">
        <v>356</v>
      </c>
      <c r="H578" s="11" t="s">
        <v>357</v>
      </c>
      <c r="I578" s="11" t="s">
        <v>38</v>
      </c>
    </row>
    <row r="579" spans="1:9" ht="19.95" customHeight="1" x14ac:dyDescent="0.3">
      <c r="A579" s="23">
        <v>46274.774634953697</v>
      </c>
      <c r="B579" s="16" t="s">
        <v>440</v>
      </c>
      <c r="C579" s="14" t="s">
        <v>427</v>
      </c>
      <c r="D579" s="14" t="s">
        <v>1652</v>
      </c>
      <c r="E579" s="14" t="s">
        <v>145</v>
      </c>
      <c r="F579" s="14" t="s">
        <v>355</v>
      </c>
      <c r="G579" s="14" t="s">
        <v>356</v>
      </c>
      <c r="H579" s="14" t="s">
        <v>357</v>
      </c>
      <c r="I579" s="14" t="s">
        <v>38</v>
      </c>
    </row>
    <row r="580" spans="1:9" ht="19.95" customHeight="1" x14ac:dyDescent="0.3">
      <c r="A580" s="21">
        <v>46274.77463482639</v>
      </c>
      <c r="B580" s="13" t="s">
        <v>440</v>
      </c>
      <c r="C580" s="11" t="s">
        <v>427</v>
      </c>
      <c r="D580" s="11" t="s">
        <v>1653</v>
      </c>
      <c r="E580" s="11" t="s">
        <v>145</v>
      </c>
      <c r="F580" s="11" t="s">
        <v>355</v>
      </c>
      <c r="G580" s="11" t="s">
        <v>356</v>
      </c>
      <c r="H580" s="11" t="s">
        <v>357</v>
      </c>
      <c r="I580" s="11" t="s">
        <v>38</v>
      </c>
    </row>
    <row r="581" spans="1:9" ht="19.95" customHeight="1" x14ac:dyDescent="0.3">
      <c r="A581" s="23">
        <v>46274.774634606481</v>
      </c>
      <c r="B581" s="16" t="s">
        <v>440</v>
      </c>
      <c r="C581" s="14" t="s">
        <v>427</v>
      </c>
      <c r="D581" s="14" t="s">
        <v>1654</v>
      </c>
      <c r="E581" s="14" t="s">
        <v>142</v>
      </c>
      <c r="F581" s="14" t="s">
        <v>355</v>
      </c>
      <c r="G581" s="14" t="s">
        <v>356</v>
      </c>
      <c r="H581" s="14" t="s">
        <v>357</v>
      </c>
      <c r="I581" s="14" t="s">
        <v>38</v>
      </c>
    </row>
    <row r="582" spans="1:9" ht="19.95" customHeight="1" x14ac:dyDescent="0.3">
      <c r="A582" s="21">
        <v>46274.774634398149</v>
      </c>
      <c r="B582" s="13" t="s">
        <v>440</v>
      </c>
      <c r="C582" s="11" t="s">
        <v>427</v>
      </c>
      <c r="D582" s="11" t="s">
        <v>551</v>
      </c>
      <c r="E582" s="11" t="s">
        <v>142</v>
      </c>
      <c r="F582" s="11" t="s">
        <v>432</v>
      </c>
      <c r="G582" s="11" t="s">
        <v>356</v>
      </c>
      <c r="H582" s="11" t="s">
        <v>357</v>
      </c>
      <c r="I582" s="11" t="s">
        <v>530</v>
      </c>
    </row>
    <row r="583" spans="1:9" ht="19.95" customHeight="1" x14ac:dyDescent="0.3">
      <c r="A583" s="23">
        <v>46274.77463414352</v>
      </c>
      <c r="B583" s="16" t="s">
        <v>440</v>
      </c>
      <c r="C583" s="14" t="s">
        <v>427</v>
      </c>
      <c r="D583" s="14" t="s">
        <v>1655</v>
      </c>
      <c r="E583" s="14" t="s">
        <v>142</v>
      </c>
      <c r="F583" s="14" t="s">
        <v>424</v>
      </c>
      <c r="G583" s="14" t="s">
        <v>356</v>
      </c>
      <c r="H583" s="14" t="s">
        <v>357</v>
      </c>
      <c r="I583" s="14" t="s">
        <v>38</v>
      </c>
    </row>
    <row r="584" spans="1:9" ht="19.95" customHeight="1" x14ac:dyDescent="0.3">
      <c r="A584" s="21">
        <v>46274.774633993053</v>
      </c>
      <c r="B584" s="13" t="s">
        <v>440</v>
      </c>
      <c r="C584" s="11" t="s">
        <v>427</v>
      </c>
      <c r="D584" s="11" t="s">
        <v>1656</v>
      </c>
      <c r="E584" s="11" t="s">
        <v>361</v>
      </c>
      <c r="F584" s="11" t="s">
        <v>432</v>
      </c>
      <c r="G584" s="11" t="s">
        <v>356</v>
      </c>
      <c r="H584" s="11" t="s">
        <v>357</v>
      </c>
      <c r="I584" s="11" t="s">
        <v>38</v>
      </c>
    </row>
    <row r="585" spans="1:9" ht="19.95" customHeight="1" x14ac:dyDescent="0.3">
      <c r="A585" s="23">
        <v>46274.774633819441</v>
      </c>
      <c r="B585" s="16" t="s">
        <v>440</v>
      </c>
      <c r="C585" s="14" t="s">
        <v>427</v>
      </c>
      <c r="D585" s="14" t="s">
        <v>1657</v>
      </c>
      <c r="E585" s="14" t="s">
        <v>145</v>
      </c>
      <c r="F585" s="14" t="s">
        <v>355</v>
      </c>
      <c r="G585" s="14" t="s">
        <v>356</v>
      </c>
      <c r="H585" s="14" t="s">
        <v>357</v>
      </c>
      <c r="I585" s="14" t="s">
        <v>38</v>
      </c>
    </row>
    <row r="586" spans="1:9" ht="19.95" customHeight="1" x14ac:dyDescent="0.3">
      <c r="A586" s="21">
        <v>46274.774625428239</v>
      </c>
      <c r="B586" s="13" t="s">
        <v>440</v>
      </c>
      <c r="C586" s="11" t="s">
        <v>427</v>
      </c>
      <c r="D586" s="11" t="s">
        <v>1232</v>
      </c>
      <c r="E586" s="11" t="s">
        <v>361</v>
      </c>
      <c r="F586" s="11" t="s">
        <v>380</v>
      </c>
      <c r="G586" s="11" t="s">
        <v>152</v>
      </c>
      <c r="H586" s="11" t="s">
        <v>443</v>
      </c>
      <c r="I586" s="11" t="s">
        <v>1658</v>
      </c>
    </row>
    <row r="587" spans="1:9" ht="19.95" customHeight="1" x14ac:dyDescent="0.3">
      <c r="A587" s="23">
        <v>46274.774625324077</v>
      </c>
      <c r="B587" s="16" t="s">
        <v>440</v>
      </c>
      <c r="C587" s="14" t="s">
        <v>427</v>
      </c>
      <c r="D587" s="14" t="s">
        <v>1659</v>
      </c>
      <c r="E587" s="14" t="s">
        <v>142</v>
      </c>
      <c r="F587" s="14" t="s">
        <v>355</v>
      </c>
      <c r="G587" s="14" t="s">
        <v>356</v>
      </c>
      <c r="H587" s="14" t="s">
        <v>357</v>
      </c>
      <c r="I587" s="14" t="s">
        <v>38</v>
      </c>
    </row>
    <row r="588" spans="1:9" ht="19.95" customHeight="1" x14ac:dyDescent="0.3">
      <c r="A588" s="21">
        <v>46274.774625208331</v>
      </c>
      <c r="B588" s="13" t="s">
        <v>440</v>
      </c>
      <c r="C588" s="11" t="s">
        <v>427</v>
      </c>
      <c r="D588" s="11" t="s">
        <v>1439</v>
      </c>
      <c r="E588" s="11" t="s">
        <v>142</v>
      </c>
      <c r="F588" s="11" t="s">
        <v>446</v>
      </c>
      <c r="G588" s="11" t="s">
        <v>356</v>
      </c>
      <c r="H588" s="11" t="s">
        <v>357</v>
      </c>
      <c r="I588" s="11" t="s">
        <v>1366</v>
      </c>
    </row>
    <row r="589" spans="1:9" ht="19.95" customHeight="1" x14ac:dyDescent="0.3">
      <c r="A589" s="23">
        <v>46274.774625081023</v>
      </c>
      <c r="B589" s="16" t="s">
        <v>440</v>
      </c>
      <c r="C589" s="14" t="s">
        <v>427</v>
      </c>
      <c r="D589" s="14" t="s">
        <v>1660</v>
      </c>
      <c r="E589" s="14" t="s">
        <v>361</v>
      </c>
      <c r="F589" s="14" t="s">
        <v>432</v>
      </c>
      <c r="G589" s="14" t="s">
        <v>356</v>
      </c>
      <c r="H589" s="14" t="s">
        <v>357</v>
      </c>
      <c r="I589" s="14" t="s">
        <v>38</v>
      </c>
    </row>
    <row r="590" spans="1:9" ht="19.95" customHeight="1" x14ac:dyDescent="0.3">
      <c r="A590" s="21">
        <v>46274.774624942133</v>
      </c>
      <c r="B590" s="13" t="s">
        <v>440</v>
      </c>
      <c r="C590" s="11" t="s">
        <v>427</v>
      </c>
      <c r="D590" s="11" t="s">
        <v>1661</v>
      </c>
      <c r="E590" s="11" t="s">
        <v>145</v>
      </c>
      <c r="F590" s="11" t="s">
        <v>355</v>
      </c>
      <c r="G590" s="11" t="s">
        <v>356</v>
      </c>
      <c r="H590" s="11" t="s">
        <v>357</v>
      </c>
      <c r="I590" s="11" t="s">
        <v>38</v>
      </c>
    </row>
    <row r="591" spans="1:9" ht="19.95" customHeight="1" x14ac:dyDescent="0.3">
      <c r="A591" s="23">
        <v>46274.774624826387</v>
      </c>
      <c r="B591" s="16" t="s">
        <v>440</v>
      </c>
      <c r="C591" s="14" t="s">
        <v>427</v>
      </c>
      <c r="D591" s="14" t="s">
        <v>1662</v>
      </c>
      <c r="E591" s="14" t="s">
        <v>142</v>
      </c>
      <c r="F591" s="14" t="s">
        <v>355</v>
      </c>
      <c r="G591" s="14" t="s">
        <v>356</v>
      </c>
      <c r="H591" s="14" t="s">
        <v>357</v>
      </c>
      <c r="I591" s="14" t="s">
        <v>38</v>
      </c>
    </row>
    <row r="592" spans="1:9" ht="19.95" customHeight="1" x14ac:dyDescent="0.3">
      <c r="A592" s="21">
        <v>46274.774624722217</v>
      </c>
      <c r="B592" s="13" t="s">
        <v>440</v>
      </c>
      <c r="C592" s="11" t="s">
        <v>427</v>
      </c>
      <c r="D592" s="11" t="s">
        <v>1436</v>
      </c>
      <c r="E592" s="11" t="s">
        <v>142</v>
      </c>
      <c r="F592" s="11" t="s">
        <v>446</v>
      </c>
      <c r="G592" s="11" t="s">
        <v>356</v>
      </c>
      <c r="H592" s="11" t="s">
        <v>357</v>
      </c>
      <c r="I592" s="11" t="s">
        <v>1366</v>
      </c>
    </row>
    <row r="593" spans="1:9" ht="19.95" customHeight="1" x14ac:dyDescent="0.3">
      <c r="A593" s="23">
        <v>46274.774624606478</v>
      </c>
      <c r="B593" s="16" t="s">
        <v>440</v>
      </c>
      <c r="C593" s="14" t="s">
        <v>427</v>
      </c>
      <c r="D593" s="14" t="s">
        <v>1663</v>
      </c>
      <c r="E593" s="14" t="s">
        <v>142</v>
      </c>
      <c r="F593" s="14" t="s">
        <v>355</v>
      </c>
      <c r="G593" s="14" t="s">
        <v>356</v>
      </c>
      <c r="H593" s="14" t="s">
        <v>357</v>
      </c>
      <c r="I593" s="14" t="s">
        <v>38</v>
      </c>
    </row>
    <row r="594" spans="1:9" ht="19.95" customHeight="1" x14ac:dyDescent="0.3">
      <c r="A594" s="21">
        <v>46274.774624490739</v>
      </c>
      <c r="B594" s="13" t="s">
        <v>440</v>
      </c>
      <c r="C594" s="11" t="s">
        <v>427</v>
      </c>
      <c r="D594" s="11" t="s">
        <v>550</v>
      </c>
      <c r="E594" s="11" t="s">
        <v>145</v>
      </c>
      <c r="F594" s="11" t="s">
        <v>355</v>
      </c>
      <c r="G594" s="11" t="s">
        <v>356</v>
      </c>
      <c r="H594" s="11" t="s">
        <v>357</v>
      </c>
      <c r="I594" s="11" t="s">
        <v>38</v>
      </c>
    </row>
    <row r="595" spans="1:9" ht="19.95" customHeight="1" x14ac:dyDescent="0.3">
      <c r="A595" s="23">
        <v>46274.774624363417</v>
      </c>
      <c r="B595" s="16" t="s">
        <v>440</v>
      </c>
      <c r="C595" s="14" t="s">
        <v>427</v>
      </c>
      <c r="D595" s="14" t="s">
        <v>1664</v>
      </c>
      <c r="E595" s="14" t="s">
        <v>145</v>
      </c>
      <c r="F595" s="14" t="s">
        <v>355</v>
      </c>
      <c r="G595" s="14" t="s">
        <v>356</v>
      </c>
      <c r="H595" s="14" t="s">
        <v>357</v>
      </c>
      <c r="I595" s="14" t="s">
        <v>38</v>
      </c>
    </row>
    <row r="596" spans="1:9" ht="19.95" customHeight="1" x14ac:dyDescent="0.3">
      <c r="A596" s="21">
        <v>46274.77462423611</v>
      </c>
      <c r="B596" s="13" t="s">
        <v>440</v>
      </c>
      <c r="C596" s="11" t="s">
        <v>427</v>
      </c>
      <c r="D596" s="11" t="s">
        <v>1665</v>
      </c>
      <c r="E596" s="11" t="s">
        <v>361</v>
      </c>
      <c r="F596" s="11" t="s">
        <v>432</v>
      </c>
      <c r="G596" s="11" t="s">
        <v>356</v>
      </c>
      <c r="H596" s="11" t="s">
        <v>357</v>
      </c>
      <c r="I596" s="11" t="s">
        <v>38</v>
      </c>
    </row>
    <row r="597" spans="1:9" ht="19.95" customHeight="1" x14ac:dyDescent="0.3">
      <c r="A597" s="23">
        <v>46274.774624108803</v>
      </c>
      <c r="B597" s="16" t="s">
        <v>440</v>
      </c>
      <c r="C597" s="14" t="s">
        <v>427</v>
      </c>
      <c r="D597" s="14" t="s">
        <v>461</v>
      </c>
      <c r="E597" s="14" t="s">
        <v>361</v>
      </c>
      <c r="F597" s="14" t="s">
        <v>380</v>
      </c>
      <c r="G597" s="14" t="s">
        <v>152</v>
      </c>
      <c r="H597" s="14" t="s">
        <v>252</v>
      </c>
      <c r="I597" s="14" t="s">
        <v>1666</v>
      </c>
    </row>
    <row r="598" spans="1:9" ht="19.95" customHeight="1" x14ac:dyDescent="0.3">
      <c r="A598" s="21">
        <v>46274.774623981481</v>
      </c>
      <c r="B598" s="13" t="s">
        <v>440</v>
      </c>
      <c r="C598" s="11" t="s">
        <v>427</v>
      </c>
      <c r="D598" s="11" t="s">
        <v>1667</v>
      </c>
      <c r="E598" s="11" t="s">
        <v>142</v>
      </c>
      <c r="F598" s="11" t="s">
        <v>355</v>
      </c>
      <c r="G598" s="11" t="s">
        <v>356</v>
      </c>
      <c r="H598" s="11" t="s">
        <v>357</v>
      </c>
      <c r="I598" s="11" t="s">
        <v>38</v>
      </c>
    </row>
    <row r="599" spans="1:9" ht="19.95" customHeight="1" x14ac:dyDescent="0.3">
      <c r="A599" s="23">
        <v>46274.774623854173</v>
      </c>
      <c r="B599" s="16" t="s">
        <v>440</v>
      </c>
      <c r="C599" s="14" t="s">
        <v>427</v>
      </c>
      <c r="D599" s="14" t="s">
        <v>1668</v>
      </c>
      <c r="E599" s="14" t="s">
        <v>142</v>
      </c>
      <c r="F599" s="14" t="s">
        <v>355</v>
      </c>
      <c r="G599" s="14" t="s">
        <v>356</v>
      </c>
      <c r="H599" s="14" t="s">
        <v>357</v>
      </c>
      <c r="I599" s="14" t="s">
        <v>38</v>
      </c>
    </row>
    <row r="600" spans="1:9" ht="19.95" customHeight="1" x14ac:dyDescent="0.3">
      <c r="A600" s="21">
        <v>46274.774623738427</v>
      </c>
      <c r="B600" s="13" t="s">
        <v>440</v>
      </c>
      <c r="C600" s="11" t="s">
        <v>427</v>
      </c>
      <c r="D600" s="11" t="s">
        <v>1669</v>
      </c>
      <c r="E600" s="11" t="s">
        <v>142</v>
      </c>
      <c r="F600" s="11" t="s">
        <v>355</v>
      </c>
      <c r="G600" s="11" t="s">
        <v>356</v>
      </c>
      <c r="H600" s="11" t="s">
        <v>357</v>
      </c>
      <c r="I600" s="11" t="s">
        <v>38</v>
      </c>
    </row>
    <row r="601" spans="1:9" ht="19.95" customHeight="1" x14ac:dyDescent="0.3">
      <c r="A601" s="23">
        <v>46274.774623611112</v>
      </c>
      <c r="B601" s="16" t="s">
        <v>440</v>
      </c>
      <c r="C601" s="14" t="s">
        <v>427</v>
      </c>
      <c r="D601" s="14" t="s">
        <v>1234</v>
      </c>
      <c r="E601" s="14" t="s">
        <v>361</v>
      </c>
      <c r="F601" s="14" t="s">
        <v>380</v>
      </c>
      <c r="G601" s="14" t="s">
        <v>152</v>
      </c>
      <c r="H601" s="14" t="s">
        <v>443</v>
      </c>
      <c r="I601" s="14" t="s">
        <v>1670</v>
      </c>
    </row>
    <row r="602" spans="1:9" ht="19.95" customHeight="1" x14ac:dyDescent="0.3">
      <c r="A602" s="21">
        <v>46274.774623460653</v>
      </c>
      <c r="B602" s="13" t="s">
        <v>440</v>
      </c>
      <c r="C602" s="11" t="s">
        <v>427</v>
      </c>
      <c r="D602" s="11" t="s">
        <v>554</v>
      </c>
      <c r="E602" s="11" t="s">
        <v>145</v>
      </c>
      <c r="F602" s="11" t="s">
        <v>355</v>
      </c>
      <c r="G602" s="11" t="s">
        <v>356</v>
      </c>
      <c r="H602" s="11" t="s">
        <v>357</v>
      </c>
      <c r="I602" s="11" t="s">
        <v>38</v>
      </c>
    </row>
    <row r="603" spans="1:9" ht="19.95" customHeight="1" x14ac:dyDescent="0.3">
      <c r="A603" s="23">
        <v>46274.774623321762</v>
      </c>
      <c r="B603" s="16" t="s">
        <v>440</v>
      </c>
      <c r="C603" s="14" t="s">
        <v>427</v>
      </c>
      <c r="D603" s="14" t="s">
        <v>1671</v>
      </c>
      <c r="E603" s="14" t="s">
        <v>361</v>
      </c>
      <c r="F603" s="14" t="s">
        <v>432</v>
      </c>
      <c r="G603" s="14" t="s">
        <v>356</v>
      </c>
      <c r="H603" s="14" t="s">
        <v>357</v>
      </c>
      <c r="I603" s="14" t="s">
        <v>38</v>
      </c>
    </row>
    <row r="604" spans="1:9" ht="19.95" customHeight="1" x14ac:dyDescent="0.3">
      <c r="A604" s="21">
        <v>46274.774623182871</v>
      </c>
      <c r="B604" s="13" t="s">
        <v>440</v>
      </c>
      <c r="C604" s="11" t="s">
        <v>427</v>
      </c>
      <c r="D604" s="11" t="s">
        <v>553</v>
      </c>
      <c r="E604" s="11" t="s">
        <v>361</v>
      </c>
      <c r="F604" s="11" t="s">
        <v>432</v>
      </c>
      <c r="G604" s="11" t="s">
        <v>356</v>
      </c>
      <c r="H604" s="11" t="s">
        <v>357</v>
      </c>
      <c r="I604" s="11" t="s">
        <v>1672</v>
      </c>
    </row>
    <row r="605" spans="1:9" ht="19.95" customHeight="1" x14ac:dyDescent="0.3">
      <c r="A605" s="23">
        <v>46274.774622997676</v>
      </c>
      <c r="B605" s="16" t="s">
        <v>440</v>
      </c>
      <c r="C605" s="14" t="s">
        <v>427</v>
      </c>
      <c r="D605" s="14" t="s">
        <v>1673</v>
      </c>
      <c r="E605" s="14" t="s">
        <v>361</v>
      </c>
      <c r="F605" s="14" t="s">
        <v>432</v>
      </c>
      <c r="G605" s="14" t="s">
        <v>356</v>
      </c>
      <c r="H605" s="14" t="s">
        <v>357</v>
      </c>
      <c r="I605" s="14" t="s">
        <v>38</v>
      </c>
    </row>
    <row r="606" spans="1:9" ht="19.95" customHeight="1" x14ac:dyDescent="0.3">
      <c r="A606" s="21">
        <v>46274.774622743047</v>
      </c>
      <c r="B606" s="13" t="s">
        <v>440</v>
      </c>
      <c r="C606" s="11" t="s">
        <v>427</v>
      </c>
      <c r="D606" s="11" t="s">
        <v>1236</v>
      </c>
      <c r="E606" s="11" t="s">
        <v>361</v>
      </c>
      <c r="F606" s="11" t="s">
        <v>380</v>
      </c>
      <c r="G606" s="11" t="s">
        <v>147</v>
      </c>
      <c r="H606" s="11" t="s">
        <v>381</v>
      </c>
      <c r="I606" s="11" t="s">
        <v>1674</v>
      </c>
    </row>
    <row r="607" spans="1:9" ht="19.95" customHeight="1" x14ac:dyDescent="0.3">
      <c r="A607" s="23">
        <v>46274.774622523153</v>
      </c>
      <c r="B607" s="16" t="s">
        <v>440</v>
      </c>
      <c r="C607" s="14" t="s">
        <v>427</v>
      </c>
      <c r="D607" s="14" t="s">
        <v>1675</v>
      </c>
      <c r="E607" s="14" t="s">
        <v>361</v>
      </c>
      <c r="F607" s="14" t="s">
        <v>432</v>
      </c>
      <c r="G607" s="14" t="s">
        <v>356</v>
      </c>
      <c r="H607" s="14" t="s">
        <v>357</v>
      </c>
      <c r="I607" s="14" t="s">
        <v>38</v>
      </c>
    </row>
    <row r="608" spans="1:9" ht="19.95" customHeight="1" x14ac:dyDescent="0.3">
      <c r="A608" s="21">
        <v>46274.774622268516</v>
      </c>
      <c r="B608" s="13" t="s">
        <v>440</v>
      </c>
      <c r="C608" s="11" t="s">
        <v>427</v>
      </c>
      <c r="D608" s="11" t="s">
        <v>1676</v>
      </c>
      <c r="E608" s="11" t="s">
        <v>142</v>
      </c>
      <c r="F608" s="11" t="s">
        <v>355</v>
      </c>
      <c r="G608" s="11" t="s">
        <v>356</v>
      </c>
      <c r="H608" s="11" t="s">
        <v>357</v>
      </c>
      <c r="I608" s="11" t="s">
        <v>38</v>
      </c>
    </row>
    <row r="609" spans="1:9" ht="19.95" customHeight="1" x14ac:dyDescent="0.3">
      <c r="A609" s="23">
        <v>46274.774622129633</v>
      </c>
      <c r="B609" s="16" t="s">
        <v>440</v>
      </c>
      <c r="C609" s="14" t="s">
        <v>427</v>
      </c>
      <c r="D609" s="14" t="s">
        <v>1677</v>
      </c>
      <c r="E609" s="14" t="s">
        <v>142</v>
      </c>
      <c r="F609" s="14" t="s">
        <v>355</v>
      </c>
      <c r="G609" s="14" t="s">
        <v>356</v>
      </c>
      <c r="H609" s="14" t="s">
        <v>357</v>
      </c>
      <c r="I609" s="14" t="s">
        <v>38</v>
      </c>
    </row>
    <row r="610" spans="1:9" ht="19.95" customHeight="1" x14ac:dyDescent="0.3">
      <c r="A610" s="21">
        <v>46274.774621805547</v>
      </c>
      <c r="B610" s="13" t="s">
        <v>440</v>
      </c>
      <c r="C610" s="11" t="s">
        <v>427</v>
      </c>
      <c r="D610" s="11" t="s">
        <v>1365</v>
      </c>
      <c r="E610" s="11" t="s">
        <v>142</v>
      </c>
      <c r="F610" s="11" t="s">
        <v>355</v>
      </c>
      <c r="G610" s="11" t="s">
        <v>356</v>
      </c>
      <c r="H610" s="11" t="s">
        <v>357</v>
      </c>
      <c r="I610" s="11" t="s">
        <v>1366</v>
      </c>
    </row>
    <row r="611" spans="1:9" ht="19.95" customHeight="1" x14ac:dyDescent="0.3">
      <c r="A611" s="23">
        <v>46274.774621631943</v>
      </c>
      <c r="B611" s="16" t="s">
        <v>440</v>
      </c>
      <c r="C611" s="14" t="s">
        <v>427</v>
      </c>
      <c r="D611" s="14" t="s">
        <v>1678</v>
      </c>
      <c r="E611" s="14" t="s">
        <v>145</v>
      </c>
      <c r="F611" s="14" t="s">
        <v>355</v>
      </c>
      <c r="G611" s="14" t="s">
        <v>356</v>
      </c>
      <c r="H611" s="14" t="s">
        <v>357</v>
      </c>
      <c r="I611" s="14" t="s">
        <v>38</v>
      </c>
    </row>
    <row r="612" spans="1:9" ht="19.95" customHeight="1" x14ac:dyDescent="0.3">
      <c r="A612" s="21">
        <v>46274.77462142361</v>
      </c>
      <c r="B612" s="13" t="s">
        <v>440</v>
      </c>
      <c r="C612" s="11" t="s">
        <v>427</v>
      </c>
      <c r="D612" s="11" t="s">
        <v>1679</v>
      </c>
      <c r="E612" s="11" t="s">
        <v>142</v>
      </c>
      <c r="F612" s="11" t="s">
        <v>355</v>
      </c>
      <c r="G612" s="11" t="s">
        <v>356</v>
      </c>
      <c r="H612" s="11" t="s">
        <v>357</v>
      </c>
      <c r="I612" s="11" t="s">
        <v>38</v>
      </c>
    </row>
    <row r="613" spans="1:9" ht="19.95" customHeight="1" x14ac:dyDescent="0.3">
      <c r="A613" s="23">
        <v>46274.774621238423</v>
      </c>
      <c r="B613" s="16" t="s">
        <v>440</v>
      </c>
      <c r="C613" s="14" t="s">
        <v>427</v>
      </c>
      <c r="D613" s="14" t="s">
        <v>1680</v>
      </c>
      <c r="E613" s="14" t="s">
        <v>145</v>
      </c>
      <c r="F613" s="14" t="s">
        <v>355</v>
      </c>
      <c r="G613" s="14" t="s">
        <v>356</v>
      </c>
      <c r="H613" s="14" t="s">
        <v>357</v>
      </c>
      <c r="I613" s="14" t="s">
        <v>38</v>
      </c>
    </row>
    <row r="614" spans="1:9" ht="19.95" customHeight="1" x14ac:dyDescent="0.3">
      <c r="A614" s="21">
        <v>46274.774621111108</v>
      </c>
      <c r="B614" s="13" t="s">
        <v>440</v>
      </c>
      <c r="C614" s="11" t="s">
        <v>427</v>
      </c>
      <c r="D614" s="11" t="s">
        <v>1681</v>
      </c>
      <c r="E614" s="11" t="s">
        <v>145</v>
      </c>
      <c r="F614" s="11" t="s">
        <v>355</v>
      </c>
      <c r="G614" s="11" t="s">
        <v>356</v>
      </c>
      <c r="H614" s="11" t="s">
        <v>357</v>
      </c>
      <c r="I614" s="11" t="s">
        <v>38</v>
      </c>
    </row>
    <row r="615" spans="1:9" ht="19.95" customHeight="1" x14ac:dyDescent="0.3">
      <c r="A615" s="23">
        <v>46274.774620960648</v>
      </c>
      <c r="B615" s="16" t="s">
        <v>440</v>
      </c>
      <c r="C615" s="14" t="s">
        <v>427</v>
      </c>
      <c r="D615" s="14" t="s">
        <v>1682</v>
      </c>
      <c r="E615" s="14" t="s">
        <v>145</v>
      </c>
      <c r="F615" s="14" t="s">
        <v>355</v>
      </c>
      <c r="G615" s="14" t="s">
        <v>356</v>
      </c>
      <c r="H615" s="14" t="s">
        <v>357</v>
      </c>
      <c r="I615" s="14" t="s">
        <v>38</v>
      </c>
    </row>
    <row r="616" spans="1:9" ht="19.95" customHeight="1" x14ac:dyDescent="0.3">
      <c r="A616" s="21">
        <v>46274.774620833326</v>
      </c>
      <c r="B616" s="13" t="s">
        <v>440</v>
      </c>
      <c r="C616" s="11" t="s">
        <v>427</v>
      </c>
      <c r="D616" s="11" t="s">
        <v>1683</v>
      </c>
      <c r="E616" s="11" t="s">
        <v>142</v>
      </c>
      <c r="F616" s="11" t="s">
        <v>355</v>
      </c>
      <c r="G616" s="11" t="s">
        <v>356</v>
      </c>
      <c r="H616" s="11" t="s">
        <v>357</v>
      </c>
      <c r="I616" s="11" t="s">
        <v>38</v>
      </c>
    </row>
    <row r="617" spans="1:9" ht="19.95" customHeight="1" x14ac:dyDescent="0.3">
      <c r="A617" s="23">
        <v>46274.774620659722</v>
      </c>
      <c r="B617" s="16" t="s">
        <v>440</v>
      </c>
      <c r="C617" s="14" t="s">
        <v>427</v>
      </c>
      <c r="D617" s="14" t="s">
        <v>1370</v>
      </c>
      <c r="E617" s="14" t="s">
        <v>142</v>
      </c>
      <c r="F617" s="14" t="s">
        <v>355</v>
      </c>
      <c r="G617" s="14" t="s">
        <v>356</v>
      </c>
      <c r="H617" s="14" t="s">
        <v>357</v>
      </c>
      <c r="I617" s="14" t="s">
        <v>1344</v>
      </c>
    </row>
    <row r="618" spans="1:9" ht="19.95" customHeight="1" x14ac:dyDescent="0.3">
      <c r="A618" s="21">
        <v>46274.774620509263</v>
      </c>
      <c r="B618" s="13" t="s">
        <v>440</v>
      </c>
      <c r="C618" s="11" t="s">
        <v>427</v>
      </c>
      <c r="D618" s="11" t="s">
        <v>1684</v>
      </c>
      <c r="E618" s="11" t="s">
        <v>145</v>
      </c>
      <c r="F618" s="11" t="s">
        <v>355</v>
      </c>
      <c r="G618" s="11" t="s">
        <v>356</v>
      </c>
      <c r="H618" s="11" t="s">
        <v>357</v>
      </c>
      <c r="I618" s="11" t="s">
        <v>38</v>
      </c>
    </row>
    <row r="619" spans="1:9" ht="19.95" customHeight="1" x14ac:dyDescent="0.3">
      <c r="A619" s="23">
        <v>46274.774620393517</v>
      </c>
      <c r="B619" s="16" t="s">
        <v>440</v>
      </c>
      <c r="C619" s="14" t="s">
        <v>427</v>
      </c>
      <c r="D619" s="14" t="s">
        <v>1685</v>
      </c>
      <c r="E619" s="14" t="s">
        <v>145</v>
      </c>
      <c r="F619" s="14" t="s">
        <v>355</v>
      </c>
      <c r="G619" s="14" t="s">
        <v>356</v>
      </c>
      <c r="H619" s="14" t="s">
        <v>357</v>
      </c>
      <c r="I619" s="14" t="s">
        <v>38</v>
      </c>
    </row>
    <row r="620" spans="1:9" ht="19.95" customHeight="1" x14ac:dyDescent="0.3">
      <c r="A620" s="21">
        <v>46274.774620231481</v>
      </c>
      <c r="B620" s="13" t="s">
        <v>440</v>
      </c>
      <c r="C620" s="11" t="s">
        <v>427</v>
      </c>
      <c r="D620" s="11" t="s">
        <v>1686</v>
      </c>
      <c r="E620" s="11" t="s">
        <v>142</v>
      </c>
      <c r="F620" s="11" t="s">
        <v>355</v>
      </c>
      <c r="G620" s="11" t="s">
        <v>356</v>
      </c>
      <c r="H620" s="11" t="s">
        <v>357</v>
      </c>
      <c r="I620" s="11" t="s">
        <v>38</v>
      </c>
    </row>
    <row r="621" spans="1:9" ht="19.95" customHeight="1" x14ac:dyDescent="0.3">
      <c r="A621" s="23">
        <v>46274.774620081022</v>
      </c>
      <c r="B621" s="16" t="s">
        <v>440</v>
      </c>
      <c r="C621" s="14" t="s">
        <v>427</v>
      </c>
      <c r="D621" s="14" t="s">
        <v>1687</v>
      </c>
      <c r="E621" s="14" t="s">
        <v>145</v>
      </c>
      <c r="F621" s="14" t="s">
        <v>355</v>
      </c>
      <c r="G621" s="14" t="s">
        <v>356</v>
      </c>
      <c r="H621" s="14" t="s">
        <v>357</v>
      </c>
      <c r="I621" s="14" t="s">
        <v>38</v>
      </c>
    </row>
    <row r="622" spans="1:9" ht="19.95" customHeight="1" x14ac:dyDescent="0.3">
      <c r="A622" s="21">
        <v>46274.774619918979</v>
      </c>
      <c r="B622" s="13" t="s">
        <v>440</v>
      </c>
      <c r="C622" s="11" t="s">
        <v>427</v>
      </c>
      <c r="D622" s="11" t="s">
        <v>1688</v>
      </c>
      <c r="E622" s="11" t="s">
        <v>142</v>
      </c>
      <c r="F622" s="11" t="s">
        <v>355</v>
      </c>
      <c r="G622" s="11" t="s">
        <v>356</v>
      </c>
      <c r="H622" s="11" t="s">
        <v>357</v>
      </c>
      <c r="I622" s="11" t="s">
        <v>38</v>
      </c>
    </row>
    <row r="623" spans="1:9" ht="19.95" customHeight="1" x14ac:dyDescent="0.3">
      <c r="A623" s="23">
        <v>46274.774619768519</v>
      </c>
      <c r="B623" s="16" t="s">
        <v>440</v>
      </c>
      <c r="C623" s="14" t="s">
        <v>427</v>
      </c>
      <c r="D623" s="14" t="s">
        <v>1689</v>
      </c>
      <c r="E623" s="14" t="s">
        <v>142</v>
      </c>
      <c r="F623" s="14" t="s">
        <v>355</v>
      </c>
      <c r="G623" s="14" t="s">
        <v>356</v>
      </c>
      <c r="H623" s="14" t="s">
        <v>357</v>
      </c>
      <c r="I623" s="14" t="s">
        <v>38</v>
      </c>
    </row>
    <row r="624" spans="1:9" ht="19.95" customHeight="1" x14ac:dyDescent="0.3">
      <c r="A624" s="21">
        <v>46274.774619594908</v>
      </c>
      <c r="B624" s="13" t="s">
        <v>440</v>
      </c>
      <c r="C624" s="11" t="s">
        <v>427</v>
      </c>
      <c r="D624" s="11" t="s">
        <v>1690</v>
      </c>
      <c r="E624" s="11" t="s">
        <v>142</v>
      </c>
      <c r="F624" s="11" t="s">
        <v>355</v>
      </c>
      <c r="G624" s="11" t="s">
        <v>356</v>
      </c>
      <c r="H624" s="11" t="s">
        <v>357</v>
      </c>
      <c r="I624" s="11" t="s">
        <v>38</v>
      </c>
    </row>
    <row r="625" spans="1:9" ht="19.95" customHeight="1" x14ac:dyDescent="0.3">
      <c r="A625" s="23">
        <v>46274.77461925926</v>
      </c>
      <c r="B625" s="16" t="s">
        <v>440</v>
      </c>
      <c r="C625" s="14" t="s">
        <v>427</v>
      </c>
      <c r="D625" s="14" t="s">
        <v>1691</v>
      </c>
      <c r="E625" s="14" t="s">
        <v>142</v>
      </c>
      <c r="F625" s="14" t="s">
        <v>446</v>
      </c>
      <c r="G625" s="14" t="s">
        <v>356</v>
      </c>
      <c r="H625" s="14" t="s">
        <v>357</v>
      </c>
      <c r="I625" s="14" t="s">
        <v>1692</v>
      </c>
    </row>
    <row r="626" spans="1:9" ht="19.95" customHeight="1" x14ac:dyDescent="0.3">
      <c r="A626" s="21">
        <v>46274.774619074073</v>
      </c>
      <c r="B626" s="13" t="s">
        <v>440</v>
      </c>
      <c r="C626" s="11" t="s">
        <v>427</v>
      </c>
      <c r="D626" s="11" t="s">
        <v>555</v>
      </c>
      <c r="E626" s="11" t="s">
        <v>142</v>
      </c>
      <c r="F626" s="11" t="s">
        <v>424</v>
      </c>
      <c r="G626" s="11" t="s">
        <v>356</v>
      </c>
      <c r="H626" s="11" t="s">
        <v>357</v>
      </c>
      <c r="I626" s="11" t="s">
        <v>38</v>
      </c>
    </row>
    <row r="627" spans="1:9" ht="19.95" customHeight="1" x14ac:dyDescent="0.3">
      <c r="A627" s="23">
        <v>46274.774618912037</v>
      </c>
      <c r="B627" s="16" t="s">
        <v>440</v>
      </c>
      <c r="C627" s="14" t="s">
        <v>427</v>
      </c>
      <c r="D627" s="14" t="s">
        <v>1693</v>
      </c>
      <c r="E627" s="14" t="s">
        <v>142</v>
      </c>
      <c r="F627" s="14" t="s">
        <v>424</v>
      </c>
      <c r="G627" s="14" t="s">
        <v>356</v>
      </c>
      <c r="H627" s="14" t="s">
        <v>357</v>
      </c>
      <c r="I627" s="14" t="s">
        <v>38</v>
      </c>
    </row>
    <row r="628" spans="1:9" ht="19.95" customHeight="1" x14ac:dyDescent="0.3">
      <c r="A628" s="21">
        <v>46274.774618761578</v>
      </c>
      <c r="B628" s="13" t="s">
        <v>440</v>
      </c>
      <c r="C628" s="11" t="s">
        <v>427</v>
      </c>
      <c r="D628" s="11" t="s">
        <v>556</v>
      </c>
      <c r="E628" s="11" t="s">
        <v>142</v>
      </c>
      <c r="F628" s="11" t="s">
        <v>446</v>
      </c>
      <c r="G628" s="11" t="s">
        <v>356</v>
      </c>
      <c r="H628" s="11" t="s">
        <v>357</v>
      </c>
      <c r="I628" s="11" t="s">
        <v>1694</v>
      </c>
    </row>
    <row r="629" spans="1:9" ht="19.95" customHeight="1" x14ac:dyDescent="0.3">
      <c r="A629" s="23">
        <v>46274.774618564807</v>
      </c>
      <c r="B629" s="16" t="s">
        <v>440</v>
      </c>
      <c r="C629" s="14" t="s">
        <v>427</v>
      </c>
      <c r="D629" s="14" t="s">
        <v>1695</v>
      </c>
      <c r="E629" s="14" t="s">
        <v>142</v>
      </c>
      <c r="F629" s="14" t="s">
        <v>424</v>
      </c>
      <c r="G629" s="14" t="s">
        <v>356</v>
      </c>
      <c r="H629" s="14" t="s">
        <v>357</v>
      </c>
      <c r="I629" s="14" t="s">
        <v>38</v>
      </c>
    </row>
    <row r="630" spans="1:9" ht="19.95" customHeight="1" x14ac:dyDescent="0.3">
      <c r="A630" s="21">
        <v>46274.774618391202</v>
      </c>
      <c r="B630" s="13" t="s">
        <v>440</v>
      </c>
      <c r="C630" s="11" t="s">
        <v>427</v>
      </c>
      <c r="D630" s="11" t="s">
        <v>1246</v>
      </c>
      <c r="E630" s="11" t="s">
        <v>142</v>
      </c>
      <c r="F630" s="11" t="s">
        <v>446</v>
      </c>
      <c r="G630" s="11" t="s">
        <v>356</v>
      </c>
      <c r="H630" s="11" t="s">
        <v>357</v>
      </c>
      <c r="I630" s="11" t="s">
        <v>1426</v>
      </c>
    </row>
    <row r="631" spans="1:9" ht="19.95" customHeight="1" x14ac:dyDescent="0.3">
      <c r="A631" s="23">
        <v>46274.774618159718</v>
      </c>
      <c r="B631" s="16" t="s">
        <v>440</v>
      </c>
      <c r="C631" s="14" t="s">
        <v>427</v>
      </c>
      <c r="D631" s="14" t="s">
        <v>1696</v>
      </c>
      <c r="E631" s="14" t="s">
        <v>142</v>
      </c>
      <c r="F631" s="14" t="s">
        <v>424</v>
      </c>
      <c r="G631" s="14" t="s">
        <v>356</v>
      </c>
      <c r="H631" s="14" t="s">
        <v>357</v>
      </c>
      <c r="I631" s="14" t="s">
        <v>38</v>
      </c>
    </row>
    <row r="632" spans="1:9" ht="19.95" customHeight="1" x14ac:dyDescent="0.3">
      <c r="A632" s="21">
        <v>46274.774618009258</v>
      </c>
      <c r="B632" s="13" t="s">
        <v>440</v>
      </c>
      <c r="C632" s="11" t="s">
        <v>427</v>
      </c>
      <c r="D632" s="11" t="s">
        <v>1248</v>
      </c>
      <c r="E632" s="11" t="s">
        <v>142</v>
      </c>
      <c r="F632" s="11" t="s">
        <v>446</v>
      </c>
      <c r="G632" s="11" t="s">
        <v>356</v>
      </c>
      <c r="H632" s="11" t="s">
        <v>357</v>
      </c>
      <c r="I632" s="11" t="s">
        <v>1366</v>
      </c>
    </row>
    <row r="633" spans="1:9" ht="19.95" customHeight="1" x14ac:dyDescent="0.3">
      <c r="A633" s="23">
        <v>46274.77461763889</v>
      </c>
      <c r="B633" s="16" t="s">
        <v>440</v>
      </c>
      <c r="C633" s="14" t="s">
        <v>427</v>
      </c>
      <c r="D633" s="14" t="s">
        <v>1697</v>
      </c>
      <c r="E633" s="14" t="s">
        <v>142</v>
      </c>
      <c r="F633" s="14" t="s">
        <v>424</v>
      </c>
      <c r="G633" s="14" t="s">
        <v>356</v>
      </c>
      <c r="H633" s="14" t="s">
        <v>357</v>
      </c>
      <c r="I633" s="14" t="s">
        <v>1698</v>
      </c>
    </row>
    <row r="634" spans="1:9" ht="19.95" customHeight="1" x14ac:dyDescent="0.3">
      <c r="A634" s="21">
        <v>46274.774617476847</v>
      </c>
      <c r="B634" s="13" t="s">
        <v>440</v>
      </c>
      <c r="C634" s="11" t="s">
        <v>427</v>
      </c>
      <c r="D634" s="11" t="s">
        <v>1699</v>
      </c>
      <c r="E634" s="11" t="s">
        <v>361</v>
      </c>
      <c r="F634" s="11" t="s">
        <v>432</v>
      </c>
      <c r="G634" s="11" t="s">
        <v>356</v>
      </c>
      <c r="H634" s="11" t="s">
        <v>357</v>
      </c>
      <c r="I634" s="11" t="s">
        <v>1698</v>
      </c>
    </row>
    <row r="635" spans="1:9" ht="19.95" customHeight="1" x14ac:dyDescent="0.3">
      <c r="A635" s="23">
        <v>46274.774617337956</v>
      </c>
      <c r="B635" s="16" t="s">
        <v>440</v>
      </c>
      <c r="C635" s="14" t="s">
        <v>427</v>
      </c>
      <c r="D635" s="14" t="s">
        <v>1358</v>
      </c>
      <c r="E635" s="14" t="s">
        <v>142</v>
      </c>
      <c r="F635" s="14" t="s">
        <v>446</v>
      </c>
      <c r="G635" s="14" t="s">
        <v>356</v>
      </c>
      <c r="H635" s="14" t="s">
        <v>357</v>
      </c>
      <c r="I635" s="14" t="s">
        <v>1700</v>
      </c>
    </row>
    <row r="636" spans="1:9" ht="19.95" customHeight="1" x14ac:dyDescent="0.3">
      <c r="A636" s="21">
        <v>46274.774617222232</v>
      </c>
      <c r="B636" s="13" t="s">
        <v>440</v>
      </c>
      <c r="C636" s="11" t="s">
        <v>427</v>
      </c>
      <c r="D636" s="11" t="s">
        <v>567</v>
      </c>
      <c r="E636" s="11" t="s">
        <v>142</v>
      </c>
      <c r="F636" s="11" t="s">
        <v>446</v>
      </c>
      <c r="G636" s="11" t="s">
        <v>356</v>
      </c>
      <c r="H636" s="11" t="s">
        <v>357</v>
      </c>
      <c r="I636" s="11" t="s">
        <v>1701</v>
      </c>
    </row>
    <row r="637" spans="1:9" ht="19.95" customHeight="1" x14ac:dyDescent="0.3">
      <c r="A637" s="23">
        <v>46274.774616944444</v>
      </c>
      <c r="B637" s="16" t="s">
        <v>440</v>
      </c>
      <c r="C637" s="14" t="s">
        <v>427</v>
      </c>
      <c r="D637" s="14" t="s">
        <v>1702</v>
      </c>
      <c r="E637" s="14" t="s">
        <v>142</v>
      </c>
      <c r="F637" s="14" t="s">
        <v>432</v>
      </c>
      <c r="G637" s="14" t="s">
        <v>356</v>
      </c>
      <c r="H637" s="14" t="s">
        <v>357</v>
      </c>
      <c r="I637" s="14" t="s">
        <v>447</v>
      </c>
    </row>
    <row r="638" spans="1:9" ht="19.95" customHeight="1" x14ac:dyDescent="0.3">
      <c r="A638" s="21">
        <v>46274.77461670139</v>
      </c>
      <c r="B638" s="13" t="s">
        <v>440</v>
      </c>
      <c r="C638" s="11" t="s">
        <v>427</v>
      </c>
      <c r="D638" s="11" t="s">
        <v>1703</v>
      </c>
      <c r="E638" s="11" t="s">
        <v>145</v>
      </c>
      <c r="F638" s="11" t="s">
        <v>424</v>
      </c>
      <c r="G638" s="11" t="s">
        <v>356</v>
      </c>
      <c r="H638" s="11" t="s">
        <v>357</v>
      </c>
      <c r="I638" s="11" t="s">
        <v>38</v>
      </c>
    </row>
    <row r="639" spans="1:9" ht="19.95" customHeight="1" x14ac:dyDescent="0.3">
      <c r="A639" s="23">
        <v>46274.774616400457</v>
      </c>
      <c r="B639" s="16" t="s">
        <v>440</v>
      </c>
      <c r="C639" s="14" t="s">
        <v>427</v>
      </c>
      <c r="D639" s="14" t="s">
        <v>1258</v>
      </c>
      <c r="E639" s="14" t="s">
        <v>145</v>
      </c>
      <c r="F639" s="14" t="s">
        <v>446</v>
      </c>
      <c r="G639" s="14" t="s">
        <v>356</v>
      </c>
      <c r="H639" s="14" t="s">
        <v>357</v>
      </c>
      <c r="I639" s="14" t="s">
        <v>1366</v>
      </c>
    </row>
    <row r="640" spans="1:9" ht="19.95" customHeight="1" x14ac:dyDescent="0.3">
      <c r="A640" s="21">
        <v>46274.774616215283</v>
      </c>
      <c r="B640" s="13" t="s">
        <v>440</v>
      </c>
      <c r="C640" s="11" t="s">
        <v>427</v>
      </c>
      <c r="D640" s="11" t="s">
        <v>1704</v>
      </c>
      <c r="E640" s="11" t="s">
        <v>145</v>
      </c>
      <c r="F640" s="11" t="s">
        <v>424</v>
      </c>
      <c r="G640" s="11" t="s">
        <v>356</v>
      </c>
      <c r="H640" s="11" t="s">
        <v>357</v>
      </c>
      <c r="I640" s="11" t="s">
        <v>38</v>
      </c>
    </row>
    <row r="641" spans="1:9" ht="19.95" customHeight="1" x14ac:dyDescent="0.3">
      <c r="A641" s="23">
        <v>46274.774615798611</v>
      </c>
      <c r="B641" s="16" t="s">
        <v>440</v>
      </c>
      <c r="C641" s="14" t="s">
        <v>427</v>
      </c>
      <c r="D641" s="14" t="s">
        <v>1705</v>
      </c>
      <c r="E641" s="14" t="s">
        <v>145</v>
      </c>
      <c r="F641" s="14" t="s">
        <v>424</v>
      </c>
      <c r="G641" s="14" t="s">
        <v>356</v>
      </c>
      <c r="H641" s="14" t="s">
        <v>357</v>
      </c>
      <c r="I641" s="14" t="s">
        <v>38</v>
      </c>
    </row>
    <row r="642" spans="1:9" ht="19.95" customHeight="1" x14ac:dyDescent="0.3">
      <c r="A642" s="21">
        <v>46274.774615671296</v>
      </c>
      <c r="B642" s="13" t="s">
        <v>440</v>
      </c>
      <c r="C642" s="11" t="s">
        <v>427</v>
      </c>
      <c r="D642" s="11" t="s">
        <v>1260</v>
      </c>
      <c r="E642" s="11" t="s">
        <v>145</v>
      </c>
      <c r="F642" s="11" t="s">
        <v>446</v>
      </c>
      <c r="G642" s="11" t="s">
        <v>356</v>
      </c>
      <c r="H642" s="11" t="s">
        <v>357</v>
      </c>
      <c r="I642" s="11" t="s">
        <v>1366</v>
      </c>
    </row>
    <row r="643" spans="1:9" ht="19.95" customHeight="1" x14ac:dyDescent="0.3">
      <c r="A643" s="23">
        <v>46274.774615439812</v>
      </c>
      <c r="B643" s="16" t="s">
        <v>440</v>
      </c>
      <c r="C643" s="14" t="s">
        <v>427</v>
      </c>
      <c r="D643" s="14" t="s">
        <v>1706</v>
      </c>
      <c r="E643" s="14" t="s">
        <v>145</v>
      </c>
      <c r="F643" s="14" t="s">
        <v>424</v>
      </c>
      <c r="G643" s="14" t="s">
        <v>356</v>
      </c>
      <c r="H643" s="14" t="s">
        <v>357</v>
      </c>
      <c r="I643" s="14" t="s">
        <v>38</v>
      </c>
    </row>
    <row r="644" spans="1:9" ht="19.95" customHeight="1" x14ac:dyDescent="0.3">
      <c r="A644" s="21">
        <v>46274.774615324073</v>
      </c>
      <c r="B644" s="13" t="s">
        <v>440</v>
      </c>
      <c r="C644" s="11" t="s">
        <v>427</v>
      </c>
      <c r="D644" s="11" t="s">
        <v>1707</v>
      </c>
      <c r="E644" s="11" t="s">
        <v>145</v>
      </c>
      <c r="F644" s="11" t="s">
        <v>424</v>
      </c>
      <c r="G644" s="11" t="s">
        <v>356</v>
      </c>
      <c r="H644" s="11" t="s">
        <v>357</v>
      </c>
      <c r="I644" s="11" t="s">
        <v>38</v>
      </c>
    </row>
    <row r="645" spans="1:9" ht="19.95" customHeight="1" x14ac:dyDescent="0.3">
      <c r="A645" s="23">
        <v>46274.774615196759</v>
      </c>
      <c r="B645" s="16" t="s">
        <v>440</v>
      </c>
      <c r="C645" s="14" t="s">
        <v>427</v>
      </c>
      <c r="D645" s="14" t="s">
        <v>1266</v>
      </c>
      <c r="E645" s="14" t="s">
        <v>361</v>
      </c>
      <c r="F645" s="14" t="s">
        <v>380</v>
      </c>
      <c r="G645" s="14" t="s">
        <v>147</v>
      </c>
      <c r="H645" s="14" t="s">
        <v>256</v>
      </c>
      <c r="I645" s="14" t="s">
        <v>1708</v>
      </c>
    </row>
    <row r="646" spans="1:9" ht="19.95" customHeight="1" x14ac:dyDescent="0.3">
      <c r="A646" s="21">
        <v>46274.774615057868</v>
      </c>
      <c r="B646" s="13" t="s">
        <v>440</v>
      </c>
      <c r="C646" s="11" t="s">
        <v>427</v>
      </c>
      <c r="D646" s="11" t="s">
        <v>1262</v>
      </c>
      <c r="E646" s="11" t="s">
        <v>145</v>
      </c>
      <c r="F646" s="11" t="s">
        <v>446</v>
      </c>
      <c r="G646" s="11" t="s">
        <v>356</v>
      </c>
      <c r="H646" s="11" t="s">
        <v>357</v>
      </c>
      <c r="I646" s="11" t="s">
        <v>1366</v>
      </c>
    </row>
    <row r="647" spans="1:9" ht="19.95" customHeight="1" x14ac:dyDescent="0.3">
      <c r="A647" s="23">
        <v>46274.774614907408</v>
      </c>
      <c r="B647" s="16" t="s">
        <v>440</v>
      </c>
      <c r="C647" s="14" t="s">
        <v>427</v>
      </c>
      <c r="D647" s="14" t="s">
        <v>1709</v>
      </c>
      <c r="E647" s="14" t="s">
        <v>361</v>
      </c>
      <c r="F647" s="14" t="s">
        <v>432</v>
      </c>
      <c r="G647" s="14" t="s">
        <v>356</v>
      </c>
      <c r="H647" s="14" t="s">
        <v>357</v>
      </c>
      <c r="I647" s="14" t="s">
        <v>1710</v>
      </c>
    </row>
    <row r="648" spans="1:9" ht="19.95" customHeight="1" x14ac:dyDescent="0.3">
      <c r="A648" s="21">
        <v>46274.774614710637</v>
      </c>
      <c r="B648" s="13" t="s">
        <v>440</v>
      </c>
      <c r="C648" s="11" t="s">
        <v>427</v>
      </c>
      <c r="D648" s="11" t="s">
        <v>1010</v>
      </c>
      <c r="E648" s="11" t="s">
        <v>361</v>
      </c>
      <c r="F648" s="11" t="s">
        <v>380</v>
      </c>
      <c r="G648" s="11" t="s">
        <v>152</v>
      </c>
      <c r="H648" s="11" t="s">
        <v>247</v>
      </c>
      <c r="I648" s="11" t="s">
        <v>1711</v>
      </c>
    </row>
    <row r="649" spans="1:9" ht="19.95" customHeight="1" x14ac:dyDescent="0.3">
      <c r="A649" s="23">
        <v>46274.774614467591</v>
      </c>
      <c r="B649" s="16" t="s">
        <v>440</v>
      </c>
      <c r="C649" s="14" t="s">
        <v>427</v>
      </c>
      <c r="D649" s="14" t="s">
        <v>1712</v>
      </c>
      <c r="E649" s="14" t="s">
        <v>145</v>
      </c>
      <c r="F649" s="14" t="s">
        <v>424</v>
      </c>
      <c r="G649" s="14" t="s">
        <v>356</v>
      </c>
      <c r="H649" s="14" t="s">
        <v>357</v>
      </c>
      <c r="I649" s="14" t="s">
        <v>38</v>
      </c>
    </row>
    <row r="650" spans="1:9" ht="19.95" customHeight="1" x14ac:dyDescent="0.3">
      <c r="A650" s="21">
        <v>46274.774614305563</v>
      </c>
      <c r="B650" s="13" t="s">
        <v>440</v>
      </c>
      <c r="C650" s="11" t="s">
        <v>427</v>
      </c>
      <c r="D650" s="11" t="s">
        <v>1713</v>
      </c>
      <c r="E650" s="11" t="s">
        <v>145</v>
      </c>
      <c r="F650" s="11" t="s">
        <v>424</v>
      </c>
      <c r="G650" s="11" t="s">
        <v>356</v>
      </c>
      <c r="H650" s="11" t="s">
        <v>357</v>
      </c>
      <c r="I650" s="11" t="s">
        <v>38</v>
      </c>
    </row>
    <row r="651" spans="1:9" ht="19.95" customHeight="1" x14ac:dyDescent="0.3">
      <c r="A651" s="23">
        <v>46274.774614097223</v>
      </c>
      <c r="B651" s="16" t="s">
        <v>440</v>
      </c>
      <c r="C651" s="14" t="s">
        <v>427</v>
      </c>
      <c r="D651" s="14" t="s">
        <v>1714</v>
      </c>
      <c r="E651" s="14" t="s">
        <v>142</v>
      </c>
      <c r="F651" s="14" t="s">
        <v>432</v>
      </c>
      <c r="G651" s="14" t="s">
        <v>356</v>
      </c>
      <c r="H651" s="14" t="s">
        <v>357</v>
      </c>
      <c r="I651" s="14" t="s">
        <v>447</v>
      </c>
    </row>
    <row r="652" spans="1:9" ht="19.95" customHeight="1" x14ac:dyDescent="0.3">
      <c r="A652" s="21">
        <v>46274.774613969908</v>
      </c>
      <c r="B652" s="13" t="s">
        <v>440</v>
      </c>
      <c r="C652" s="11" t="s">
        <v>427</v>
      </c>
      <c r="D652" s="11" t="s">
        <v>1443</v>
      </c>
      <c r="E652" s="11" t="s">
        <v>145</v>
      </c>
      <c r="F652" s="11" t="s">
        <v>446</v>
      </c>
      <c r="G652" s="11" t="s">
        <v>356</v>
      </c>
      <c r="H652" s="11" t="s">
        <v>357</v>
      </c>
      <c r="I652" s="11" t="s">
        <v>1366</v>
      </c>
    </row>
    <row r="653" spans="1:9" ht="19.95" customHeight="1" x14ac:dyDescent="0.3">
      <c r="A653" s="23">
        <v>46274.774613842586</v>
      </c>
      <c r="B653" s="16" t="s">
        <v>440</v>
      </c>
      <c r="C653" s="14" t="s">
        <v>427</v>
      </c>
      <c r="D653" s="14" t="s">
        <v>1441</v>
      </c>
      <c r="E653" s="14" t="s">
        <v>145</v>
      </c>
      <c r="F653" s="14" t="s">
        <v>446</v>
      </c>
      <c r="G653" s="14" t="s">
        <v>356</v>
      </c>
      <c r="H653" s="14" t="s">
        <v>357</v>
      </c>
      <c r="I653" s="14" t="s">
        <v>1366</v>
      </c>
    </row>
    <row r="654" spans="1:9" ht="19.95" customHeight="1" x14ac:dyDescent="0.3">
      <c r="A654" s="21">
        <v>46274.774613692127</v>
      </c>
      <c r="B654" s="13" t="s">
        <v>440</v>
      </c>
      <c r="C654" s="11" t="s">
        <v>427</v>
      </c>
      <c r="D654" s="11" t="s">
        <v>1438</v>
      </c>
      <c r="E654" s="11" t="s">
        <v>145</v>
      </c>
      <c r="F654" s="11" t="s">
        <v>446</v>
      </c>
      <c r="G654" s="11" t="s">
        <v>356</v>
      </c>
      <c r="H654" s="11" t="s">
        <v>357</v>
      </c>
      <c r="I654" s="11" t="s">
        <v>1366</v>
      </c>
    </row>
    <row r="655" spans="1:9" ht="19.95" customHeight="1" x14ac:dyDescent="0.3">
      <c r="A655" s="23">
        <v>46274.774613530091</v>
      </c>
      <c r="B655" s="16" t="s">
        <v>440</v>
      </c>
      <c r="C655" s="14" t="s">
        <v>427</v>
      </c>
      <c r="D655" s="14" t="s">
        <v>1264</v>
      </c>
      <c r="E655" s="14" t="s">
        <v>145</v>
      </c>
      <c r="F655" s="14" t="s">
        <v>446</v>
      </c>
      <c r="G655" s="14" t="s">
        <v>356</v>
      </c>
      <c r="H655" s="14" t="s">
        <v>357</v>
      </c>
      <c r="I655" s="14" t="s">
        <v>1366</v>
      </c>
    </row>
    <row r="656" spans="1:9" ht="19.95" customHeight="1" x14ac:dyDescent="0.3">
      <c r="A656" s="21">
        <v>46274.774613321759</v>
      </c>
      <c r="B656" s="13" t="s">
        <v>440</v>
      </c>
      <c r="C656" s="11" t="s">
        <v>427</v>
      </c>
      <c r="D656" s="11" t="s">
        <v>1715</v>
      </c>
      <c r="E656" s="11" t="s">
        <v>361</v>
      </c>
      <c r="F656" s="11" t="s">
        <v>432</v>
      </c>
      <c r="G656" s="11" t="s">
        <v>356</v>
      </c>
      <c r="H656" s="11" t="s">
        <v>357</v>
      </c>
      <c r="I656" s="11" t="s">
        <v>38</v>
      </c>
    </row>
    <row r="657" spans="1:9" ht="19.95" customHeight="1" x14ac:dyDescent="0.3">
      <c r="A657" s="23">
        <v>46274.665028090283</v>
      </c>
      <c r="B657" s="16" t="s">
        <v>440</v>
      </c>
      <c r="C657" s="14" t="s">
        <v>427</v>
      </c>
      <c r="D657" s="14" t="s">
        <v>549</v>
      </c>
      <c r="E657" s="14" t="s">
        <v>142</v>
      </c>
      <c r="F657" s="14" t="s">
        <v>380</v>
      </c>
      <c r="G657" s="14" t="s">
        <v>150</v>
      </c>
      <c r="H657" s="14" t="s">
        <v>381</v>
      </c>
      <c r="I657" s="14" t="s">
        <v>1716</v>
      </c>
    </row>
    <row r="658" spans="1:9" ht="19.95" customHeight="1" x14ac:dyDescent="0.3">
      <c r="A658" s="21">
        <v>46274.657100069453</v>
      </c>
      <c r="B658" s="13" t="s">
        <v>440</v>
      </c>
      <c r="C658" s="11" t="s">
        <v>427</v>
      </c>
      <c r="D658" s="11" t="s">
        <v>549</v>
      </c>
      <c r="E658" s="11" t="s">
        <v>142</v>
      </c>
      <c r="F658" s="11" t="s">
        <v>380</v>
      </c>
      <c r="G658" s="11" t="s">
        <v>150</v>
      </c>
      <c r="H658" s="11" t="s">
        <v>381</v>
      </c>
      <c r="I658" s="11" t="s">
        <v>1717</v>
      </c>
    </row>
    <row r="659" spans="1:9" ht="19.95" customHeight="1" x14ac:dyDescent="0.3">
      <c r="A659" s="23">
        <v>46274.514063796298</v>
      </c>
      <c r="B659" s="16" t="s">
        <v>440</v>
      </c>
      <c r="C659" s="14" t="s">
        <v>1085</v>
      </c>
      <c r="D659" s="14" t="s">
        <v>1709</v>
      </c>
      <c r="E659" s="14" t="s">
        <v>361</v>
      </c>
      <c r="F659" s="14" t="s">
        <v>424</v>
      </c>
      <c r="G659" s="14" t="s">
        <v>152</v>
      </c>
      <c r="H659" s="14" t="s">
        <v>256</v>
      </c>
      <c r="I659" s="14" t="s">
        <v>1718</v>
      </c>
    </row>
    <row r="660" spans="1:9" ht="19.95" customHeight="1" x14ac:dyDescent="0.3">
      <c r="A660" s="21">
        <v>46274.466253078703</v>
      </c>
      <c r="B660" s="13" t="s">
        <v>440</v>
      </c>
      <c r="C660" s="11" t="s">
        <v>427</v>
      </c>
      <c r="D660" s="11" t="s">
        <v>1719</v>
      </c>
      <c r="E660" s="11" t="s">
        <v>142</v>
      </c>
      <c r="F660" s="11" t="s">
        <v>380</v>
      </c>
      <c r="G660" s="11" t="s">
        <v>147</v>
      </c>
      <c r="H660" s="11" t="s">
        <v>381</v>
      </c>
      <c r="I660" s="11" t="s">
        <v>1720</v>
      </c>
    </row>
    <row r="661" spans="1:9" ht="19.95" customHeight="1" x14ac:dyDescent="0.3">
      <c r="A661" s="23">
        <v>46274.434367557871</v>
      </c>
      <c r="B661" s="16" t="s">
        <v>440</v>
      </c>
      <c r="C661" s="14" t="s">
        <v>427</v>
      </c>
      <c r="D661" s="14" t="s">
        <v>1721</v>
      </c>
      <c r="E661" s="14" t="s">
        <v>142</v>
      </c>
      <c r="F661" s="14" t="s">
        <v>446</v>
      </c>
      <c r="G661" s="14" t="s">
        <v>152</v>
      </c>
      <c r="H661" s="14" t="s">
        <v>446</v>
      </c>
      <c r="I661" s="14" t="s">
        <v>1722</v>
      </c>
    </row>
    <row r="662" spans="1:9" ht="19.95" customHeight="1" x14ac:dyDescent="0.3">
      <c r="A662" s="21">
        <v>46274.429975486113</v>
      </c>
      <c r="B662" s="13" t="s">
        <v>440</v>
      </c>
      <c r="C662" s="11" t="s">
        <v>1085</v>
      </c>
      <c r="D662" s="11" t="s">
        <v>567</v>
      </c>
      <c r="E662" s="11" t="s">
        <v>361</v>
      </c>
      <c r="F662" s="11" t="s">
        <v>424</v>
      </c>
      <c r="G662" s="11" t="s">
        <v>150</v>
      </c>
      <c r="H662" s="11" t="s">
        <v>252</v>
      </c>
      <c r="I662" s="11" t="s">
        <v>1723</v>
      </c>
    </row>
    <row r="663" spans="1:9" ht="19.95" customHeight="1" x14ac:dyDescent="0.3">
      <c r="A663" s="23">
        <v>46274.385623217589</v>
      </c>
      <c r="B663" s="16" t="s">
        <v>440</v>
      </c>
      <c r="C663" s="14" t="s">
        <v>427</v>
      </c>
      <c r="D663" s="14" t="s">
        <v>1420</v>
      </c>
      <c r="E663" s="14" t="s">
        <v>145</v>
      </c>
      <c r="F663" s="14" t="s">
        <v>446</v>
      </c>
      <c r="G663" s="14" t="s">
        <v>356</v>
      </c>
      <c r="H663" s="14" t="s">
        <v>357</v>
      </c>
      <c r="I663" s="14" t="s">
        <v>1421</v>
      </c>
    </row>
    <row r="664" spans="1:9" ht="19.95" customHeight="1" x14ac:dyDescent="0.3">
      <c r="A664" s="21">
        <v>46273.899889201391</v>
      </c>
      <c r="B664" s="13" t="s">
        <v>440</v>
      </c>
      <c r="C664" s="11" t="s">
        <v>353</v>
      </c>
      <c r="D664" s="11" t="s">
        <v>1724</v>
      </c>
      <c r="E664" s="11" t="s">
        <v>145</v>
      </c>
      <c r="F664" s="11" t="s">
        <v>355</v>
      </c>
      <c r="G664" s="11" t="s">
        <v>356</v>
      </c>
      <c r="H664" s="11" t="s">
        <v>357</v>
      </c>
      <c r="I664" s="11" t="s">
        <v>38</v>
      </c>
    </row>
    <row r="665" spans="1:9" ht="19.95" customHeight="1" x14ac:dyDescent="0.3">
      <c r="A665" s="23">
        <v>46273.486279733799</v>
      </c>
      <c r="B665" s="16" t="s">
        <v>440</v>
      </c>
      <c r="C665" s="14" t="s">
        <v>427</v>
      </c>
      <c r="D665" s="14" t="s">
        <v>1721</v>
      </c>
      <c r="E665" s="14" t="s">
        <v>142</v>
      </c>
      <c r="F665" s="14" t="s">
        <v>446</v>
      </c>
      <c r="G665" s="14" t="s">
        <v>356</v>
      </c>
      <c r="H665" s="14" t="s">
        <v>357</v>
      </c>
      <c r="I665" s="14" t="s">
        <v>1725</v>
      </c>
    </row>
    <row r="666" spans="1:9" ht="19.95" customHeight="1" x14ac:dyDescent="0.3">
      <c r="A666" s="21">
        <v>46273.468220173607</v>
      </c>
      <c r="B666" s="13" t="s">
        <v>440</v>
      </c>
      <c r="C666" s="11" t="s">
        <v>353</v>
      </c>
      <c r="D666" s="11" t="s">
        <v>1726</v>
      </c>
      <c r="E666" s="11" t="s">
        <v>145</v>
      </c>
      <c r="F666" s="11" t="s">
        <v>355</v>
      </c>
      <c r="G666" s="11" t="s">
        <v>356</v>
      </c>
      <c r="H666" s="11" t="s">
        <v>357</v>
      </c>
      <c r="I666" s="11" t="s">
        <v>38</v>
      </c>
    </row>
    <row r="667" spans="1:9" ht="19.95" customHeight="1" x14ac:dyDescent="0.3">
      <c r="A667" s="23">
        <v>46273.445094745373</v>
      </c>
      <c r="B667" s="16" t="s">
        <v>440</v>
      </c>
      <c r="C667" s="14" t="s">
        <v>427</v>
      </c>
      <c r="D667" s="14" t="s">
        <v>1691</v>
      </c>
      <c r="E667" s="14" t="s">
        <v>142</v>
      </c>
      <c r="F667" s="14" t="s">
        <v>446</v>
      </c>
      <c r="G667" s="14" t="s">
        <v>152</v>
      </c>
      <c r="H667" s="14" t="s">
        <v>443</v>
      </c>
      <c r="I667" s="14" t="s">
        <v>1727</v>
      </c>
    </row>
    <row r="668" spans="1:9" ht="19.95" customHeight="1" x14ac:dyDescent="0.3">
      <c r="A668" s="21">
        <v>46272.750868460651</v>
      </c>
      <c r="B668" s="13" t="s">
        <v>440</v>
      </c>
      <c r="C668" s="11" t="s">
        <v>1085</v>
      </c>
      <c r="D668" s="11" t="s">
        <v>1728</v>
      </c>
      <c r="E668" s="11" t="s">
        <v>361</v>
      </c>
      <c r="F668" s="11" t="s">
        <v>380</v>
      </c>
      <c r="G668" s="11" t="s">
        <v>356</v>
      </c>
      <c r="H668" s="11" t="s">
        <v>357</v>
      </c>
      <c r="I668" s="11" t="s">
        <v>1729</v>
      </c>
    </row>
    <row r="669" spans="1:9" ht="19.95" customHeight="1" x14ac:dyDescent="0.3">
      <c r="A669" s="23">
        <v>46272.619025891203</v>
      </c>
      <c r="B669" s="16" t="s">
        <v>440</v>
      </c>
      <c r="C669" s="14" t="s">
        <v>1085</v>
      </c>
      <c r="D669" s="14" t="s">
        <v>1730</v>
      </c>
      <c r="E669" s="14" t="s">
        <v>361</v>
      </c>
      <c r="F669" s="14" t="s">
        <v>446</v>
      </c>
      <c r="G669" s="14" t="s">
        <v>356</v>
      </c>
      <c r="H669" s="14" t="s">
        <v>357</v>
      </c>
      <c r="I669" s="14" t="s">
        <v>1731</v>
      </c>
    </row>
    <row r="670" spans="1:9" ht="19.95" customHeight="1" x14ac:dyDescent="0.3">
      <c r="A670" s="21">
        <v>46272.619023784719</v>
      </c>
      <c r="B670" s="13" t="s">
        <v>440</v>
      </c>
      <c r="C670" s="11" t="s">
        <v>1085</v>
      </c>
      <c r="D670" s="11" t="s">
        <v>1732</v>
      </c>
      <c r="E670" s="11" t="s">
        <v>361</v>
      </c>
      <c r="F670" s="11" t="s">
        <v>446</v>
      </c>
      <c r="G670" s="11" t="s">
        <v>356</v>
      </c>
      <c r="H670" s="11" t="s">
        <v>357</v>
      </c>
      <c r="I670" s="11" t="s">
        <v>1731</v>
      </c>
    </row>
    <row r="671" spans="1:9" ht="19.95" customHeight="1" x14ac:dyDescent="0.3">
      <c r="A671" s="23">
        <v>46272.619022025458</v>
      </c>
      <c r="B671" s="16" t="s">
        <v>440</v>
      </c>
      <c r="C671" s="14" t="s">
        <v>1085</v>
      </c>
      <c r="D671" s="14" t="s">
        <v>1733</v>
      </c>
      <c r="E671" s="14" t="s">
        <v>361</v>
      </c>
      <c r="F671" s="14" t="s">
        <v>446</v>
      </c>
      <c r="G671" s="14" t="s">
        <v>356</v>
      </c>
      <c r="H671" s="14" t="s">
        <v>357</v>
      </c>
      <c r="I671" s="14" t="s">
        <v>1731</v>
      </c>
    </row>
    <row r="672" spans="1:9" ht="19.95" customHeight="1" x14ac:dyDescent="0.3">
      <c r="A672" s="21">
        <v>46272.619017337973</v>
      </c>
      <c r="B672" s="13" t="s">
        <v>440</v>
      </c>
      <c r="C672" s="11" t="s">
        <v>1085</v>
      </c>
      <c r="D672" s="11" t="s">
        <v>1734</v>
      </c>
      <c r="E672" s="11" t="s">
        <v>361</v>
      </c>
      <c r="F672" s="11" t="s">
        <v>446</v>
      </c>
      <c r="G672" s="11" t="s">
        <v>356</v>
      </c>
      <c r="H672" s="11" t="s">
        <v>357</v>
      </c>
      <c r="I672" s="11" t="s">
        <v>1731</v>
      </c>
    </row>
    <row r="673" spans="1:9" ht="19.95" customHeight="1" x14ac:dyDescent="0.3">
      <c r="A673" s="23">
        <v>46272.6121565625</v>
      </c>
      <c r="B673" s="16" t="s">
        <v>440</v>
      </c>
      <c r="C673" s="14" t="s">
        <v>1085</v>
      </c>
      <c r="D673" s="14" t="s">
        <v>1730</v>
      </c>
      <c r="E673" s="14" t="s">
        <v>361</v>
      </c>
      <c r="F673" s="14" t="s">
        <v>446</v>
      </c>
      <c r="G673" s="14" t="s">
        <v>356</v>
      </c>
      <c r="H673" s="14" t="s">
        <v>357</v>
      </c>
      <c r="I673" s="14" t="s">
        <v>1731</v>
      </c>
    </row>
    <row r="674" spans="1:9" ht="19.95" customHeight="1" x14ac:dyDescent="0.3">
      <c r="A674" s="21">
        <v>46272.612152696762</v>
      </c>
      <c r="B674" s="13" t="s">
        <v>440</v>
      </c>
      <c r="C674" s="11" t="s">
        <v>1085</v>
      </c>
      <c r="D674" s="11" t="s">
        <v>1732</v>
      </c>
      <c r="E674" s="11" t="s">
        <v>361</v>
      </c>
      <c r="F674" s="11" t="s">
        <v>446</v>
      </c>
      <c r="G674" s="11" t="s">
        <v>356</v>
      </c>
      <c r="H674" s="11" t="s">
        <v>357</v>
      </c>
      <c r="I674" s="11" t="s">
        <v>1731</v>
      </c>
    </row>
    <row r="675" spans="1:9" ht="19.95" customHeight="1" x14ac:dyDescent="0.3">
      <c r="A675" s="23">
        <v>46272.612149131943</v>
      </c>
      <c r="B675" s="16" t="s">
        <v>440</v>
      </c>
      <c r="C675" s="14" t="s">
        <v>1085</v>
      </c>
      <c r="D675" s="14" t="s">
        <v>1733</v>
      </c>
      <c r="E675" s="14" t="s">
        <v>361</v>
      </c>
      <c r="F675" s="14" t="s">
        <v>446</v>
      </c>
      <c r="G675" s="14" t="s">
        <v>356</v>
      </c>
      <c r="H675" s="14" t="s">
        <v>357</v>
      </c>
      <c r="I675" s="14" t="s">
        <v>1731</v>
      </c>
    </row>
    <row r="676" spans="1:9" ht="19.95" customHeight="1" x14ac:dyDescent="0.3">
      <c r="A676" s="21">
        <v>46272.612144872677</v>
      </c>
      <c r="B676" s="13" t="s">
        <v>440</v>
      </c>
      <c r="C676" s="11" t="s">
        <v>1085</v>
      </c>
      <c r="D676" s="11" t="s">
        <v>1734</v>
      </c>
      <c r="E676" s="11" t="s">
        <v>361</v>
      </c>
      <c r="F676" s="11" t="s">
        <v>446</v>
      </c>
      <c r="G676" s="11" t="s">
        <v>356</v>
      </c>
      <c r="H676" s="11" t="s">
        <v>357</v>
      </c>
      <c r="I676" s="11" t="s">
        <v>1735</v>
      </c>
    </row>
    <row r="677" spans="1:9" ht="19.95" customHeight="1" x14ac:dyDescent="0.3">
      <c r="A677" s="23">
        <v>46272.529066342591</v>
      </c>
      <c r="B677" s="16" t="s">
        <v>440</v>
      </c>
      <c r="C677" s="14" t="s">
        <v>1085</v>
      </c>
      <c r="D677" s="14" t="s">
        <v>1736</v>
      </c>
      <c r="E677" s="14" t="s">
        <v>361</v>
      </c>
      <c r="F677" s="14" t="s">
        <v>424</v>
      </c>
      <c r="G677" s="14" t="s">
        <v>152</v>
      </c>
      <c r="H677" s="14" t="s">
        <v>425</v>
      </c>
      <c r="I677" s="14" t="s">
        <v>1737</v>
      </c>
    </row>
    <row r="678" spans="1:9" ht="19.95" customHeight="1" x14ac:dyDescent="0.3">
      <c r="A678" s="21">
        <v>46272.514645208343</v>
      </c>
      <c r="B678" s="13" t="s">
        <v>440</v>
      </c>
      <c r="C678" s="11" t="s">
        <v>1085</v>
      </c>
      <c r="D678" s="11" t="s">
        <v>1738</v>
      </c>
      <c r="E678" s="11" t="s">
        <v>361</v>
      </c>
      <c r="F678" s="11" t="s">
        <v>446</v>
      </c>
      <c r="G678" s="11" t="s">
        <v>152</v>
      </c>
      <c r="H678" s="11" t="s">
        <v>446</v>
      </c>
      <c r="I678" s="11" t="s">
        <v>1739</v>
      </c>
    </row>
    <row r="679" spans="1:9" ht="19.95" customHeight="1" x14ac:dyDescent="0.3">
      <c r="A679" s="23">
        <v>46272.485477534719</v>
      </c>
      <c r="B679" s="16" t="s">
        <v>440</v>
      </c>
      <c r="C679" s="14" t="s">
        <v>1085</v>
      </c>
      <c r="D679" s="14" t="s">
        <v>1740</v>
      </c>
      <c r="E679" s="14" t="s">
        <v>361</v>
      </c>
      <c r="F679" s="14" t="s">
        <v>424</v>
      </c>
      <c r="G679" s="14" t="s">
        <v>152</v>
      </c>
      <c r="H679" s="14" t="s">
        <v>256</v>
      </c>
      <c r="I679" s="14" t="s">
        <v>1741</v>
      </c>
    </row>
    <row r="680" spans="1:9" ht="19.95" customHeight="1" x14ac:dyDescent="0.3">
      <c r="A680" s="21">
        <v>46272.474696215279</v>
      </c>
      <c r="B680" s="13" t="s">
        <v>440</v>
      </c>
      <c r="C680" s="11" t="s">
        <v>1085</v>
      </c>
      <c r="D680" s="11" t="s">
        <v>1742</v>
      </c>
      <c r="E680" s="11" t="s">
        <v>361</v>
      </c>
      <c r="F680" s="11" t="s">
        <v>446</v>
      </c>
      <c r="G680" s="11" t="s">
        <v>152</v>
      </c>
      <c r="H680" s="11" t="s">
        <v>446</v>
      </c>
      <c r="I680" s="11" t="s">
        <v>1743</v>
      </c>
    </row>
    <row r="681" spans="1:9" ht="19.95" customHeight="1" x14ac:dyDescent="0.3">
      <c r="A681" s="23">
        <v>46272.459790891196</v>
      </c>
      <c r="B681" s="16" t="s">
        <v>440</v>
      </c>
      <c r="C681" s="14" t="s">
        <v>427</v>
      </c>
      <c r="D681" s="14" t="s">
        <v>1744</v>
      </c>
      <c r="E681" s="14" t="s">
        <v>142</v>
      </c>
      <c r="F681" s="14" t="s">
        <v>424</v>
      </c>
      <c r="G681" s="14" t="s">
        <v>356</v>
      </c>
      <c r="H681" s="14" t="s">
        <v>357</v>
      </c>
      <c r="I681" s="14" t="s">
        <v>1745</v>
      </c>
    </row>
    <row r="682" spans="1:9" ht="19.95" customHeight="1" x14ac:dyDescent="0.3">
      <c r="A682" s="21">
        <v>46270.629109745372</v>
      </c>
      <c r="B682" s="13" t="s">
        <v>440</v>
      </c>
      <c r="C682" s="11" t="s">
        <v>427</v>
      </c>
      <c r="D682" s="11" t="s">
        <v>556</v>
      </c>
      <c r="E682" s="11" t="s">
        <v>142</v>
      </c>
      <c r="F682" s="11" t="s">
        <v>446</v>
      </c>
      <c r="G682" s="11" t="s">
        <v>152</v>
      </c>
      <c r="H682" s="11" t="s">
        <v>1314</v>
      </c>
      <c r="I682" s="11" t="s">
        <v>1746</v>
      </c>
    </row>
    <row r="683" spans="1:9" ht="19.95" customHeight="1" x14ac:dyDescent="0.3">
      <c r="A683" s="23">
        <v>46270.51722833333</v>
      </c>
      <c r="B683" s="16" t="s">
        <v>440</v>
      </c>
      <c r="C683" s="14" t="s">
        <v>1085</v>
      </c>
      <c r="D683" s="14" t="s">
        <v>1747</v>
      </c>
      <c r="E683" s="14" t="s">
        <v>361</v>
      </c>
      <c r="F683" s="14" t="s">
        <v>380</v>
      </c>
      <c r="G683" s="14" t="s">
        <v>147</v>
      </c>
      <c r="H683" s="14" t="s">
        <v>1244</v>
      </c>
      <c r="I683" s="14" t="s">
        <v>1748</v>
      </c>
    </row>
    <row r="684" spans="1:9" ht="19.95" customHeight="1" x14ac:dyDescent="0.3">
      <c r="A684" s="21">
        <v>46270.516077754633</v>
      </c>
      <c r="B684" s="13" t="s">
        <v>440</v>
      </c>
      <c r="C684" s="11" t="s">
        <v>1085</v>
      </c>
      <c r="D684" s="11" t="s">
        <v>1749</v>
      </c>
      <c r="E684" s="11" t="s">
        <v>361</v>
      </c>
      <c r="F684" s="11" t="s">
        <v>1006</v>
      </c>
      <c r="G684" s="11" t="s">
        <v>152</v>
      </c>
      <c r="H684" s="11" t="s">
        <v>1014</v>
      </c>
      <c r="I684" s="11" t="s">
        <v>1750</v>
      </c>
    </row>
    <row r="685" spans="1:9" ht="19.95" customHeight="1" x14ac:dyDescent="0.3">
      <c r="A685" s="23">
        <v>46270.5047362037</v>
      </c>
      <c r="B685" s="16" t="s">
        <v>440</v>
      </c>
      <c r="C685" s="14" t="s">
        <v>1085</v>
      </c>
      <c r="D685" s="14" t="s">
        <v>1751</v>
      </c>
      <c r="E685" s="14" t="s">
        <v>361</v>
      </c>
      <c r="F685" s="14" t="s">
        <v>380</v>
      </c>
      <c r="G685" s="14" t="s">
        <v>152</v>
      </c>
      <c r="H685" s="14" t="s">
        <v>1244</v>
      </c>
      <c r="I685" s="14" t="s">
        <v>1752</v>
      </c>
    </row>
    <row r="686" spans="1:9" ht="19.95" customHeight="1" x14ac:dyDescent="0.3">
      <c r="A686" s="21">
        <v>46269.622590763887</v>
      </c>
      <c r="B686" s="13" t="s">
        <v>440</v>
      </c>
      <c r="C686" s="11" t="s">
        <v>1085</v>
      </c>
      <c r="D686" s="11" t="s">
        <v>1753</v>
      </c>
      <c r="E686" s="11" t="s">
        <v>361</v>
      </c>
      <c r="F686" s="11" t="s">
        <v>446</v>
      </c>
      <c r="G686" s="11" t="s">
        <v>356</v>
      </c>
      <c r="H686" s="11" t="s">
        <v>357</v>
      </c>
      <c r="I686" s="11" t="s">
        <v>1754</v>
      </c>
    </row>
    <row r="687" spans="1:9" ht="19.95" customHeight="1" x14ac:dyDescent="0.3">
      <c r="A687" s="23">
        <v>46267.540021365741</v>
      </c>
      <c r="B687" s="16" t="s">
        <v>440</v>
      </c>
      <c r="C687" s="14" t="s">
        <v>1085</v>
      </c>
      <c r="D687" s="14" t="s">
        <v>1755</v>
      </c>
      <c r="E687" s="14" t="s">
        <v>361</v>
      </c>
      <c r="F687" s="14" t="s">
        <v>380</v>
      </c>
      <c r="G687" s="14" t="s">
        <v>150</v>
      </c>
      <c r="H687" s="14" t="s">
        <v>1244</v>
      </c>
      <c r="I687" s="14" t="s">
        <v>1756</v>
      </c>
    </row>
    <row r="688" spans="1:9" ht="19.95" customHeight="1" x14ac:dyDescent="0.3">
      <c r="A688" s="21">
        <v>46267.536560439818</v>
      </c>
      <c r="B688" s="13" t="s">
        <v>440</v>
      </c>
      <c r="C688" s="11" t="s">
        <v>1085</v>
      </c>
      <c r="D688" s="11" t="s">
        <v>1757</v>
      </c>
      <c r="E688" s="11" t="s">
        <v>361</v>
      </c>
      <c r="F688" s="11" t="s">
        <v>446</v>
      </c>
      <c r="G688" s="11" t="s">
        <v>1758</v>
      </c>
      <c r="H688" s="11" t="s">
        <v>446</v>
      </c>
      <c r="I688" s="11" t="s">
        <v>1759</v>
      </c>
    </row>
    <row r="689" spans="1:9" ht="19.95" customHeight="1" x14ac:dyDescent="0.3">
      <c r="A689" s="23">
        <v>46266.61712787037</v>
      </c>
      <c r="B689" s="16" t="s">
        <v>440</v>
      </c>
      <c r="C689" s="14" t="s">
        <v>1085</v>
      </c>
      <c r="D689" s="14" t="s">
        <v>1760</v>
      </c>
      <c r="E689" s="14" t="s">
        <v>361</v>
      </c>
      <c r="F689" s="14" t="s">
        <v>380</v>
      </c>
      <c r="G689" s="14" t="s">
        <v>1758</v>
      </c>
      <c r="H689" s="14" t="s">
        <v>508</v>
      </c>
      <c r="I689" s="14" t="s">
        <v>1761</v>
      </c>
    </row>
    <row r="690" spans="1:9" ht="19.95" customHeight="1" x14ac:dyDescent="0.3">
      <c r="A690" s="21">
        <v>46264.768996851853</v>
      </c>
      <c r="B690" s="13" t="s">
        <v>853</v>
      </c>
      <c r="C690" s="11" t="s">
        <v>1085</v>
      </c>
      <c r="D690" s="11" t="s">
        <v>1762</v>
      </c>
      <c r="E690" s="11" t="s">
        <v>361</v>
      </c>
      <c r="F690" s="11" t="s">
        <v>424</v>
      </c>
      <c r="G690" s="11" t="s">
        <v>150</v>
      </c>
      <c r="H690" s="11" t="s">
        <v>256</v>
      </c>
      <c r="I690" s="11" t="s">
        <v>1763</v>
      </c>
    </row>
    <row r="691" spans="1:9" ht="19.95" customHeight="1" x14ac:dyDescent="0.3">
      <c r="A691" s="23">
        <v>46264.72633020833</v>
      </c>
      <c r="B691" s="16" t="s">
        <v>853</v>
      </c>
      <c r="C691" s="14" t="s">
        <v>1085</v>
      </c>
      <c r="D691" s="14" t="s">
        <v>1764</v>
      </c>
      <c r="E691" s="14" t="s">
        <v>361</v>
      </c>
      <c r="F691" s="14" t="s">
        <v>424</v>
      </c>
      <c r="G691" s="14" t="s">
        <v>152</v>
      </c>
      <c r="H691" s="14" t="s">
        <v>261</v>
      </c>
      <c r="I691" s="14" t="s">
        <v>1765</v>
      </c>
    </row>
    <row r="692" spans="1:9" ht="19.95" customHeight="1" x14ac:dyDescent="0.3">
      <c r="A692" s="21">
        <v>46264.639521030091</v>
      </c>
      <c r="B692" s="13" t="s">
        <v>853</v>
      </c>
      <c r="C692" s="11" t="s">
        <v>1085</v>
      </c>
      <c r="D692" s="11" t="s">
        <v>1766</v>
      </c>
      <c r="E692" s="11" t="s">
        <v>361</v>
      </c>
      <c r="F692" s="11" t="s">
        <v>380</v>
      </c>
      <c r="G692" s="11" t="s">
        <v>356</v>
      </c>
      <c r="H692" s="11" t="s">
        <v>357</v>
      </c>
      <c r="I692" s="11" t="s">
        <v>38</v>
      </c>
    </row>
    <row r="693" spans="1:9" ht="19.95" customHeight="1" x14ac:dyDescent="0.3">
      <c r="A693" s="23">
        <v>46264.635503923608</v>
      </c>
      <c r="B693" s="16" t="s">
        <v>853</v>
      </c>
      <c r="C693" s="14" t="s">
        <v>1085</v>
      </c>
      <c r="D693" s="14" t="s">
        <v>1766</v>
      </c>
      <c r="E693" s="14" t="s">
        <v>361</v>
      </c>
      <c r="F693" s="14" t="s">
        <v>380</v>
      </c>
      <c r="G693" s="14" t="s">
        <v>356</v>
      </c>
      <c r="H693" s="14" t="s">
        <v>357</v>
      </c>
      <c r="I693" s="14" t="s">
        <v>38</v>
      </c>
    </row>
    <row r="694" spans="1:9" ht="19.95" customHeight="1" x14ac:dyDescent="0.3">
      <c r="A694" s="21">
        <v>46264.420143194453</v>
      </c>
      <c r="B694" s="13" t="s">
        <v>853</v>
      </c>
      <c r="C694" s="11" t="s">
        <v>1085</v>
      </c>
      <c r="D694" s="11" t="s">
        <v>1767</v>
      </c>
      <c r="E694" s="11" t="s">
        <v>361</v>
      </c>
      <c r="F694" s="11" t="s">
        <v>1006</v>
      </c>
      <c r="G694" s="11" t="s">
        <v>152</v>
      </c>
      <c r="H694" s="11" t="s">
        <v>1014</v>
      </c>
      <c r="I694" s="11" t="s">
        <v>1768</v>
      </c>
    </row>
    <row r="695" spans="1:9" ht="19.95" customHeight="1" x14ac:dyDescent="0.3">
      <c r="A695" s="23">
        <v>46263.952318310177</v>
      </c>
      <c r="B695" s="16" t="s">
        <v>853</v>
      </c>
      <c r="C695" s="14" t="s">
        <v>1085</v>
      </c>
      <c r="D695" s="14" t="s">
        <v>1769</v>
      </c>
      <c r="E695" s="14" t="s">
        <v>361</v>
      </c>
      <c r="F695" s="14" t="s">
        <v>446</v>
      </c>
      <c r="G695" s="14" t="s">
        <v>1770</v>
      </c>
      <c r="H695" s="14" t="s">
        <v>446</v>
      </c>
      <c r="I695" s="14" t="s">
        <v>1771</v>
      </c>
    </row>
    <row r="696" spans="1:9" ht="19.95" customHeight="1" x14ac:dyDescent="0.3">
      <c r="A696" s="21">
        <v>46260.52593729167</v>
      </c>
      <c r="B696" s="13" t="s">
        <v>853</v>
      </c>
      <c r="C696" s="11" t="s">
        <v>1085</v>
      </c>
      <c r="D696" s="11" t="s">
        <v>1772</v>
      </c>
      <c r="E696" s="11" t="s">
        <v>361</v>
      </c>
      <c r="F696" s="11" t="s">
        <v>424</v>
      </c>
      <c r="G696" s="11" t="s">
        <v>150</v>
      </c>
      <c r="H696" s="11" t="s">
        <v>242</v>
      </c>
      <c r="I696" s="11" t="s">
        <v>1773</v>
      </c>
    </row>
    <row r="697" spans="1:9" ht="19.95" customHeight="1" x14ac:dyDescent="0.3">
      <c r="A697" s="23">
        <v>46260.46533525463</v>
      </c>
      <c r="B697" s="16" t="s">
        <v>853</v>
      </c>
      <c r="C697" s="14" t="s">
        <v>1085</v>
      </c>
      <c r="D697" s="14" t="s">
        <v>1774</v>
      </c>
      <c r="E697" s="14" t="s">
        <v>361</v>
      </c>
      <c r="F697" s="14" t="s">
        <v>424</v>
      </c>
      <c r="G697" s="14" t="s">
        <v>152</v>
      </c>
      <c r="H697" s="14" t="s">
        <v>247</v>
      </c>
      <c r="I697" s="14" t="s">
        <v>1775</v>
      </c>
    </row>
    <row r="698" spans="1:9" ht="19.95" customHeight="1" x14ac:dyDescent="0.3">
      <c r="A698" s="21">
        <v>46260.463433182871</v>
      </c>
      <c r="B698" s="13" t="s">
        <v>853</v>
      </c>
      <c r="C698" s="11" t="s">
        <v>1085</v>
      </c>
      <c r="D698" s="11" t="s">
        <v>1776</v>
      </c>
      <c r="E698" s="11" t="s">
        <v>361</v>
      </c>
      <c r="F698" s="11" t="s">
        <v>446</v>
      </c>
      <c r="G698" s="11" t="s">
        <v>152</v>
      </c>
      <c r="H698" s="11" t="s">
        <v>446</v>
      </c>
      <c r="I698" s="11" t="s">
        <v>1777</v>
      </c>
    </row>
    <row r="699" spans="1:9" ht="19.95" customHeight="1" x14ac:dyDescent="0.3">
      <c r="A699" s="23">
        <v>46260.437150358797</v>
      </c>
      <c r="B699" s="16" t="s">
        <v>853</v>
      </c>
      <c r="C699" s="14" t="s">
        <v>1085</v>
      </c>
      <c r="D699" s="14" t="s">
        <v>1778</v>
      </c>
      <c r="E699" s="14" t="s">
        <v>361</v>
      </c>
      <c r="F699" s="14" t="s">
        <v>1006</v>
      </c>
      <c r="G699" s="14" t="s">
        <v>152</v>
      </c>
      <c r="H699" s="14" t="s">
        <v>1014</v>
      </c>
      <c r="I699" s="14" t="s">
        <v>1779</v>
      </c>
    </row>
    <row r="700" spans="1:9" ht="19.95" customHeight="1" x14ac:dyDescent="0.3">
      <c r="A700" s="21">
        <v>46260.434741886573</v>
      </c>
      <c r="B700" s="13" t="s">
        <v>853</v>
      </c>
      <c r="C700" s="11" t="s">
        <v>1085</v>
      </c>
      <c r="D700" s="11" t="s">
        <v>1780</v>
      </c>
      <c r="E700" s="11" t="s">
        <v>361</v>
      </c>
      <c r="F700" s="11" t="s">
        <v>424</v>
      </c>
      <c r="G700" s="11" t="s">
        <v>152</v>
      </c>
      <c r="H700" s="11" t="s">
        <v>425</v>
      </c>
      <c r="I700" s="11" t="s">
        <v>1781</v>
      </c>
    </row>
    <row r="701" spans="1:9" ht="19.95" customHeight="1" x14ac:dyDescent="0.3">
      <c r="A701" s="23">
        <v>46256.953338807871</v>
      </c>
      <c r="B701" s="16" t="s">
        <v>853</v>
      </c>
      <c r="C701" s="14" t="s">
        <v>1085</v>
      </c>
      <c r="D701" s="14" t="s">
        <v>1782</v>
      </c>
      <c r="E701" s="14" t="s">
        <v>361</v>
      </c>
      <c r="F701" s="14" t="s">
        <v>446</v>
      </c>
      <c r="G701" s="14" t="s">
        <v>1758</v>
      </c>
      <c r="H701" s="14" t="s">
        <v>446</v>
      </c>
      <c r="I701" s="14" t="s">
        <v>1783</v>
      </c>
    </row>
    <row r="702" spans="1:9" ht="19.95" customHeight="1" x14ac:dyDescent="0.3">
      <c r="A702" s="21">
        <v>46256.458887627312</v>
      </c>
      <c r="B702" s="13" t="s">
        <v>853</v>
      </c>
      <c r="C702" s="11" t="s">
        <v>1085</v>
      </c>
      <c r="D702" s="11" t="s">
        <v>1784</v>
      </c>
      <c r="E702" s="11" t="s">
        <v>361</v>
      </c>
      <c r="F702" s="11" t="s">
        <v>424</v>
      </c>
      <c r="G702" s="11" t="s">
        <v>152</v>
      </c>
      <c r="H702" s="11" t="s">
        <v>261</v>
      </c>
      <c r="I702" s="11" t="s">
        <v>1785</v>
      </c>
    </row>
    <row r="703" spans="1:9" ht="19.95" customHeight="1" x14ac:dyDescent="0.3">
      <c r="A703" s="23">
        <v>46255.697819108798</v>
      </c>
      <c r="B703" s="16" t="s">
        <v>853</v>
      </c>
      <c r="C703" s="14" t="s">
        <v>1085</v>
      </c>
      <c r="D703" s="14" t="s">
        <v>1786</v>
      </c>
      <c r="E703" s="14" t="s">
        <v>361</v>
      </c>
      <c r="F703" s="14" t="s">
        <v>446</v>
      </c>
      <c r="G703" s="14" t="s">
        <v>150</v>
      </c>
      <c r="H703" s="14" t="s">
        <v>459</v>
      </c>
      <c r="I703" s="14" t="s">
        <v>1787</v>
      </c>
    </row>
    <row r="704" spans="1:9" ht="19.95" customHeight="1" x14ac:dyDescent="0.3">
      <c r="A704" s="21">
        <v>46255.681543796287</v>
      </c>
      <c r="B704" s="13" t="s">
        <v>853</v>
      </c>
      <c r="C704" s="11" t="s">
        <v>1085</v>
      </c>
      <c r="D704" s="11" t="s">
        <v>1639</v>
      </c>
      <c r="E704" s="11" t="s">
        <v>361</v>
      </c>
      <c r="F704" s="11" t="s">
        <v>380</v>
      </c>
      <c r="G704" s="11" t="s">
        <v>147</v>
      </c>
      <c r="H704" s="11" t="s">
        <v>1244</v>
      </c>
      <c r="I704" s="11" t="s">
        <v>38</v>
      </c>
    </row>
    <row r="705" spans="1:9" ht="19.95" customHeight="1" x14ac:dyDescent="0.3">
      <c r="A705" s="23">
        <v>46255.665689837973</v>
      </c>
      <c r="B705" s="16" t="s">
        <v>853</v>
      </c>
      <c r="C705" s="14" t="s">
        <v>1085</v>
      </c>
      <c r="D705" s="14" t="s">
        <v>1788</v>
      </c>
      <c r="E705" s="14" t="s">
        <v>361</v>
      </c>
      <c r="F705" s="14" t="s">
        <v>424</v>
      </c>
      <c r="G705" s="14" t="s">
        <v>150</v>
      </c>
      <c r="H705" s="14" t="s">
        <v>252</v>
      </c>
      <c r="I705" s="14" t="s">
        <v>1789</v>
      </c>
    </row>
    <row r="706" spans="1:9" ht="19.95" customHeight="1" x14ac:dyDescent="0.3">
      <c r="A706" s="21">
        <v>46255.423644560193</v>
      </c>
      <c r="B706" s="13" t="s">
        <v>853</v>
      </c>
      <c r="C706" s="11" t="s">
        <v>1085</v>
      </c>
      <c r="D706" s="11" t="s">
        <v>1790</v>
      </c>
      <c r="E706" s="11" t="s">
        <v>361</v>
      </c>
      <c r="F706" s="11" t="s">
        <v>1006</v>
      </c>
      <c r="G706" s="11" t="s">
        <v>152</v>
      </c>
      <c r="H706" s="11" t="s">
        <v>1014</v>
      </c>
      <c r="I706" s="11" t="s">
        <v>38</v>
      </c>
    </row>
    <row r="707" spans="1:9" ht="19.95" customHeight="1" x14ac:dyDescent="0.3">
      <c r="A707" s="23">
        <v>46254.780174791667</v>
      </c>
      <c r="B707" s="16" t="s">
        <v>853</v>
      </c>
      <c r="C707" s="14" t="s">
        <v>1085</v>
      </c>
      <c r="D707" s="14" t="s">
        <v>1791</v>
      </c>
      <c r="E707" s="14" t="s">
        <v>361</v>
      </c>
      <c r="F707" s="14" t="s">
        <v>380</v>
      </c>
      <c r="G707" s="14" t="s">
        <v>150</v>
      </c>
      <c r="H707" s="14" t="s">
        <v>508</v>
      </c>
      <c r="I707" s="14" t="s">
        <v>1792</v>
      </c>
    </row>
    <row r="708" spans="1:9" ht="19.95" customHeight="1" x14ac:dyDescent="0.3">
      <c r="A708" s="21">
        <v>46254.756550104168</v>
      </c>
      <c r="B708" s="13" t="s">
        <v>853</v>
      </c>
      <c r="C708" s="11" t="s">
        <v>1085</v>
      </c>
      <c r="D708" s="11" t="s">
        <v>1793</v>
      </c>
      <c r="E708" s="11" t="s">
        <v>361</v>
      </c>
      <c r="F708" s="11" t="s">
        <v>446</v>
      </c>
      <c r="G708" s="11" t="s">
        <v>150</v>
      </c>
      <c r="H708" s="11" t="s">
        <v>459</v>
      </c>
      <c r="I708" s="11" t="s">
        <v>1794</v>
      </c>
    </row>
    <row r="709" spans="1:9" ht="19.95" customHeight="1" x14ac:dyDescent="0.3">
      <c r="A709" s="23">
        <v>46254.650549386577</v>
      </c>
      <c r="B709" s="16" t="s">
        <v>853</v>
      </c>
      <c r="C709" s="14" t="s">
        <v>1085</v>
      </c>
      <c r="D709" s="14" t="s">
        <v>680</v>
      </c>
      <c r="E709" s="14" t="s">
        <v>361</v>
      </c>
      <c r="F709" s="14" t="s">
        <v>380</v>
      </c>
      <c r="G709" s="14" t="s">
        <v>147</v>
      </c>
      <c r="H709" s="14" t="s">
        <v>508</v>
      </c>
      <c r="I709" s="14" t="s">
        <v>1795</v>
      </c>
    </row>
    <row r="710" spans="1:9" ht="19.95" customHeight="1" x14ac:dyDescent="0.3">
      <c r="A710" s="21">
        <v>46254.641576608803</v>
      </c>
      <c r="B710" s="13" t="s">
        <v>853</v>
      </c>
      <c r="C710" s="11" t="s">
        <v>1085</v>
      </c>
      <c r="D710" s="11" t="s">
        <v>671</v>
      </c>
      <c r="E710" s="11" t="s">
        <v>361</v>
      </c>
      <c r="F710" s="11" t="s">
        <v>424</v>
      </c>
      <c r="G710" s="11" t="s">
        <v>147</v>
      </c>
      <c r="H710" s="11" t="s">
        <v>425</v>
      </c>
      <c r="I710" s="11" t="s">
        <v>1796</v>
      </c>
    </row>
    <row r="711" spans="1:9" ht="19.95" customHeight="1" x14ac:dyDescent="0.3">
      <c r="A711" s="23">
        <v>46254.638708796287</v>
      </c>
      <c r="B711" s="16" t="s">
        <v>853</v>
      </c>
      <c r="C711" s="14" t="s">
        <v>1085</v>
      </c>
      <c r="D711" s="14" t="s">
        <v>1446</v>
      </c>
      <c r="E711" s="14" t="s">
        <v>361</v>
      </c>
      <c r="F711" s="14" t="s">
        <v>424</v>
      </c>
      <c r="G711" s="14" t="s">
        <v>147</v>
      </c>
      <c r="H711" s="14" t="s">
        <v>425</v>
      </c>
      <c r="I711" s="14" t="s">
        <v>1797</v>
      </c>
    </row>
    <row r="712" spans="1:9" ht="19.95" customHeight="1" x14ac:dyDescent="0.3">
      <c r="A712" s="21">
        <v>46254.449455069444</v>
      </c>
      <c r="B712" s="13" t="s">
        <v>853</v>
      </c>
      <c r="C712" s="11" t="s">
        <v>1085</v>
      </c>
      <c r="D712" s="11" t="s">
        <v>674</v>
      </c>
      <c r="E712" s="11" t="s">
        <v>361</v>
      </c>
      <c r="F712" s="11" t="s">
        <v>424</v>
      </c>
      <c r="G712" s="11" t="s">
        <v>147</v>
      </c>
      <c r="H712" s="11" t="s">
        <v>425</v>
      </c>
      <c r="I712" s="11" t="s">
        <v>1798</v>
      </c>
    </row>
    <row r="713" spans="1:9" ht="19.95" customHeight="1" x14ac:dyDescent="0.3">
      <c r="A713" s="23">
        <v>46253.546857731482</v>
      </c>
      <c r="B713" s="16" t="s">
        <v>853</v>
      </c>
      <c r="C713" s="14" t="s">
        <v>1250</v>
      </c>
      <c r="D713" s="14" t="s">
        <v>1578</v>
      </c>
      <c r="E713" s="14" t="s">
        <v>361</v>
      </c>
      <c r="F713" s="14" t="s">
        <v>380</v>
      </c>
      <c r="G713" s="14" t="s">
        <v>147</v>
      </c>
      <c r="H713" s="14" t="s">
        <v>508</v>
      </c>
      <c r="I713" s="14" t="s">
        <v>1799</v>
      </c>
    </row>
    <row r="714" spans="1:9" ht="19.95" customHeight="1" x14ac:dyDescent="0.3">
      <c r="A714" s="21">
        <v>46253.544489814813</v>
      </c>
      <c r="B714" s="13" t="s">
        <v>853</v>
      </c>
      <c r="C714" s="11" t="s">
        <v>1085</v>
      </c>
      <c r="D714" s="11" t="s">
        <v>1580</v>
      </c>
      <c r="E714" s="11" t="s">
        <v>361</v>
      </c>
      <c r="F714" s="11" t="s">
        <v>424</v>
      </c>
      <c r="G714" s="11" t="s">
        <v>356</v>
      </c>
      <c r="H714" s="11" t="s">
        <v>357</v>
      </c>
      <c r="I714" s="11" t="s">
        <v>1800</v>
      </c>
    </row>
    <row r="715" spans="1:9" ht="19.95" customHeight="1" x14ac:dyDescent="0.3">
      <c r="A715" s="23">
        <v>46248.554302511577</v>
      </c>
      <c r="B715" s="16" t="s">
        <v>853</v>
      </c>
      <c r="C715" s="14" t="s">
        <v>1085</v>
      </c>
      <c r="D715" s="14" t="s">
        <v>640</v>
      </c>
      <c r="E715" s="14" t="s">
        <v>361</v>
      </c>
      <c r="F715" s="14" t="s">
        <v>446</v>
      </c>
      <c r="G715" s="14" t="s">
        <v>152</v>
      </c>
      <c r="H715" s="14" t="s">
        <v>446</v>
      </c>
      <c r="I715" s="14" t="s">
        <v>1801</v>
      </c>
    </row>
    <row r="716" spans="1:9" ht="19.95" customHeight="1" x14ac:dyDescent="0.3">
      <c r="A716" s="21">
        <v>46247.756958090278</v>
      </c>
      <c r="B716" s="13" t="s">
        <v>853</v>
      </c>
      <c r="C716" s="11" t="s">
        <v>1085</v>
      </c>
      <c r="D716" s="11" t="s">
        <v>1802</v>
      </c>
      <c r="E716" s="11" t="s">
        <v>361</v>
      </c>
      <c r="F716" s="11" t="s">
        <v>424</v>
      </c>
      <c r="G716" s="11" t="s">
        <v>150</v>
      </c>
      <c r="H716" s="11" t="s">
        <v>256</v>
      </c>
      <c r="I716" s="11" t="s">
        <v>1803</v>
      </c>
    </row>
    <row r="717" spans="1:9" ht="19.95" customHeight="1" x14ac:dyDescent="0.3">
      <c r="A717" s="23">
        <v>46247.58141997685</v>
      </c>
      <c r="B717" s="16" t="s">
        <v>853</v>
      </c>
      <c r="C717" s="14" t="s">
        <v>1085</v>
      </c>
      <c r="D717" s="14" t="s">
        <v>1804</v>
      </c>
      <c r="E717" s="14" t="s">
        <v>361</v>
      </c>
      <c r="F717" s="14" t="s">
        <v>424</v>
      </c>
      <c r="G717" s="14" t="s">
        <v>150</v>
      </c>
      <c r="H717" s="14" t="s">
        <v>425</v>
      </c>
      <c r="I717" s="14" t="s">
        <v>1805</v>
      </c>
    </row>
    <row r="718" spans="1:9" ht="19.95" customHeight="1" x14ac:dyDescent="0.3">
      <c r="A718" s="21">
        <v>46247.580338553242</v>
      </c>
      <c r="B718" s="13" t="s">
        <v>853</v>
      </c>
      <c r="C718" s="11" t="s">
        <v>1085</v>
      </c>
      <c r="D718" s="11" t="s">
        <v>1806</v>
      </c>
      <c r="E718" s="11" t="s">
        <v>361</v>
      </c>
      <c r="F718" s="11" t="s">
        <v>424</v>
      </c>
      <c r="G718" s="11" t="s">
        <v>150</v>
      </c>
      <c r="H718" s="11" t="s">
        <v>242</v>
      </c>
      <c r="I718" s="11" t="s">
        <v>1807</v>
      </c>
    </row>
    <row r="719" spans="1:9" ht="19.95" customHeight="1" x14ac:dyDescent="0.3">
      <c r="A719" s="23">
        <v>46247.576499386567</v>
      </c>
      <c r="B719" s="16" t="s">
        <v>853</v>
      </c>
      <c r="C719" s="14" t="s">
        <v>1085</v>
      </c>
      <c r="D719" s="14" t="s">
        <v>1808</v>
      </c>
      <c r="E719" s="14" t="s">
        <v>361</v>
      </c>
      <c r="F719" s="14" t="s">
        <v>446</v>
      </c>
      <c r="G719" s="14" t="s">
        <v>150</v>
      </c>
      <c r="H719" s="14" t="s">
        <v>1809</v>
      </c>
      <c r="I719" s="14" t="s">
        <v>1810</v>
      </c>
    </row>
    <row r="720" spans="1:9" ht="19.95" customHeight="1" x14ac:dyDescent="0.3">
      <c r="A720" s="21">
        <v>46247.541077141213</v>
      </c>
      <c r="B720" s="13" t="s">
        <v>853</v>
      </c>
      <c r="C720" s="11" t="s">
        <v>1085</v>
      </c>
      <c r="D720" s="11" t="s">
        <v>1811</v>
      </c>
      <c r="E720" s="11" t="s">
        <v>361</v>
      </c>
      <c r="F720" s="11" t="s">
        <v>380</v>
      </c>
      <c r="G720" s="11" t="s">
        <v>152</v>
      </c>
      <c r="H720" s="11" t="s">
        <v>508</v>
      </c>
      <c r="I720" s="11" t="s">
        <v>1812</v>
      </c>
    </row>
    <row r="721" spans="1:9" ht="19.95" customHeight="1" x14ac:dyDescent="0.3">
      <c r="A721" s="23">
        <v>46247.525199224539</v>
      </c>
      <c r="B721" s="16" t="s">
        <v>853</v>
      </c>
      <c r="C721" s="14" t="s">
        <v>1085</v>
      </c>
      <c r="D721" s="14" t="s">
        <v>655</v>
      </c>
      <c r="E721" s="14" t="s">
        <v>361</v>
      </c>
      <c r="F721" s="14" t="s">
        <v>380</v>
      </c>
      <c r="G721" s="14" t="s">
        <v>152</v>
      </c>
      <c r="H721" s="14" t="s">
        <v>508</v>
      </c>
      <c r="I721" s="14" t="s">
        <v>1813</v>
      </c>
    </row>
    <row r="722" spans="1:9" ht="19.95" customHeight="1" x14ac:dyDescent="0.3">
      <c r="A722" s="21">
        <v>46246.560858703713</v>
      </c>
      <c r="B722" s="13" t="s">
        <v>853</v>
      </c>
      <c r="C722" s="11" t="s">
        <v>1085</v>
      </c>
      <c r="D722" s="11" t="s">
        <v>1527</v>
      </c>
      <c r="E722" s="11" t="s">
        <v>361</v>
      </c>
      <c r="F722" s="11" t="s">
        <v>424</v>
      </c>
      <c r="G722" s="11" t="s">
        <v>150</v>
      </c>
      <c r="H722" s="11" t="s">
        <v>252</v>
      </c>
      <c r="I722" s="11" t="s">
        <v>1814</v>
      </c>
    </row>
    <row r="723" spans="1:9" ht="19.95" customHeight="1" x14ac:dyDescent="0.3">
      <c r="A723" s="23">
        <v>46246.560248159723</v>
      </c>
      <c r="B723" s="16" t="s">
        <v>853</v>
      </c>
      <c r="C723" s="14" t="s">
        <v>1085</v>
      </c>
      <c r="D723" s="14" t="s">
        <v>640</v>
      </c>
      <c r="E723" s="14" t="s">
        <v>361</v>
      </c>
      <c r="F723" s="14" t="s">
        <v>424</v>
      </c>
      <c r="G723" s="14" t="s">
        <v>147</v>
      </c>
      <c r="H723" s="14" t="s">
        <v>242</v>
      </c>
      <c r="I723" s="14" t="s">
        <v>1815</v>
      </c>
    </row>
    <row r="724" spans="1:9" ht="19.95" customHeight="1" x14ac:dyDescent="0.3">
      <c r="A724" s="21">
        <v>46246.5575708912</v>
      </c>
      <c r="B724" s="13" t="s">
        <v>853</v>
      </c>
      <c r="C724" s="11" t="s">
        <v>1085</v>
      </c>
      <c r="D724" s="11" t="s">
        <v>1013</v>
      </c>
      <c r="E724" s="11" t="s">
        <v>361</v>
      </c>
      <c r="F724" s="11" t="s">
        <v>1006</v>
      </c>
      <c r="G724" s="11" t="s">
        <v>356</v>
      </c>
      <c r="H724" s="11" t="s">
        <v>357</v>
      </c>
      <c r="I724" s="11" t="s">
        <v>1816</v>
      </c>
    </row>
    <row r="725" spans="1:9" ht="19.95" customHeight="1" x14ac:dyDescent="0.3">
      <c r="A725" s="23">
        <v>46246.557480381947</v>
      </c>
      <c r="B725" s="16" t="s">
        <v>853</v>
      </c>
      <c r="C725" s="14" t="s">
        <v>1085</v>
      </c>
      <c r="D725" s="14" t="s">
        <v>1558</v>
      </c>
      <c r="E725" s="14" t="s">
        <v>361</v>
      </c>
      <c r="F725" s="14" t="s">
        <v>424</v>
      </c>
      <c r="G725" s="14" t="s">
        <v>147</v>
      </c>
      <c r="H725" s="14" t="s">
        <v>425</v>
      </c>
      <c r="I725" s="14" t="s">
        <v>1817</v>
      </c>
    </row>
    <row r="726" spans="1:9" ht="19.95" customHeight="1" x14ac:dyDescent="0.3">
      <c r="A726" s="21">
        <v>46246.556142997688</v>
      </c>
      <c r="B726" s="13" t="s">
        <v>853</v>
      </c>
      <c r="C726" s="11" t="s">
        <v>1085</v>
      </c>
      <c r="D726" s="11" t="s">
        <v>450</v>
      </c>
      <c r="E726" s="11" t="s">
        <v>361</v>
      </c>
      <c r="F726" s="11" t="s">
        <v>424</v>
      </c>
      <c r="G726" s="11" t="s">
        <v>150</v>
      </c>
      <c r="H726" s="11" t="s">
        <v>266</v>
      </c>
      <c r="I726" s="11" t="s">
        <v>1818</v>
      </c>
    </row>
    <row r="727" spans="1:9" ht="19.95" customHeight="1" x14ac:dyDescent="0.3">
      <c r="A727" s="23">
        <v>46246.554046469908</v>
      </c>
      <c r="B727" s="16" t="s">
        <v>853</v>
      </c>
      <c r="C727" s="14" t="s">
        <v>1085</v>
      </c>
      <c r="D727" s="14" t="s">
        <v>1524</v>
      </c>
      <c r="E727" s="14" t="s">
        <v>361</v>
      </c>
      <c r="F727" s="14" t="s">
        <v>424</v>
      </c>
      <c r="G727" s="14" t="s">
        <v>150</v>
      </c>
      <c r="H727" s="14" t="s">
        <v>381</v>
      </c>
      <c r="I727" s="14" t="s">
        <v>1819</v>
      </c>
    </row>
    <row r="728" spans="1:9" ht="19.95" customHeight="1" x14ac:dyDescent="0.3">
      <c r="A728" s="21">
        <v>46246.550911712962</v>
      </c>
      <c r="B728" s="13" t="s">
        <v>853</v>
      </c>
      <c r="C728" s="11" t="s">
        <v>1085</v>
      </c>
      <c r="D728" s="11" t="s">
        <v>1544</v>
      </c>
      <c r="E728" s="11" t="s">
        <v>361</v>
      </c>
      <c r="F728" s="11" t="s">
        <v>424</v>
      </c>
      <c r="G728" s="11" t="s">
        <v>147</v>
      </c>
      <c r="H728" s="11" t="s">
        <v>425</v>
      </c>
      <c r="I728" s="11" t="s">
        <v>1820</v>
      </c>
    </row>
    <row r="729" spans="1:9" ht="19.95" customHeight="1" x14ac:dyDescent="0.3">
      <c r="A729" s="23">
        <v>46246.549489050929</v>
      </c>
      <c r="B729" s="16" t="s">
        <v>853</v>
      </c>
      <c r="C729" s="14" t="s">
        <v>1085</v>
      </c>
      <c r="D729" s="14" t="s">
        <v>1821</v>
      </c>
      <c r="E729" s="14" t="s">
        <v>361</v>
      </c>
      <c r="F729" s="14" t="s">
        <v>446</v>
      </c>
      <c r="G729" s="14" t="s">
        <v>150</v>
      </c>
      <c r="H729" s="14" t="s">
        <v>1809</v>
      </c>
      <c r="I729" s="14" t="s">
        <v>1822</v>
      </c>
    </row>
    <row r="730" spans="1:9" ht="19.95" customHeight="1" x14ac:dyDescent="0.3">
      <c r="A730" s="21">
        <v>46246.54714516204</v>
      </c>
      <c r="B730" s="13" t="s">
        <v>853</v>
      </c>
      <c r="C730" s="11" t="s">
        <v>1085</v>
      </c>
      <c r="D730" s="11" t="s">
        <v>1823</v>
      </c>
      <c r="E730" s="11" t="s">
        <v>361</v>
      </c>
      <c r="F730" s="11" t="s">
        <v>424</v>
      </c>
      <c r="G730" s="11" t="s">
        <v>150</v>
      </c>
      <c r="H730" s="11" t="s">
        <v>425</v>
      </c>
      <c r="I730" s="11" t="s">
        <v>1824</v>
      </c>
    </row>
    <row r="731" spans="1:9" ht="19.95" customHeight="1" x14ac:dyDescent="0.3">
      <c r="A731" s="23">
        <v>46241.725120625</v>
      </c>
      <c r="B731" s="16" t="s">
        <v>853</v>
      </c>
      <c r="C731" s="14" t="s">
        <v>1085</v>
      </c>
      <c r="D731" s="14" t="s">
        <v>1504</v>
      </c>
      <c r="E731" s="14" t="s">
        <v>361</v>
      </c>
      <c r="F731" s="14" t="s">
        <v>424</v>
      </c>
      <c r="G731" s="14" t="s">
        <v>150</v>
      </c>
      <c r="H731" s="14" t="s">
        <v>256</v>
      </c>
      <c r="I731" s="14" t="s">
        <v>1825</v>
      </c>
    </row>
    <row r="732" spans="1:9" ht="19.95" customHeight="1" x14ac:dyDescent="0.3">
      <c r="A732" s="21">
        <v>46240.48055108796</v>
      </c>
      <c r="B732" s="13" t="s">
        <v>853</v>
      </c>
      <c r="C732" s="11" t="s">
        <v>1085</v>
      </c>
      <c r="D732" s="11" t="s">
        <v>1826</v>
      </c>
      <c r="E732" s="11" t="s">
        <v>361</v>
      </c>
      <c r="F732" s="11" t="s">
        <v>424</v>
      </c>
      <c r="G732" s="11" t="s">
        <v>152</v>
      </c>
      <c r="H732" s="11" t="s">
        <v>247</v>
      </c>
      <c r="I732" s="11" t="s">
        <v>1827</v>
      </c>
    </row>
    <row r="733" spans="1:9" ht="19.95" customHeight="1" x14ac:dyDescent="0.3">
      <c r="A733" s="23">
        <v>46239.741436481483</v>
      </c>
      <c r="B733" s="16" t="s">
        <v>853</v>
      </c>
      <c r="C733" s="14" t="s">
        <v>1085</v>
      </c>
      <c r="D733" s="14" t="s">
        <v>1828</v>
      </c>
      <c r="E733" s="14" t="s">
        <v>361</v>
      </c>
      <c r="F733" s="14" t="s">
        <v>380</v>
      </c>
      <c r="G733" s="14" t="s">
        <v>150</v>
      </c>
      <c r="H733" s="14" t="s">
        <v>508</v>
      </c>
      <c r="I733" s="14" t="s">
        <v>1829</v>
      </c>
    </row>
    <row r="734" spans="1:9" ht="19.95" customHeight="1" x14ac:dyDescent="0.3">
      <c r="A734" s="21">
        <v>46239.51673033565</v>
      </c>
      <c r="B734" s="13" t="s">
        <v>853</v>
      </c>
      <c r="C734" s="11" t="s">
        <v>1085</v>
      </c>
      <c r="D734" s="11" t="s">
        <v>1830</v>
      </c>
      <c r="E734" s="11" t="s">
        <v>361</v>
      </c>
      <c r="F734" s="11" t="s">
        <v>380</v>
      </c>
      <c r="G734" s="11" t="s">
        <v>152</v>
      </c>
      <c r="H734" s="11" t="s">
        <v>1244</v>
      </c>
      <c r="I734" s="11" t="s">
        <v>1831</v>
      </c>
    </row>
    <row r="735" spans="1:9" ht="19.95" customHeight="1" x14ac:dyDescent="0.3">
      <c r="A735" s="23">
        <v>46220.715514386568</v>
      </c>
      <c r="B735" s="16" t="s">
        <v>853</v>
      </c>
      <c r="C735" s="14" t="s">
        <v>1085</v>
      </c>
      <c r="D735" s="14" t="s">
        <v>1832</v>
      </c>
      <c r="E735" s="14" t="s">
        <v>361</v>
      </c>
      <c r="F735" s="14" t="s">
        <v>380</v>
      </c>
      <c r="G735" s="14" t="s">
        <v>150</v>
      </c>
      <c r="H735" s="14" t="s">
        <v>1314</v>
      </c>
      <c r="I735" s="14" t="s">
        <v>1833</v>
      </c>
    </row>
    <row r="736" spans="1:9" ht="19.95" customHeight="1" x14ac:dyDescent="0.3">
      <c r="A736" s="21">
        <v>46220.549216516207</v>
      </c>
      <c r="B736" s="13" t="s">
        <v>853</v>
      </c>
      <c r="C736" s="11" t="s">
        <v>1085</v>
      </c>
      <c r="D736" s="11" t="s">
        <v>1834</v>
      </c>
      <c r="E736" s="11" t="s">
        <v>361</v>
      </c>
      <c r="F736" s="11" t="s">
        <v>380</v>
      </c>
      <c r="G736" s="11" t="s">
        <v>152</v>
      </c>
      <c r="H736" s="11" t="s">
        <v>1314</v>
      </c>
      <c r="I736" s="11" t="s">
        <v>1835</v>
      </c>
    </row>
  </sheetData>
  <autoFilter ref="A1:I73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5" customWidth="1"/>
    <col min="3" max="3" width="16" customWidth="1"/>
    <col min="4" max="4" width="42" customWidth="1"/>
    <col min="5" max="5" width="20" customWidth="1"/>
    <col min="6" max="6" width="15" customWidth="1"/>
    <col min="7" max="7" width="18" customWidth="1"/>
    <col min="8" max="8" width="19" customWidth="1"/>
    <col min="9" max="9" width="14" customWidth="1"/>
    <col min="10" max="10" width="18" customWidth="1"/>
    <col min="11" max="11" width="14" customWidth="1"/>
    <col min="12" max="12" width="22" customWidth="1"/>
    <col min="13" max="13" width="23" customWidth="1"/>
    <col min="14" max="14" width="14" customWidth="1"/>
    <col min="15" max="15" width="28" customWidth="1"/>
    <col min="16" max="16" width="15" customWidth="1"/>
    <col min="17" max="17" width="20" customWidth="1"/>
    <col min="18" max="18" width="65" customWidth="1"/>
  </cols>
  <sheetData>
    <row r="1" spans="1:18" ht="28.05" customHeight="1" x14ac:dyDescent="0.3">
      <c r="A1" s="20" t="s">
        <v>343</v>
      </c>
      <c r="B1" s="20" t="s">
        <v>344</v>
      </c>
      <c r="C1" s="20" t="s">
        <v>1836</v>
      </c>
      <c r="D1" s="20" t="s">
        <v>1837</v>
      </c>
      <c r="E1" s="20" t="s">
        <v>1838</v>
      </c>
      <c r="F1" s="20" t="s">
        <v>1839</v>
      </c>
      <c r="G1" s="20" t="s">
        <v>1840</v>
      </c>
      <c r="H1" s="20" t="s">
        <v>1841</v>
      </c>
      <c r="I1" s="20" t="s">
        <v>1842</v>
      </c>
      <c r="J1" s="20" t="s">
        <v>1843</v>
      </c>
      <c r="K1" s="20" t="s">
        <v>1844</v>
      </c>
      <c r="L1" s="20" t="s">
        <v>1845</v>
      </c>
      <c r="M1" s="20" t="s">
        <v>1846</v>
      </c>
      <c r="N1" s="20" t="s">
        <v>1847</v>
      </c>
      <c r="O1" s="20" t="s">
        <v>1848</v>
      </c>
      <c r="P1" s="20" t="s">
        <v>1849</v>
      </c>
      <c r="Q1" s="20" t="s">
        <v>1850</v>
      </c>
      <c r="R1" s="20" t="s">
        <v>351</v>
      </c>
    </row>
    <row r="2" spans="1:18" ht="19.95" customHeight="1" x14ac:dyDescent="0.3">
      <c r="A2" s="21">
        <v>46291.688990775459</v>
      </c>
      <c r="B2" s="26" t="s">
        <v>363</v>
      </c>
      <c r="C2" s="11" t="s">
        <v>1851</v>
      </c>
      <c r="D2" s="11" t="s">
        <v>1852</v>
      </c>
      <c r="E2" s="11" t="s">
        <v>1853</v>
      </c>
      <c r="F2" s="11" t="s">
        <v>1854</v>
      </c>
      <c r="G2" s="11" t="s">
        <v>1855</v>
      </c>
      <c r="H2" s="27">
        <v>22000</v>
      </c>
      <c r="I2" s="27">
        <v>22000</v>
      </c>
      <c r="J2" s="27">
        <v>0</v>
      </c>
      <c r="K2" s="11">
        <v>3</v>
      </c>
      <c r="L2" s="11">
        <v>922</v>
      </c>
      <c r="M2" s="11" t="s">
        <v>1856</v>
      </c>
      <c r="N2" s="11" t="s">
        <v>1857</v>
      </c>
      <c r="O2" s="11" t="s">
        <v>1858</v>
      </c>
      <c r="P2" s="11" t="s">
        <v>1859</v>
      </c>
      <c r="Q2" s="11" t="s">
        <v>145</v>
      </c>
      <c r="R2" s="11" t="s">
        <v>38</v>
      </c>
    </row>
    <row r="3" spans="1:18" ht="19.95" customHeight="1" x14ac:dyDescent="0.3">
      <c r="A3" s="23">
        <v>46291.589622534717</v>
      </c>
      <c r="B3" s="25" t="s">
        <v>363</v>
      </c>
      <c r="C3" s="14" t="s">
        <v>1860</v>
      </c>
      <c r="D3" s="14" t="s">
        <v>1861</v>
      </c>
      <c r="E3" s="14" t="s">
        <v>1853</v>
      </c>
      <c r="F3" s="14" t="s">
        <v>1854</v>
      </c>
      <c r="G3" s="14" t="s">
        <v>1862</v>
      </c>
      <c r="H3" s="28">
        <v>33000</v>
      </c>
      <c r="I3" s="28">
        <v>66000</v>
      </c>
      <c r="J3" s="28">
        <v>1500</v>
      </c>
      <c r="K3" s="14">
        <v>2</v>
      </c>
      <c r="L3" s="14" t="s">
        <v>38</v>
      </c>
      <c r="M3" s="14" t="s">
        <v>1863</v>
      </c>
      <c r="N3" s="14" t="s">
        <v>1857</v>
      </c>
      <c r="O3" s="14" t="s">
        <v>1864</v>
      </c>
      <c r="P3" s="14" t="s">
        <v>1865</v>
      </c>
      <c r="Q3" s="14" t="s">
        <v>152</v>
      </c>
      <c r="R3" s="14" t="s">
        <v>38</v>
      </c>
    </row>
    <row r="4" spans="1:18" ht="19.95" customHeight="1" x14ac:dyDescent="0.3">
      <c r="A4" s="21">
        <v>46290.753477129627</v>
      </c>
      <c r="B4" s="26" t="s">
        <v>363</v>
      </c>
      <c r="C4" s="11" t="s">
        <v>1866</v>
      </c>
      <c r="D4" s="11" t="s">
        <v>1867</v>
      </c>
      <c r="E4" s="11" t="s">
        <v>1868</v>
      </c>
      <c r="F4" s="11" t="s">
        <v>1854</v>
      </c>
      <c r="G4" s="11" t="s">
        <v>1855</v>
      </c>
      <c r="H4" s="27">
        <v>35000</v>
      </c>
      <c r="I4" s="27">
        <v>70000</v>
      </c>
      <c r="J4" s="27">
        <v>0</v>
      </c>
      <c r="K4" s="11">
        <v>3</v>
      </c>
      <c r="L4" s="11">
        <v>1030</v>
      </c>
      <c r="M4" s="11" t="s">
        <v>1869</v>
      </c>
      <c r="N4" s="11" t="s">
        <v>1857</v>
      </c>
      <c r="O4" s="11" t="s">
        <v>1870</v>
      </c>
      <c r="P4" s="11" t="s">
        <v>1871</v>
      </c>
      <c r="Q4" s="11" t="s">
        <v>155</v>
      </c>
      <c r="R4" s="11" t="s">
        <v>1872</v>
      </c>
    </row>
    <row r="5" spans="1:18" ht="19.95" customHeight="1" x14ac:dyDescent="0.3">
      <c r="A5" s="23">
        <v>46290.707312939812</v>
      </c>
      <c r="B5" s="25" t="s">
        <v>363</v>
      </c>
      <c r="C5" s="14" t="s">
        <v>1873</v>
      </c>
      <c r="D5" s="14" t="s">
        <v>1874</v>
      </c>
      <c r="E5" s="14" t="s">
        <v>1853</v>
      </c>
      <c r="F5" s="14" t="s">
        <v>1854</v>
      </c>
      <c r="G5" s="14" t="s">
        <v>1855</v>
      </c>
      <c r="H5" s="28">
        <v>45000</v>
      </c>
      <c r="I5" s="28">
        <v>90000</v>
      </c>
      <c r="J5" s="28">
        <v>0</v>
      </c>
      <c r="K5" s="14">
        <v>3</v>
      </c>
      <c r="L5" s="14">
        <v>1342</v>
      </c>
      <c r="M5" s="14" t="s">
        <v>1875</v>
      </c>
      <c r="N5" s="14" t="s">
        <v>1857</v>
      </c>
      <c r="O5" s="14" t="s">
        <v>1876</v>
      </c>
      <c r="P5" s="14" t="s">
        <v>1877</v>
      </c>
      <c r="Q5" s="14" t="s">
        <v>155</v>
      </c>
      <c r="R5" s="14" t="s">
        <v>813</v>
      </c>
    </row>
    <row r="6" spans="1:18" ht="19.95" customHeight="1" x14ac:dyDescent="0.3">
      <c r="A6" s="21">
        <v>46290.662413518519</v>
      </c>
      <c r="B6" s="26" t="s">
        <v>363</v>
      </c>
      <c r="C6" s="11" t="s">
        <v>1878</v>
      </c>
      <c r="D6" s="11" t="s">
        <v>1879</v>
      </c>
      <c r="E6" s="11" t="s">
        <v>1853</v>
      </c>
      <c r="F6" s="11" t="s">
        <v>1854</v>
      </c>
      <c r="G6" s="11" t="s">
        <v>1855</v>
      </c>
      <c r="H6" s="27">
        <v>16000</v>
      </c>
      <c r="I6" s="27">
        <v>32000</v>
      </c>
      <c r="J6" s="27">
        <v>2250</v>
      </c>
      <c r="K6" s="11">
        <v>2</v>
      </c>
      <c r="L6" s="11">
        <v>608</v>
      </c>
      <c r="M6" s="11" t="s">
        <v>1880</v>
      </c>
      <c r="N6" s="11" t="s">
        <v>1857</v>
      </c>
      <c r="O6" s="11" t="s">
        <v>1881</v>
      </c>
      <c r="P6" s="11" t="s">
        <v>1882</v>
      </c>
      <c r="Q6" s="11" t="s">
        <v>155</v>
      </c>
      <c r="R6" s="11" t="s">
        <v>1883</v>
      </c>
    </row>
    <row r="7" spans="1:18" ht="19.95" customHeight="1" x14ac:dyDescent="0.3">
      <c r="A7" s="23">
        <v>46290.649717534718</v>
      </c>
      <c r="B7" s="25" t="s">
        <v>363</v>
      </c>
      <c r="C7" s="14" t="s">
        <v>1884</v>
      </c>
      <c r="D7" s="14" t="s">
        <v>1885</v>
      </c>
      <c r="E7" s="14" t="s">
        <v>1886</v>
      </c>
      <c r="F7" s="14" t="s">
        <v>1854</v>
      </c>
      <c r="G7" s="14" t="s">
        <v>1862</v>
      </c>
      <c r="H7" s="28">
        <v>70000</v>
      </c>
      <c r="I7" s="28">
        <v>140000</v>
      </c>
      <c r="J7" s="28">
        <v>0</v>
      </c>
      <c r="K7" s="14">
        <v>4</v>
      </c>
      <c r="L7" s="14">
        <v>1643</v>
      </c>
      <c r="M7" s="14" t="s">
        <v>1887</v>
      </c>
      <c r="N7" s="14" t="s">
        <v>1857</v>
      </c>
      <c r="O7" s="14" t="s">
        <v>152</v>
      </c>
      <c r="P7" s="14" t="s">
        <v>1888</v>
      </c>
      <c r="Q7" s="14" t="s">
        <v>155</v>
      </c>
      <c r="R7" s="14" t="s">
        <v>1889</v>
      </c>
    </row>
    <row r="8" spans="1:18" ht="19.95" customHeight="1" x14ac:dyDescent="0.3">
      <c r="A8" s="21">
        <v>46290.636335266201</v>
      </c>
      <c r="B8" s="26" t="s">
        <v>363</v>
      </c>
      <c r="C8" s="11" t="s">
        <v>1890</v>
      </c>
      <c r="D8" s="11" t="s">
        <v>1891</v>
      </c>
      <c r="E8" s="11" t="s">
        <v>1853</v>
      </c>
      <c r="F8" s="11" t="s">
        <v>1854</v>
      </c>
      <c r="G8" s="11" t="s">
        <v>1855</v>
      </c>
      <c r="H8" s="27">
        <v>40000</v>
      </c>
      <c r="I8" s="27">
        <v>80000</v>
      </c>
      <c r="J8" s="27">
        <v>0</v>
      </c>
      <c r="K8" s="11">
        <v>3</v>
      </c>
      <c r="L8" s="11">
        <v>1250</v>
      </c>
      <c r="M8" s="11" t="s">
        <v>38</v>
      </c>
      <c r="N8" s="11" t="s">
        <v>1857</v>
      </c>
      <c r="O8" s="11" t="s">
        <v>1892</v>
      </c>
      <c r="P8" s="11" t="s">
        <v>1893</v>
      </c>
      <c r="Q8" s="11" t="s">
        <v>155</v>
      </c>
      <c r="R8" s="11" t="s">
        <v>815</v>
      </c>
    </row>
    <row r="9" spans="1:18" ht="19.95" customHeight="1" x14ac:dyDescent="0.3">
      <c r="A9" s="23">
        <v>46290.608838182867</v>
      </c>
      <c r="B9" s="25" t="s">
        <v>363</v>
      </c>
      <c r="C9" s="14" t="s">
        <v>1894</v>
      </c>
      <c r="D9" s="14" t="s">
        <v>1895</v>
      </c>
      <c r="E9" s="14" t="s">
        <v>1853</v>
      </c>
      <c r="F9" s="14" t="s">
        <v>1854</v>
      </c>
      <c r="G9" s="14" t="s">
        <v>1855</v>
      </c>
      <c r="H9" s="28">
        <v>35000</v>
      </c>
      <c r="I9" s="28">
        <v>70000</v>
      </c>
      <c r="J9" s="28">
        <v>0</v>
      </c>
      <c r="K9" s="14">
        <v>3</v>
      </c>
      <c r="L9" s="14">
        <v>787</v>
      </c>
      <c r="M9" s="14" t="s">
        <v>1880</v>
      </c>
      <c r="N9" s="14" t="s">
        <v>1857</v>
      </c>
      <c r="O9" s="14" t="s">
        <v>1896</v>
      </c>
      <c r="P9" s="14" t="s">
        <v>1897</v>
      </c>
      <c r="Q9" s="14" t="s">
        <v>155</v>
      </c>
      <c r="R9" s="14" t="s">
        <v>1898</v>
      </c>
    </row>
    <row r="10" spans="1:18" ht="19.95" customHeight="1" x14ac:dyDescent="0.3">
      <c r="A10" s="21">
        <v>46290.598037245371</v>
      </c>
      <c r="B10" s="26" t="s">
        <v>363</v>
      </c>
      <c r="C10" s="11" t="s">
        <v>1899</v>
      </c>
      <c r="D10" s="11" t="s">
        <v>1900</v>
      </c>
      <c r="E10" s="11" t="s">
        <v>1901</v>
      </c>
      <c r="F10" s="11" t="s">
        <v>1854</v>
      </c>
      <c r="G10" s="11" t="s">
        <v>1855</v>
      </c>
      <c r="H10" s="27">
        <v>13000</v>
      </c>
      <c r="I10" s="27">
        <v>26000</v>
      </c>
      <c r="J10" s="27">
        <v>0</v>
      </c>
      <c r="K10" s="11">
        <v>1</v>
      </c>
      <c r="L10" s="11">
        <v>110</v>
      </c>
      <c r="M10" s="11" t="s">
        <v>1902</v>
      </c>
      <c r="N10" s="11" t="s">
        <v>1857</v>
      </c>
      <c r="O10" s="11" t="s">
        <v>1903</v>
      </c>
      <c r="P10" s="11" t="s">
        <v>1904</v>
      </c>
      <c r="Q10" s="11" t="s">
        <v>155</v>
      </c>
      <c r="R10" s="11" t="s">
        <v>38</v>
      </c>
    </row>
    <row r="11" spans="1:18" ht="19.95" customHeight="1" x14ac:dyDescent="0.3">
      <c r="A11" s="23">
        <v>46290.591589571763</v>
      </c>
      <c r="B11" s="25" t="s">
        <v>363</v>
      </c>
      <c r="C11" s="14" t="s">
        <v>1905</v>
      </c>
      <c r="D11" s="14" t="s">
        <v>1906</v>
      </c>
      <c r="E11" s="14" t="s">
        <v>1868</v>
      </c>
      <c r="F11" s="14" t="s">
        <v>1854</v>
      </c>
      <c r="G11" s="14" t="s">
        <v>1855</v>
      </c>
      <c r="H11" s="28">
        <v>30000</v>
      </c>
      <c r="I11" s="28">
        <v>60000</v>
      </c>
      <c r="J11" s="28">
        <v>0</v>
      </c>
      <c r="K11" s="14">
        <v>3</v>
      </c>
      <c r="L11" s="14">
        <v>1417.5</v>
      </c>
      <c r="M11" s="14" t="s">
        <v>1907</v>
      </c>
      <c r="N11" s="14" t="s">
        <v>1857</v>
      </c>
      <c r="O11" s="14" t="s">
        <v>1908</v>
      </c>
      <c r="P11" s="14" t="s">
        <v>1909</v>
      </c>
      <c r="Q11" s="14" t="s">
        <v>155</v>
      </c>
      <c r="R11" s="14" t="s">
        <v>1872</v>
      </c>
    </row>
    <row r="12" spans="1:18" ht="19.95" customHeight="1" x14ac:dyDescent="0.3">
      <c r="A12" s="21">
        <v>46290.546739004632</v>
      </c>
      <c r="B12" s="26" t="s">
        <v>363</v>
      </c>
      <c r="C12" s="11" t="s">
        <v>1910</v>
      </c>
      <c r="D12" s="11" t="s">
        <v>1911</v>
      </c>
      <c r="E12" s="11" t="s">
        <v>1853</v>
      </c>
      <c r="F12" s="11" t="s">
        <v>1854</v>
      </c>
      <c r="G12" s="11" t="s">
        <v>1855</v>
      </c>
      <c r="H12" s="27">
        <v>35000</v>
      </c>
      <c r="I12" s="27">
        <v>35000</v>
      </c>
      <c r="J12" s="27">
        <v>0</v>
      </c>
      <c r="K12" s="11">
        <v>3</v>
      </c>
      <c r="L12" s="11">
        <v>1400</v>
      </c>
      <c r="M12" s="11" t="s">
        <v>1887</v>
      </c>
      <c r="N12" s="11" t="s">
        <v>1857</v>
      </c>
      <c r="O12" s="11" t="s">
        <v>1912</v>
      </c>
      <c r="P12" s="11" t="s">
        <v>1913</v>
      </c>
      <c r="Q12" s="11" t="s">
        <v>155</v>
      </c>
      <c r="R12" s="11" t="s">
        <v>817</v>
      </c>
    </row>
    <row r="13" spans="1:18" ht="19.95" customHeight="1" x14ac:dyDescent="0.3">
      <c r="A13" s="23">
        <v>46290.537872280103</v>
      </c>
      <c r="B13" s="25" t="s">
        <v>363</v>
      </c>
      <c r="C13" s="14" t="s">
        <v>1914</v>
      </c>
      <c r="D13" s="14" t="s">
        <v>1915</v>
      </c>
      <c r="E13" s="14" t="s">
        <v>1853</v>
      </c>
      <c r="F13" s="14" t="s">
        <v>1854</v>
      </c>
      <c r="G13" s="14" t="s">
        <v>1855</v>
      </c>
      <c r="H13" s="28">
        <v>17000</v>
      </c>
      <c r="I13" s="28">
        <v>34000</v>
      </c>
      <c r="J13" s="28">
        <v>0</v>
      </c>
      <c r="K13" s="14">
        <v>2</v>
      </c>
      <c r="L13" s="14">
        <v>571</v>
      </c>
      <c r="M13" s="14" t="s">
        <v>1916</v>
      </c>
      <c r="N13" s="14" t="s">
        <v>1857</v>
      </c>
      <c r="O13" s="14" t="s">
        <v>1917</v>
      </c>
      <c r="P13" s="14" t="s">
        <v>1918</v>
      </c>
      <c r="Q13" s="14" t="s">
        <v>155</v>
      </c>
      <c r="R13" s="14" t="s">
        <v>1919</v>
      </c>
    </row>
    <row r="14" spans="1:18" ht="19.95" customHeight="1" x14ac:dyDescent="0.3">
      <c r="A14" s="21">
        <v>46290.53360490741</v>
      </c>
      <c r="B14" s="26" t="s">
        <v>363</v>
      </c>
      <c r="C14" s="11" t="s">
        <v>1920</v>
      </c>
      <c r="D14" s="11" t="s">
        <v>1921</v>
      </c>
      <c r="E14" s="11" t="s">
        <v>1853</v>
      </c>
      <c r="F14" s="11" t="s">
        <v>1854</v>
      </c>
      <c r="G14" s="11" t="s">
        <v>1855</v>
      </c>
      <c r="H14" s="27">
        <v>35000</v>
      </c>
      <c r="I14" s="27">
        <v>35000</v>
      </c>
      <c r="J14" s="27">
        <v>0</v>
      </c>
      <c r="K14" s="11">
        <v>3</v>
      </c>
      <c r="L14" s="11">
        <v>1512</v>
      </c>
      <c r="M14" s="11" t="s">
        <v>1922</v>
      </c>
      <c r="N14" s="11" t="s">
        <v>1857</v>
      </c>
      <c r="O14" s="11" t="s">
        <v>1923</v>
      </c>
      <c r="P14" s="11" t="s">
        <v>1924</v>
      </c>
      <c r="Q14" s="11" t="s">
        <v>155</v>
      </c>
      <c r="R14" s="11" t="s">
        <v>38</v>
      </c>
    </row>
    <row r="15" spans="1:18" ht="19.95" customHeight="1" x14ac:dyDescent="0.3">
      <c r="A15" s="23">
        <v>46290.52696570602</v>
      </c>
      <c r="B15" s="25" t="s">
        <v>363</v>
      </c>
      <c r="C15" s="14" t="s">
        <v>1925</v>
      </c>
      <c r="D15" s="14" t="s">
        <v>1926</v>
      </c>
      <c r="E15" s="14" t="s">
        <v>1927</v>
      </c>
      <c r="F15" s="14" t="s">
        <v>1854</v>
      </c>
      <c r="G15" s="14" t="s">
        <v>1855</v>
      </c>
      <c r="H15" s="28">
        <v>11000</v>
      </c>
      <c r="I15" s="28">
        <v>22000</v>
      </c>
      <c r="J15" s="28">
        <v>0</v>
      </c>
      <c r="K15" s="14">
        <v>1</v>
      </c>
      <c r="L15" s="14">
        <v>117</v>
      </c>
      <c r="M15" s="14" t="s">
        <v>1928</v>
      </c>
      <c r="N15" s="14" t="s">
        <v>1857</v>
      </c>
      <c r="O15" s="14" t="s">
        <v>1929</v>
      </c>
      <c r="P15" s="14" t="s">
        <v>1930</v>
      </c>
      <c r="Q15" s="14" t="s">
        <v>155</v>
      </c>
      <c r="R15" s="14" t="s">
        <v>38</v>
      </c>
    </row>
    <row r="16" spans="1:18" ht="19.95" customHeight="1" x14ac:dyDescent="0.3">
      <c r="A16" s="21">
        <v>46290.522692719911</v>
      </c>
      <c r="B16" s="26" t="s">
        <v>363</v>
      </c>
      <c r="C16" s="11" t="s">
        <v>1931</v>
      </c>
      <c r="D16" s="11" t="s">
        <v>1932</v>
      </c>
      <c r="E16" s="11" t="s">
        <v>1853</v>
      </c>
      <c r="F16" s="11" t="s">
        <v>1854</v>
      </c>
      <c r="G16" s="11" t="s">
        <v>1855</v>
      </c>
      <c r="H16" s="27">
        <v>25000</v>
      </c>
      <c r="I16" s="27">
        <v>50000</v>
      </c>
      <c r="J16" s="27">
        <v>1800</v>
      </c>
      <c r="K16" s="11">
        <v>3</v>
      </c>
      <c r="L16" s="11">
        <v>810</v>
      </c>
      <c r="M16" s="11" t="s">
        <v>1922</v>
      </c>
      <c r="N16" s="11" t="s">
        <v>1857</v>
      </c>
      <c r="O16" s="11" t="s">
        <v>1933</v>
      </c>
      <c r="P16" s="11" t="s">
        <v>1934</v>
      </c>
      <c r="Q16" s="11" t="s">
        <v>155</v>
      </c>
      <c r="R16" s="11" t="s">
        <v>1935</v>
      </c>
    </row>
    <row r="17" spans="1:18" ht="19.95" customHeight="1" x14ac:dyDescent="0.3">
      <c r="A17" s="23">
        <v>46290.516628055557</v>
      </c>
      <c r="B17" s="25" t="s">
        <v>363</v>
      </c>
      <c r="C17" s="14" t="s">
        <v>1936</v>
      </c>
      <c r="D17" s="14" t="s">
        <v>1937</v>
      </c>
      <c r="E17" s="14" t="s">
        <v>1927</v>
      </c>
      <c r="F17" s="14" t="s">
        <v>1854</v>
      </c>
      <c r="G17" s="14" t="s">
        <v>1855</v>
      </c>
      <c r="H17" s="28">
        <v>34000</v>
      </c>
      <c r="I17" s="28">
        <v>68000</v>
      </c>
      <c r="J17" s="28">
        <v>0</v>
      </c>
      <c r="K17" s="14">
        <v>1</v>
      </c>
      <c r="L17" s="14">
        <v>462</v>
      </c>
      <c r="M17" s="14" t="s">
        <v>1880</v>
      </c>
      <c r="N17" s="14" t="s">
        <v>1857</v>
      </c>
      <c r="O17" s="14" t="s">
        <v>1938</v>
      </c>
      <c r="P17" s="14" t="s">
        <v>1939</v>
      </c>
      <c r="Q17" s="14" t="s">
        <v>155</v>
      </c>
      <c r="R17" s="14" t="s">
        <v>1940</v>
      </c>
    </row>
    <row r="18" spans="1:18" ht="19.95" customHeight="1" x14ac:dyDescent="0.3">
      <c r="A18" s="21">
        <v>46290.50447324074</v>
      </c>
      <c r="B18" s="26" t="s">
        <v>363</v>
      </c>
      <c r="C18" s="11" t="s">
        <v>1941</v>
      </c>
      <c r="D18" s="11" t="s">
        <v>1942</v>
      </c>
      <c r="E18" s="11" t="s">
        <v>1853</v>
      </c>
      <c r="F18" s="11" t="s">
        <v>1854</v>
      </c>
      <c r="G18" s="11" t="s">
        <v>1855</v>
      </c>
      <c r="H18" s="27">
        <v>30000</v>
      </c>
      <c r="I18" s="27">
        <v>60000</v>
      </c>
      <c r="J18" s="27">
        <v>2500</v>
      </c>
      <c r="K18" s="11">
        <v>3</v>
      </c>
      <c r="L18" s="11">
        <v>482</v>
      </c>
      <c r="M18" s="11" t="s">
        <v>1943</v>
      </c>
      <c r="N18" s="11" t="s">
        <v>1857</v>
      </c>
      <c r="O18" s="11" t="s">
        <v>1944</v>
      </c>
      <c r="P18" s="11" t="s">
        <v>1945</v>
      </c>
      <c r="Q18" s="11" t="s">
        <v>155</v>
      </c>
      <c r="R18" s="11" t="s">
        <v>1946</v>
      </c>
    </row>
    <row r="19" spans="1:18" ht="19.95" customHeight="1" x14ac:dyDescent="0.3">
      <c r="A19" s="23">
        <v>46290.491757453703</v>
      </c>
      <c r="B19" s="25" t="s">
        <v>363</v>
      </c>
      <c r="C19" s="14" t="s">
        <v>1947</v>
      </c>
      <c r="D19" s="14" t="s">
        <v>1948</v>
      </c>
      <c r="E19" s="14" t="s">
        <v>1868</v>
      </c>
      <c r="F19" s="14" t="s">
        <v>1854</v>
      </c>
      <c r="G19" s="14" t="s">
        <v>1855</v>
      </c>
      <c r="H19" s="28">
        <v>25000</v>
      </c>
      <c r="I19" s="28">
        <v>50000</v>
      </c>
      <c r="J19" s="28">
        <v>333</v>
      </c>
      <c r="K19" s="14">
        <v>2</v>
      </c>
      <c r="L19" s="14">
        <v>600</v>
      </c>
      <c r="M19" s="14" t="s">
        <v>1949</v>
      </c>
      <c r="N19" s="14" t="s">
        <v>1857</v>
      </c>
      <c r="O19" s="14" t="s">
        <v>1950</v>
      </c>
      <c r="P19" s="14" t="s">
        <v>1951</v>
      </c>
      <c r="Q19" s="14" t="s">
        <v>155</v>
      </c>
      <c r="R19" s="14" t="s">
        <v>1952</v>
      </c>
    </row>
    <row r="20" spans="1:18" ht="19.95" customHeight="1" x14ac:dyDescent="0.3">
      <c r="A20" s="21">
        <v>46289.924186840282</v>
      </c>
      <c r="B20" s="26" t="s">
        <v>363</v>
      </c>
      <c r="C20" s="11" t="s">
        <v>1953</v>
      </c>
      <c r="D20" s="11" t="s">
        <v>1954</v>
      </c>
      <c r="E20" s="11" t="s">
        <v>1853</v>
      </c>
      <c r="F20" s="11" t="s">
        <v>1955</v>
      </c>
      <c r="G20" s="11" t="s">
        <v>1855</v>
      </c>
      <c r="H20" s="27">
        <v>7500000</v>
      </c>
      <c r="I20" s="27">
        <v>0</v>
      </c>
      <c r="J20" s="27">
        <v>0</v>
      </c>
      <c r="K20" s="11">
        <v>3</v>
      </c>
      <c r="L20" s="11" t="s">
        <v>38</v>
      </c>
      <c r="M20" s="11" t="s">
        <v>1880</v>
      </c>
      <c r="N20" s="11" t="s">
        <v>1857</v>
      </c>
      <c r="O20" s="11" t="s">
        <v>1956</v>
      </c>
      <c r="P20" s="11" t="s">
        <v>1957</v>
      </c>
      <c r="Q20" s="11" t="s">
        <v>150</v>
      </c>
      <c r="R20" s="11" t="s">
        <v>819</v>
      </c>
    </row>
    <row r="21" spans="1:18" ht="19.95" customHeight="1" x14ac:dyDescent="0.3">
      <c r="A21" s="23">
        <v>46289.786957442127</v>
      </c>
      <c r="B21" s="25" t="s">
        <v>363</v>
      </c>
      <c r="C21" s="14" t="s">
        <v>1958</v>
      </c>
      <c r="D21" s="14" t="s">
        <v>1959</v>
      </c>
      <c r="E21" s="14" t="s">
        <v>1886</v>
      </c>
      <c r="F21" s="14" t="s">
        <v>1854</v>
      </c>
      <c r="G21" s="14" t="s">
        <v>1862</v>
      </c>
      <c r="H21" s="28">
        <v>39000</v>
      </c>
      <c r="I21" s="28">
        <v>78000</v>
      </c>
      <c r="J21" s="28">
        <v>4000</v>
      </c>
      <c r="K21" s="14">
        <v>4</v>
      </c>
      <c r="L21" s="14">
        <v>2000</v>
      </c>
      <c r="M21" s="14" t="s">
        <v>1943</v>
      </c>
      <c r="N21" s="14" t="s">
        <v>1857</v>
      </c>
      <c r="O21" s="14" t="s">
        <v>1960</v>
      </c>
      <c r="P21" s="14" t="s">
        <v>1961</v>
      </c>
      <c r="Q21" s="14" t="s">
        <v>150</v>
      </c>
      <c r="R21" s="14" t="s">
        <v>38</v>
      </c>
    </row>
    <row r="22" spans="1:18" ht="19.95" customHeight="1" x14ac:dyDescent="0.3">
      <c r="A22" s="21">
        <v>46289.690469560177</v>
      </c>
      <c r="B22" s="26" t="s">
        <v>363</v>
      </c>
      <c r="C22" s="11" t="s">
        <v>1962</v>
      </c>
      <c r="D22" s="11" t="s">
        <v>1963</v>
      </c>
      <c r="E22" s="11" t="s">
        <v>1901</v>
      </c>
      <c r="F22" s="11" t="s">
        <v>1854</v>
      </c>
      <c r="G22" s="11" t="s">
        <v>1855</v>
      </c>
      <c r="H22" s="27">
        <v>30000</v>
      </c>
      <c r="I22" s="27">
        <v>30000</v>
      </c>
      <c r="J22" s="27">
        <v>0</v>
      </c>
      <c r="K22" s="11">
        <v>1</v>
      </c>
      <c r="L22" s="11">
        <v>594</v>
      </c>
      <c r="M22" s="11" t="s">
        <v>1964</v>
      </c>
      <c r="N22" s="11" t="s">
        <v>1857</v>
      </c>
      <c r="O22" s="11" t="s">
        <v>1965</v>
      </c>
      <c r="P22" s="11" t="s">
        <v>1966</v>
      </c>
      <c r="Q22" s="11" t="s">
        <v>142</v>
      </c>
      <c r="R22" s="11" t="s">
        <v>1967</v>
      </c>
    </row>
    <row r="23" spans="1:18" ht="19.95" customHeight="1" x14ac:dyDescent="0.3">
      <c r="A23" s="23">
        <v>46289.61908621528</v>
      </c>
      <c r="B23" s="25" t="s">
        <v>363</v>
      </c>
      <c r="C23" s="14" t="s">
        <v>1968</v>
      </c>
      <c r="D23" s="14" t="s">
        <v>1969</v>
      </c>
      <c r="E23" s="14" t="s">
        <v>1853</v>
      </c>
      <c r="F23" s="14" t="s">
        <v>1854</v>
      </c>
      <c r="G23" s="14" t="s">
        <v>1855</v>
      </c>
      <c r="H23" s="28">
        <v>22000</v>
      </c>
      <c r="I23" s="28">
        <v>22000</v>
      </c>
      <c r="J23" s="28">
        <v>0</v>
      </c>
      <c r="K23" s="14">
        <v>2</v>
      </c>
      <c r="L23" s="14">
        <v>540</v>
      </c>
      <c r="M23" s="14" t="s">
        <v>1970</v>
      </c>
      <c r="N23" s="14" t="s">
        <v>1857</v>
      </c>
      <c r="O23" s="14" t="s">
        <v>1971</v>
      </c>
      <c r="P23" s="14" t="s">
        <v>1972</v>
      </c>
      <c r="Q23" s="14" t="s">
        <v>145</v>
      </c>
      <c r="R23" s="14" t="s">
        <v>38</v>
      </c>
    </row>
    <row r="24" spans="1:18" ht="19.95" customHeight="1" x14ac:dyDescent="0.3">
      <c r="A24" s="21">
        <v>46288.611118587964</v>
      </c>
      <c r="B24" s="26" t="s">
        <v>363</v>
      </c>
      <c r="C24" s="11" t="s">
        <v>1973</v>
      </c>
      <c r="D24" s="11" t="s">
        <v>1974</v>
      </c>
      <c r="E24" s="11" t="s">
        <v>1853</v>
      </c>
      <c r="F24" s="11" t="s">
        <v>1854</v>
      </c>
      <c r="G24" s="11" t="s">
        <v>1855</v>
      </c>
      <c r="H24" s="27">
        <v>22000</v>
      </c>
      <c r="I24" s="27">
        <v>22000</v>
      </c>
      <c r="J24" s="27">
        <v>2000</v>
      </c>
      <c r="K24" s="11">
        <v>2</v>
      </c>
      <c r="L24" s="11">
        <v>659</v>
      </c>
      <c r="M24" s="11" t="s">
        <v>1975</v>
      </c>
      <c r="N24" s="11" t="s">
        <v>1857</v>
      </c>
      <c r="O24" s="11" t="s">
        <v>1976</v>
      </c>
      <c r="P24" s="11" t="s">
        <v>1977</v>
      </c>
      <c r="Q24" s="11" t="s">
        <v>158</v>
      </c>
      <c r="R24" s="11" t="s">
        <v>1978</v>
      </c>
    </row>
    <row r="25" spans="1:18" ht="19.95" customHeight="1" x14ac:dyDescent="0.3">
      <c r="A25" s="23">
        <v>46288.603705844907</v>
      </c>
      <c r="B25" s="25" t="s">
        <v>363</v>
      </c>
      <c r="C25" s="14" t="s">
        <v>1979</v>
      </c>
      <c r="D25" s="14" t="s">
        <v>1980</v>
      </c>
      <c r="E25" s="14" t="s">
        <v>1901</v>
      </c>
      <c r="F25" s="14" t="s">
        <v>1854</v>
      </c>
      <c r="G25" s="14" t="s">
        <v>1855</v>
      </c>
      <c r="H25" s="28">
        <v>45000</v>
      </c>
      <c r="I25" s="28">
        <v>45000</v>
      </c>
      <c r="J25" s="28">
        <v>0</v>
      </c>
      <c r="K25" s="14">
        <v>2</v>
      </c>
      <c r="L25" s="14">
        <v>355</v>
      </c>
      <c r="M25" s="14" t="s">
        <v>38</v>
      </c>
      <c r="N25" s="14" t="s">
        <v>1857</v>
      </c>
      <c r="O25" s="14" t="s">
        <v>1981</v>
      </c>
      <c r="P25" s="14" t="s">
        <v>1982</v>
      </c>
      <c r="Q25" s="14" t="s">
        <v>158</v>
      </c>
      <c r="R25" s="14" t="s">
        <v>1983</v>
      </c>
    </row>
    <row r="26" spans="1:18" ht="19.95" customHeight="1" x14ac:dyDescent="0.3">
      <c r="A26" s="21">
        <v>46288.545605601852</v>
      </c>
      <c r="B26" s="26" t="s">
        <v>363</v>
      </c>
      <c r="C26" s="11" t="s">
        <v>1984</v>
      </c>
      <c r="D26" s="11" t="s">
        <v>1985</v>
      </c>
      <c r="E26" s="11" t="s">
        <v>1901</v>
      </c>
      <c r="F26" s="11" t="s">
        <v>1854</v>
      </c>
      <c r="G26" s="11" t="s">
        <v>1855</v>
      </c>
      <c r="H26" s="27">
        <v>43650</v>
      </c>
      <c r="I26" s="27">
        <v>87300</v>
      </c>
      <c r="J26" s="27">
        <v>2000</v>
      </c>
      <c r="K26" s="11">
        <v>1</v>
      </c>
      <c r="L26" s="11">
        <v>436</v>
      </c>
      <c r="M26" s="11" t="s">
        <v>38</v>
      </c>
      <c r="N26" s="11" t="s">
        <v>1857</v>
      </c>
      <c r="O26" s="11" t="s">
        <v>1986</v>
      </c>
      <c r="P26" s="11" t="s">
        <v>1987</v>
      </c>
      <c r="Q26" s="11" t="s">
        <v>158</v>
      </c>
      <c r="R26" s="11" t="s">
        <v>822</v>
      </c>
    </row>
    <row r="27" spans="1:18" ht="19.95" customHeight="1" x14ac:dyDescent="0.3">
      <c r="A27" s="23">
        <v>46288.477475729167</v>
      </c>
      <c r="B27" s="25" t="s">
        <v>363</v>
      </c>
      <c r="C27" s="14" t="s">
        <v>1988</v>
      </c>
      <c r="D27" s="14" t="s">
        <v>1989</v>
      </c>
      <c r="E27" s="14" t="s">
        <v>1853</v>
      </c>
      <c r="F27" s="14" t="s">
        <v>1854</v>
      </c>
      <c r="G27" s="14" t="s">
        <v>1855</v>
      </c>
      <c r="H27" s="28">
        <v>25000</v>
      </c>
      <c r="I27" s="28">
        <v>25000</v>
      </c>
      <c r="J27" s="28">
        <v>0</v>
      </c>
      <c r="K27" s="14">
        <v>2</v>
      </c>
      <c r="L27" s="14">
        <v>589</v>
      </c>
      <c r="M27" s="14" t="s">
        <v>1856</v>
      </c>
      <c r="N27" s="14" t="s">
        <v>1857</v>
      </c>
      <c r="O27" s="14" t="s">
        <v>1990</v>
      </c>
      <c r="P27" s="14" t="s">
        <v>1991</v>
      </c>
      <c r="Q27" s="14" t="s">
        <v>158</v>
      </c>
      <c r="R27" s="14" t="s">
        <v>38</v>
      </c>
    </row>
    <row r="28" spans="1:18" ht="19.95" customHeight="1" x14ac:dyDescent="0.3">
      <c r="A28" s="21">
        <v>46287.722794733803</v>
      </c>
      <c r="B28" s="26" t="s">
        <v>363</v>
      </c>
      <c r="C28" s="11" t="s">
        <v>1992</v>
      </c>
      <c r="D28" s="11" t="s">
        <v>1993</v>
      </c>
      <c r="E28" s="11" t="s">
        <v>1853</v>
      </c>
      <c r="F28" s="11" t="s">
        <v>1854</v>
      </c>
      <c r="G28" s="11" t="s">
        <v>1862</v>
      </c>
      <c r="H28" s="27">
        <v>15000</v>
      </c>
      <c r="I28" s="27">
        <v>15000</v>
      </c>
      <c r="J28" s="27">
        <v>200</v>
      </c>
      <c r="K28" s="11">
        <v>2</v>
      </c>
      <c r="L28" s="11">
        <v>888</v>
      </c>
      <c r="M28" s="11" t="s">
        <v>1994</v>
      </c>
      <c r="N28" s="11" t="s">
        <v>1857</v>
      </c>
      <c r="O28" s="11" t="s">
        <v>1995</v>
      </c>
      <c r="P28" s="11" t="s">
        <v>1996</v>
      </c>
      <c r="Q28" s="11" t="s">
        <v>158</v>
      </c>
      <c r="R28" s="11" t="s">
        <v>824</v>
      </c>
    </row>
    <row r="29" spans="1:18" ht="19.95" customHeight="1" x14ac:dyDescent="0.3">
      <c r="A29" s="23">
        <v>46287.493922152767</v>
      </c>
      <c r="B29" s="25" t="s">
        <v>363</v>
      </c>
      <c r="C29" s="14" t="s">
        <v>1997</v>
      </c>
      <c r="D29" s="14" t="s">
        <v>1998</v>
      </c>
      <c r="E29" s="14" t="s">
        <v>1853</v>
      </c>
      <c r="F29" s="14" t="s">
        <v>1854</v>
      </c>
      <c r="G29" s="14" t="s">
        <v>1855</v>
      </c>
      <c r="H29" s="28">
        <v>27000</v>
      </c>
      <c r="I29" s="28">
        <v>27000</v>
      </c>
      <c r="J29" s="28">
        <v>0</v>
      </c>
      <c r="K29" s="14">
        <v>2</v>
      </c>
      <c r="L29" s="14">
        <v>810</v>
      </c>
      <c r="M29" s="14" t="s">
        <v>1999</v>
      </c>
      <c r="N29" s="14" t="s">
        <v>1857</v>
      </c>
      <c r="O29" s="14" t="s">
        <v>2000</v>
      </c>
      <c r="P29" s="14" t="s">
        <v>2001</v>
      </c>
      <c r="Q29" s="14" t="s">
        <v>158</v>
      </c>
      <c r="R29" s="14" t="s">
        <v>826</v>
      </c>
    </row>
    <row r="30" spans="1:18" ht="19.95" customHeight="1" x14ac:dyDescent="0.3">
      <c r="A30" s="21">
        <v>46286.627183460652</v>
      </c>
      <c r="B30" s="13" t="s">
        <v>440</v>
      </c>
      <c r="C30" s="11" t="s">
        <v>2002</v>
      </c>
      <c r="D30" s="11" t="s">
        <v>2003</v>
      </c>
      <c r="E30" s="11" t="s">
        <v>1853</v>
      </c>
      <c r="F30" s="11" t="s">
        <v>1854</v>
      </c>
      <c r="G30" s="11" t="s">
        <v>1855</v>
      </c>
      <c r="H30" s="27">
        <v>22000</v>
      </c>
      <c r="I30" s="27">
        <v>22000</v>
      </c>
      <c r="J30" s="27">
        <v>0</v>
      </c>
      <c r="K30" s="11">
        <v>2</v>
      </c>
      <c r="L30" s="11">
        <v>500</v>
      </c>
      <c r="M30" s="11" t="s">
        <v>2004</v>
      </c>
      <c r="N30" s="11" t="s">
        <v>1857</v>
      </c>
      <c r="O30" s="11" t="s">
        <v>2005</v>
      </c>
      <c r="P30" s="11" t="s">
        <v>2006</v>
      </c>
      <c r="Q30" s="11" t="s">
        <v>158</v>
      </c>
      <c r="R30" s="11" t="s">
        <v>38</v>
      </c>
    </row>
    <row r="31" spans="1:18" ht="19.95" customHeight="1" x14ac:dyDescent="0.3">
      <c r="A31" s="23">
        <v>46286.619476805557</v>
      </c>
      <c r="B31" s="16" t="s">
        <v>440</v>
      </c>
      <c r="C31" s="14" t="s">
        <v>2007</v>
      </c>
      <c r="D31" s="14" t="s">
        <v>2008</v>
      </c>
      <c r="E31" s="14" t="s">
        <v>1901</v>
      </c>
      <c r="F31" s="14" t="s">
        <v>1854</v>
      </c>
      <c r="G31" s="14" t="s">
        <v>1855</v>
      </c>
      <c r="H31" s="28">
        <v>35000</v>
      </c>
      <c r="I31" s="28">
        <v>35000</v>
      </c>
      <c r="J31" s="28">
        <v>2800</v>
      </c>
      <c r="K31" s="14">
        <v>1</v>
      </c>
      <c r="L31" s="14">
        <v>487</v>
      </c>
      <c r="M31" s="14" t="s">
        <v>2009</v>
      </c>
      <c r="N31" s="14" t="s">
        <v>1857</v>
      </c>
      <c r="O31" s="14" t="s">
        <v>2010</v>
      </c>
      <c r="P31" s="14" t="s">
        <v>2011</v>
      </c>
      <c r="Q31" s="14" t="s">
        <v>158</v>
      </c>
      <c r="R31" s="14" t="s">
        <v>2012</v>
      </c>
    </row>
    <row r="32" spans="1:18" ht="19.95" customHeight="1" x14ac:dyDescent="0.3">
      <c r="A32" s="21">
        <v>46286.550879594914</v>
      </c>
      <c r="B32" s="13" t="s">
        <v>440</v>
      </c>
      <c r="C32" s="11" t="s">
        <v>2013</v>
      </c>
      <c r="D32" s="11" t="s">
        <v>2014</v>
      </c>
      <c r="E32" s="11" t="s">
        <v>1853</v>
      </c>
      <c r="F32" s="11" t="s">
        <v>1854</v>
      </c>
      <c r="G32" s="11" t="s">
        <v>1855</v>
      </c>
      <c r="H32" s="27">
        <v>31000</v>
      </c>
      <c r="I32" s="27">
        <v>31000</v>
      </c>
      <c r="J32" s="27">
        <v>0</v>
      </c>
      <c r="K32" s="11">
        <v>2</v>
      </c>
      <c r="L32" s="11">
        <v>671</v>
      </c>
      <c r="M32" s="11" t="s">
        <v>1975</v>
      </c>
      <c r="N32" s="11" t="s">
        <v>1857</v>
      </c>
      <c r="O32" s="11" t="s">
        <v>2015</v>
      </c>
      <c r="P32" s="11" t="s">
        <v>2016</v>
      </c>
      <c r="Q32" s="11" t="s">
        <v>158</v>
      </c>
      <c r="R32" s="11" t="s">
        <v>2017</v>
      </c>
    </row>
    <row r="33" spans="1:18" ht="19.95" customHeight="1" x14ac:dyDescent="0.3">
      <c r="A33" s="23">
        <v>46286.534316851852</v>
      </c>
      <c r="B33" s="16" t="s">
        <v>440</v>
      </c>
      <c r="C33" s="14" t="s">
        <v>2018</v>
      </c>
      <c r="D33" s="14" t="s">
        <v>2019</v>
      </c>
      <c r="E33" s="14" t="s">
        <v>1927</v>
      </c>
      <c r="F33" s="14" t="s">
        <v>1854</v>
      </c>
      <c r="G33" s="14" t="s">
        <v>1855</v>
      </c>
      <c r="H33" s="28">
        <v>40000</v>
      </c>
      <c r="I33" s="28">
        <v>40000</v>
      </c>
      <c r="J33" s="28">
        <v>0</v>
      </c>
      <c r="K33" s="14">
        <v>1</v>
      </c>
      <c r="L33" s="14">
        <v>310</v>
      </c>
      <c r="M33" s="14" t="s">
        <v>2020</v>
      </c>
      <c r="N33" s="14" t="s">
        <v>1857</v>
      </c>
      <c r="O33" s="14" t="s">
        <v>2021</v>
      </c>
      <c r="P33" s="14" t="s">
        <v>2022</v>
      </c>
      <c r="Q33" s="14" t="s">
        <v>158</v>
      </c>
      <c r="R33" s="14" t="s">
        <v>38</v>
      </c>
    </row>
    <row r="34" spans="1:18" ht="19.95" customHeight="1" x14ac:dyDescent="0.3">
      <c r="A34" s="21">
        <v>46286.529991759257</v>
      </c>
      <c r="B34" s="13" t="s">
        <v>440</v>
      </c>
      <c r="C34" s="11" t="s">
        <v>2023</v>
      </c>
      <c r="D34" s="11" t="s">
        <v>2024</v>
      </c>
      <c r="E34" s="11" t="s">
        <v>1901</v>
      </c>
      <c r="F34" s="11" t="s">
        <v>1854</v>
      </c>
      <c r="G34" s="11" t="s">
        <v>1855</v>
      </c>
      <c r="H34" s="27">
        <v>60000</v>
      </c>
      <c r="I34" s="27">
        <v>60000</v>
      </c>
      <c r="J34" s="27">
        <v>0</v>
      </c>
      <c r="K34" s="11">
        <v>1</v>
      </c>
      <c r="L34" s="11">
        <v>830</v>
      </c>
      <c r="M34" s="11" t="s">
        <v>1949</v>
      </c>
      <c r="N34" s="11" t="s">
        <v>1857</v>
      </c>
      <c r="O34" s="11" t="s">
        <v>2025</v>
      </c>
      <c r="P34" s="11" t="s">
        <v>2026</v>
      </c>
      <c r="Q34" s="11" t="s">
        <v>158</v>
      </c>
      <c r="R34" s="11" t="s">
        <v>2027</v>
      </c>
    </row>
    <row r="35" spans="1:18" ht="19.95" customHeight="1" x14ac:dyDescent="0.3">
      <c r="A35" s="23">
        <v>46286.525004733798</v>
      </c>
      <c r="B35" s="16" t="s">
        <v>440</v>
      </c>
      <c r="C35" s="14" t="s">
        <v>2028</v>
      </c>
      <c r="D35" s="14" t="s">
        <v>2029</v>
      </c>
      <c r="E35" s="14" t="s">
        <v>1901</v>
      </c>
      <c r="F35" s="14" t="s">
        <v>1854</v>
      </c>
      <c r="G35" s="14" t="s">
        <v>1855</v>
      </c>
      <c r="H35" s="28">
        <v>80000</v>
      </c>
      <c r="I35" s="28">
        <v>80000</v>
      </c>
      <c r="J35" s="28">
        <v>2000</v>
      </c>
      <c r="K35" s="14">
        <v>1</v>
      </c>
      <c r="L35" s="14">
        <v>862</v>
      </c>
      <c r="M35" s="14" t="s">
        <v>2030</v>
      </c>
      <c r="N35" s="14" t="s">
        <v>1857</v>
      </c>
      <c r="O35" s="14" t="s">
        <v>2031</v>
      </c>
      <c r="P35" s="14" t="s">
        <v>2032</v>
      </c>
      <c r="Q35" s="14" t="s">
        <v>158</v>
      </c>
      <c r="R35" s="14" t="s">
        <v>2033</v>
      </c>
    </row>
    <row r="36" spans="1:18" ht="19.95" customHeight="1" x14ac:dyDescent="0.3">
      <c r="A36" s="21">
        <v>46286.524892986112</v>
      </c>
      <c r="B36" s="13" t="s">
        <v>440</v>
      </c>
      <c r="C36" s="11" t="s">
        <v>2034</v>
      </c>
      <c r="D36" s="11" t="s">
        <v>2035</v>
      </c>
      <c r="E36" s="11" t="s">
        <v>1853</v>
      </c>
      <c r="F36" s="11" t="s">
        <v>1854</v>
      </c>
      <c r="G36" s="11" t="s">
        <v>1855</v>
      </c>
      <c r="H36" s="27">
        <v>25000</v>
      </c>
      <c r="I36" s="27">
        <v>50000</v>
      </c>
      <c r="J36" s="27">
        <v>13233</v>
      </c>
      <c r="K36" s="11">
        <v>5</v>
      </c>
      <c r="L36" s="11">
        <v>32221</v>
      </c>
      <c r="M36" s="11" t="s">
        <v>2036</v>
      </c>
      <c r="N36" s="11" t="s">
        <v>1857</v>
      </c>
      <c r="O36" s="11" t="s">
        <v>2037</v>
      </c>
      <c r="P36" s="11" t="s">
        <v>2038</v>
      </c>
      <c r="Q36" s="11" t="s">
        <v>155</v>
      </c>
      <c r="R36" s="11" t="s">
        <v>828</v>
      </c>
    </row>
    <row r="37" spans="1:18" ht="19.95" customHeight="1" x14ac:dyDescent="0.3">
      <c r="A37" s="23">
        <v>46286.518840219913</v>
      </c>
      <c r="B37" s="16" t="s">
        <v>440</v>
      </c>
      <c r="C37" s="14" t="s">
        <v>2039</v>
      </c>
      <c r="D37" s="14" t="s">
        <v>2040</v>
      </c>
      <c r="E37" s="14" t="s">
        <v>1901</v>
      </c>
      <c r="F37" s="14" t="s">
        <v>1854</v>
      </c>
      <c r="G37" s="14" t="s">
        <v>1855</v>
      </c>
      <c r="H37" s="28">
        <v>25000</v>
      </c>
      <c r="I37" s="28">
        <v>25000</v>
      </c>
      <c r="J37" s="28">
        <v>2000</v>
      </c>
      <c r="K37" s="14">
        <v>1</v>
      </c>
      <c r="L37" s="14">
        <v>435</v>
      </c>
      <c r="M37" s="14" t="s">
        <v>1964</v>
      </c>
      <c r="N37" s="14" t="s">
        <v>1857</v>
      </c>
      <c r="O37" s="14" t="s">
        <v>2041</v>
      </c>
      <c r="P37" s="14" t="s">
        <v>2042</v>
      </c>
      <c r="Q37" s="14" t="s">
        <v>158</v>
      </c>
      <c r="R37" s="14" t="s">
        <v>2043</v>
      </c>
    </row>
    <row r="38" spans="1:18" ht="19.95" customHeight="1" x14ac:dyDescent="0.3">
      <c r="A38" s="21">
        <v>46286.482666064818</v>
      </c>
      <c r="B38" s="13" t="s">
        <v>440</v>
      </c>
      <c r="C38" s="11" t="s">
        <v>2044</v>
      </c>
      <c r="D38" s="11" t="s">
        <v>2045</v>
      </c>
      <c r="E38" s="11" t="s">
        <v>1927</v>
      </c>
      <c r="F38" s="11" t="s">
        <v>1854</v>
      </c>
      <c r="G38" s="11" t="s">
        <v>1862</v>
      </c>
      <c r="H38" s="27">
        <v>12000</v>
      </c>
      <c r="I38" s="27">
        <v>24000</v>
      </c>
      <c r="J38" s="27">
        <v>0</v>
      </c>
      <c r="K38" s="11">
        <v>1</v>
      </c>
      <c r="L38" s="11">
        <v>120</v>
      </c>
      <c r="M38" s="11" t="s">
        <v>1999</v>
      </c>
      <c r="N38" s="11" t="s">
        <v>1857</v>
      </c>
      <c r="O38" s="11" t="s">
        <v>2046</v>
      </c>
      <c r="P38" s="11" t="s">
        <v>2047</v>
      </c>
      <c r="Q38" s="11" t="s">
        <v>158</v>
      </c>
      <c r="R38" s="11" t="s">
        <v>38</v>
      </c>
    </row>
    <row r="39" spans="1:18" ht="19.95" customHeight="1" x14ac:dyDescent="0.3">
      <c r="A39" s="23">
        <v>46284.75509471065</v>
      </c>
      <c r="B39" s="16" t="s">
        <v>440</v>
      </c>
      <c r="C39" s="14" t="s">
        <v>2048</v>
      </c>
      <c r="D39" s="14" t="s">
        <v>2049</v>
      </c>
      <c r="E39" s="14" t="s">
        <v>1853</v>
      </c>
      <c r="F39" s="14" t="s">
        <v>1854</v>
      </c>
      <c r="G39" s="14" t="s">
        <v>1855</v>
      </c>
      <c r="H39" s="28">
        <v>30000</v>
      </c>
      <c r="I39" s="28">
        <v>30000</v>
      </c>
      <c r="J39" s="28">
        <v>0</v>
      </c>
      <c r="K39" s="14">
        <v>3</v>
      </c>
      <c r="L39" s="14">
        <v>878</v>
      </c>
      <c r="M39" s="14" t="s">
        <v>1975</v>
      </c>
      <c r="N39" s="14" t="s">
        <v>1857</v>
      </c>
      <c r="O39" s="14" t="s">
        <v>2050</v>
      </c>
      <c r="P39" s="14" t="s">
        <v>2051</v>
      </c>
      <c r="Q39" s="14" t="s">
        <v>145</v>
      </c>
      <c r="R39" s="14" t="s">
        <v>2052</v>
      </c>
    </row>
    <row r="40" spans="1:18" ht="19.95" customHeight="1" x14ac:dyDescent="0.3">
      <c r="A40" s="21">
        <v>46284.741336886567</v>
      </c>
      <c r="B40" s="13" t="s">
        <v>440</v>
      </c>
      <c r="C40" s="11" t="s">
        <v>2053</v>
      </c>
      <c r="D40" s="11" t="s">
        <v>2054</v>
      </c>
      <c r="E40" s="11" t="s">
        <v>1853</v>
      </c>
      <c r="F40" s="11" t="s">
        <v>1854</v>
      </c>
      <c r="G40" s="11" t="s">
        <v>1855</v>
      </c>
      <c r="H40" s="27">
        <v>26500</v>
      </c>
      <c r="I40" s="27">
        <v>26500</v>
      </c>
      <c r="J40" s="27">
        <v>2500</v>
      </c>
      <c r="K40" s="11">
        <v>3</v>
      </c>
      <c r="L40" s="11">
        <v>1026</v>
      </c>
      <c r="M40" s="11" t="s">
        <v>38</v>
      </c>
      <c r="N40" s="11" t="s">
        <v>1857</v>
      </c>
      <c r="O40" s="11" t="s">
        <v>2055</v>
      </c>
      <c r="P40" s="11" t="s">
        <v>2056</v>
      </c>
      <c r="Q40" s="11" t="s">
        <v>158</v>
      </c>
      <c r="R40" s="11" t="s">
        <v>1946</v>
      </c>
    </row>
    <row r="41" spans="1:18" ht="19.95" customHeight="1" x14ac:dyDescent="0.3">
      <c r="A41" s="23">
        <v>46284.73942607639</v>
      </c>
      <c r="B41" s="16" t="s">
        <v>440</v>
      </c>
      <c r="C41" s="14" t="s">
        <v>2057</v>
      </c>
      <c r="D41" s="14" t="s">
        <v>2058</v>
      </c>
      <c r="E41" s="14" t="s">
        <v>1853</v>
      </c>
      <c r="F41" s="14" t="s">
        <v>1854</v>
      </c>
      <c r="G41" s="14" t="s">
        <v>1855</v>
      </c>
      <c r="H41" s="28">
        <v>13266</v>
      </c>
      <c r="I41" s="28">
        <v>39798</v>
      </c>
      <c r="J41" s="28">
        <v>0</v>
      </c>
      <c r="K41" s="14">
        <v>4</v>
      </c>
      <c r="L41" s="14" t="s">
        <v>38</v>
      </c>
      <c r="M41" s="14" t="s">
        <v>38</v>
      </c>
      <c r="N41" s="14" t="s">
        <v>1857</v>
      </c>
      <c r="O41" s="14" t="s">
        <v>2059</v>
      </c>
      <c r="P41" s="14" t="s">
        <v>2060</v>
      </c>
      <c r="Q41" s="14" t="s">
        <v>155</v>
      </c>
      <c r="R41" s="14"/>
    </row>
    <row r="42" spans="1:18" ht="19.95" customHeight="1" x14ac:dyDescent="0.3">
      <c r="A42" s="21">
        <v>46284.72759289352</v>
      </c>
      <c r="B42" s="13" t="s">
        <v>440</v>
      </c>
      <c r="C42" s="11" t="s">
        <v>2061</v>
      </c>
      <c r="D42" s="11" t="s">
        <v>2062</v>
      </c>
      <c r="E42" s="11" t="s">
        <v>1853</v>
      </c>
      <c r="F42" s="11" t="s">
        <v>1854</v>
      </c>
      <c r="G42" s="11" t="s">
        <v>1855</v>
      </c>
      <c r="H42" s="27">
        <v>17000</v>
      </c>
      <c r="I42" s="27">
        <v>17000</v>
      </c>
      <c r="J42" s="27">
        <v>0</v>
      </c>
      <c r="K42" s="11">
        <v>1</v>
      </c>
      <c r="L42" s="11">
        <v>320</v>
      </c>
      <c r="M42" s="11" t="s">
        <v>2063</v>
      </c>
      <c r="N42" s="11" t="s">
        <v>1857</v>
      </c>
      <c r="O42" s="11" t="s">
        <v>2064</v>
      </c>
      <c r="P42" s="11" t="s">
        <v>2065</v>
      </c>
      <c r="Q42" s="11" t="s">
        <v>145</v>
      </c>
      <c r="R42" s="11" t="s">
        <v>2066</v>
      </c>
    </row>
    <row r="43" spans="1:18" ht="19.95" customHeight="1" x14ac:dyDescent="0.3">
      <c r="A43" s="23">
        <v>46284.694956064814</v>
      </c>
      <c r="B43" s="16" t="s">
        <v>440</v>
      </c>
      <c r="C43" s="14" t="s">
        <v>2067</v>
      </c>
      <c r="D43" s="14" t="s">
        <v>2068</v>
      </c>
      <c r="E43" s="14" t="s">
        <v>1853</v>
      </c>
      <c r="F43" s="14" t="s">
        <v>1854</v>
      </c>
      <c r="G43" s="14" t="s">
        <v>1855</v>
      </c>
      <c r="H43" s="28">
        <v>20000</v>
      </c>
      <c r="I43" s="28">
        <v>20000</v>
      </c>
      <c r="J43" s="28">
        <v>5000</v>
      </c>
      <c r="K43" s="14">
        <v>1</v>
      </c>
      <c r="L43" s="14">
        <v>170</v>
      </c>
      <c r="M43" s="14" t="s">
        <v>2009</v>
      </c>
      <c r="N43" s="14" t="s">
        <v>1857</v>
      </c>
      <c r="O43" s="14" t="s">
        <v>2069</v>
      </c>
      <c r="P43" s="14" t="s">
        <v>2070</v>
      </c>
      <c r="Q43" s="14" t="s">
        <v>145</v>
      </c>
      <c r="R43" s="14" t="s">
        <v>38</v>
      </c>
    </row>
    <row r="44" spans="1:18" ht="19.95" customHeight="1" x14ac:dyDescent="0.3">
      <c r="A44" s="21">
        <v>46284.677473958327</v>
      </c>
      <c r="B44" s="13" t="s">
        <v>440</v>
      </c>
      <c r="C44" s="11" t="s">
        <v>2071</v>
      </c>
      <c r="D44" s="11" t="s">
        <v>2072</v>
      </c>
      <c r="E44" s="11" t="s">
        <v>1853</v>
      </c>
      <c r="F44" s="11" t="s">
        <v>1854</v>
      </c>
      <c r="G44" s="11" t="s">
        <v>1855</v>
      </c>
      <c r="H44" s="27">
        <v>24000</v>
      </c>
      <c r="I44" s="27">
        <v>24000</v>
      </c>
      <c r="J44" s="27">
        <v>0</v>
      </c>
      <c r="K44" s="11">
        <v>2</v>
      </c>
      <c r="L44" s="11">
        <v>463</v>
      </c>
      <c r="M44" s="11" t="s">
        <v>1975</v>
      </c>
      <c r="N44" s="11" t="s">
        <v>1857</v>
      </c>
      <c r="O44" s="11" t="s">
        <v>2073</v>
      </c>
      <c r="P44" s="11" t="s">
        <v>2074</v>
      </c>
      <c r="Q44" s="11" t="s">
        <v>158</v>
      </c>
      <c r="R44" s="11" t="s">
        <v>38</v>
      </c>
    </row>
    <row r="45" spans="1:18" ht="19.95" customHeight="1" x14ac:dyDescent="0.3">
      <c r="A45" s="23">
        <v>46284.667526365738</v>
      </c>
      <c r="B45" s="16" t="s">
        <v>440</v>
      </c>
      <c r="C45" s="14" t="s">
        <v>2075</v>
      </c>
      <c r="D45" s="14" t="s">
        <v>2076</v>
      </c>
      <c r="E45" s="14" t="s">
        <v>1868</v>
      </c>
      <c r="F45" s="14" t="s">
        <v>1854</v>
      </c>
      <c r="G45" s="14" t="s">
        <v>1855</v>
      </c>
      <c r="H45" s="28">
        <v>39000</v>
      </c>
      <c r="I45" s="28">
        <v>39000</v>
      </c>
      <c r="J45" s="28">
        <v>0</v>
      </c>
      <c r="K45" s="14">
        <v>3</v>
      </c>
      <c r="L45" s="14">
        <v>891</v>
      </c>
      <c r="M45" s="14" t="s">
        <v>2077</v>
      </c>
      <c r="N45" s="14" t="s">
        <v>1857</v>
      </c>
      <c r="O45" s="14" t="s">
        <v>2078</v>
      </c>
      <c r="P45" s="14" t="s">
        <v>2079</v>
      </c>
      <c r="Q45" s="14" t="s">
        <v>158</v>
      </c>
      <c r="R45" s="14" t="s">
        <v>38</v>
      </c>
    </row>
    <row r="46" spans="1:18" ht="19.95" customHeight="1" x14ac:dyDescent="0.3">
      <c r="A46" s="21">
        <v>46284.665970300928</v>
      </c>
      <c r="B46" s="13" t="s">
        <v>440</v>
      </c>
      <c r="C46" s="11" t="s">
        <v>2080</v>
      </c>
      <c r="D46" s="11" t="s">
        <v>2081</v>
      </c>
      <c r="E46" s="11" t="s">
        <v>1901</v>
      </c>
      <c r="F46" s="11" t="s">
        <v>1854</v>
      </c>
      <c r="G46" s="11" t="s">
        <v>1855</v>
      </c>
      <c r="H46" s="27">
        <v>18000</v>
      </c>
      <c r="I46" s="27">
        <v>18000</v>
      </c>
      <c r="J46" s="27">
        <v>0</v>
      </c>
      <c r="K46" s="11">
        <v>1</v>
      </c>
      <c r="L46" s="11">
        <v>675</v>
      </c>
      <c r="M46" s="11" t="s">
        <v>1863</v>
      </c>
      <c r="N46" s="11" t="s">
        <v>1857</v>
      </c>
      <c r="O46" s="11" t="s">
        <v>2082</v>
      </c>
      <c r="P46" s="11" t="s">
        <v>2083</v>
      </c>
      <c r="Q46" s="11" t="s">
        <v>145</v>
      </c>
      <c r="R46" s="11" t="s">
        <v>38</v>
      </c>
    </row>
    <row r="47" spans="1:18" ht="19.95" customHeight="1" x14ac:dyDescent="0.3">
      <c r="A47" s="23">
        <v>46284.48207633102</v>
      </c>
      <c r="B47" s="16" t="s">
        <v>440</v>
      </c>
      <c r="C47" s="14" t="s">
        <v>2084</v>
      </c>
      <c r="D47" s="14" t="s">
        <v>2085</v>
      </c>
      <c r="E47" s="14" t="s">
        <v>1901</v>
      </c>
      <c r="F47" s="14" t="s">
        <v>1854</v>
      </c>
      <c r="G47" s="14" t="s">
        <v>1855</v>
      </c>
      <c r="H47" s="28">
        <v>100000</v>
      </c>
      <c r="I47" s="28">
        <v>200000</v>
      </c>
      <c r="J47" s="28">
        <v>0</v>
      </c>
      <c r="K47" s="14">
        <v>1</v>
      </c>
      <c r="L47" s="14" t="s">
        <v>38</v>
      </c>
      <c r="M47" s="14" t="s">
        <v>2030</v>
      </c>
      <c r="N47" s="14" t="s">
        <v>1857</v>
      </c>
      <c r="O47" s="14" t="s">
        <v>2086</v>
      </c>
      <c r="P47" s="14" t="s">
        <v>2087</v>
      </c>
      <c r="Q47" s="14" t="s">
        <v>139</v>
      </c>
      <c r="R47" s="14" t="s">
        <v>2088</v>
      </c>
    </row>
    <row r="48" spans="1:18" ht="19.95" customHeight="1" x14ac:dyDescent="0.3">
      <c r="A48" s="21">
        <v>46284.448109421297</v>
      </c>
      <c r="B48" s="13" t="s">
        <v>440</v>
      </c>
      <c r="C48" s="11" t="s">
        <v>2089</v>
      </c>
      <c r="D48" s="11" t="s">
        <v>2090</v>
      </c>
      <c r="E48" s="11" t="s">
        <v>1853</v>
      </c>
      <c r="F48" s="11" t="s">
        <v>1854</v>
      </c>
      <c r="G48" s="11" t="s">
        <v>1862</v>
      </c>
      <c r="H48" s="27">
        <v>17200</v>
      </c>
      <c r="I48" s="27">
        <v>34400</v>
      </c>
      <c r="J48" s="27">
        <v>1200</v>
      </c>
      <c r="K48" s="11">
        <v>2</v>
      </c>
      <c r="L48" s="11" t="s">
        <v>38</v>
      </c>
      <c r="M48" s="11" t="s">
        <v>2063</v>
      </c>
      <c r="N48" s="11" t="s">
        <v>1857</v>
      </c>
      <c r="O48" s="11" t="s">
        <v>2091</v>
      </c>
      <c r="P48" s="11" t="s">
        <v>2092</v>
      </c>
      <c r="Q48" s="11" t="s">
        <v>147</v>
      </c>
      <c r="R48" s="11" t="s">
        <v>38</v>
      </c>
    </row>
    <row r="49" spans="1:18" ht="19.95" customHeight="1" x14ac:dyDescent="0.3">
      <c r="A49" s="23">
        <v>46283.66760054398</v>
      </c>
      <c r="B49" s="16" t="s">
        <v>440</v>
      </c>
      <c r="C49" s="14" t="s">
        <v>2093</v>
      </c>
      <c r="D49" s="14" t="s">
        <v>2094</v>
      </c>
      <c r="E49" s="14" t="s">
        <v>1853</v>
      </c>
      <c r="F49" s="14" t="s">
        <v>1854</v>
      </c>
      <c r="G49" s="14" t="s">
        <v>1855</v>
      </c>
      <c r="H49" s="28">
        <v>35000</v>
      </c>
      <c r="I49" s="28">
        <v>70000</v>
      </c>
      <c r="J49" s="28">
        <v>1500</v>
      </c>
      <c r="K49" s="14">
        <v>3</v>
      </c>
      <c r="L49" s="14" t="s">
        <v>38</v>
      </c>
      <c r="M49" s="14" t="s">
        <v>1863</v>
      </c>
      <c r="N49" s="14" t="s">
        <v>1857</v>
      </c>
      <c r="O49" s="14" t="s">
        <v>2095</v>
      </c>
      <c r="P49" s="14" t="s">
        <v>2096</v>
      </c>
      <c r="Q49" s="14" t="s">
        <v>152</v>
      </c>
      <c r="R49" s="14" t="s">
        <v>38</v>
      </c>
    </row>
    <row r="50" spans="1:18" ht="19.95" customHeight="1" x14ac:dyDescent="0.3">
      <c r="A50" s="21">
        <v>46283.641287800929</v>
      </c>
      <c r="B50" s="13" t="s">
        <v>440</v>
      </c>
      <c r="C50" s="11" t="s">
        <v>2097</v>
      </c>
      <c r="D50" s="11" t="s">
        <v>2098</v>
      </c>
      <c r="E50" s="11" t="s">
        <v>1901</v>
      </c>
      <c r="F50" s="11" t="s">
        <v>1854</v>
      </c>
      <c r="G50" s="11" t="s">
        <v>1855</v>
      </c>
      <c r="H50" s="27">
        <v>16000</v>
      </c>
      <c r="I50" s="27">
        <v>16000</v>
      </c>
      <c r="J50" s="27">
        <v>0</v>
      </c>
      <c r="K50" s="11">
        <v>3</v>
      </c>
      <c r="L50" s="11">
        <v>150</v>
      </c>
      <c r="M50" s="11" t="s">
        <v>38</v>
      </c>
      <c r="N50" s="11" t="s">
        <v>1857</v>
      </c>
      <c r="O50" s="11" t="s">
        <v>2099</v>
      </c>
      <c r="P50" s="11" t="s">
        <v>2100</v>
      </c>
      <c r="Q50" s="11" t="s">
        <v>158</v>
      </c>
      <c r="R50" s="11" t="s">
        <v>2101</v>
      </c>
    </row>
    <row r="51" spans="1:18" ht="19.95" customHeight="1" x14ac:dyDescent="0.3">
      <c r="A51" s="23">
        <v>46283.610491585649</v>
      </c>
      <c r="B51" s="16" t="s">
        <v>440</v>
      </c>
      <c r="C51" s="14" t="s">
        <v>2102</v>
      </c>
      <c r="D51" s="14" t="s">
        <v>2103</v>
      </c>
      <c r="E51" s="14" t="s">
        <v>1868</v>
      </c>
      <c r="F51" s="14" t="s">
        <v>1854</v>
      </c>
      <c r="G51" s="14" t="s">
        <v>1855</v>
      </c>
      <c r="H51" s="28">
        <v>16000</v>
      </c>
      <c r="I51" s="28">
        <v>16000</v>
      </c>
      <c r="J51" s="28">
        <v>0</v>
      </c>
      <c r="K51" s="14">
        <v>1</v>
      </c>
      <c r="L51" s="14">
        <v>450</v>
      </c>
      <c r="M51" s="14" t="s">
        <v>2104</v>
      </c>
      <c r="N51" s="14" t="s">
        <v>1857</v>
      </c>
      <c r="O51" s="14" t="s">
        <v>2105</v>
      </c>
      <c r="P51" s="14" t="s">
        <v>2106</v>
      </c>
      <c r="Q51" s="14" t="s">
        <v>158</v>
      </c>
      <c r="R51" s="14" t="s">
        <v>2107</v>
      </c>
    </row>
    <row r="52" spans="1:18" ht="19.95" customHeight="1" x14ac:dyDescent="0.3">
      <c r="A52" s="21">
        <v>46283.591057500002</v>
      </c>
      <c r="B52" s="13" t="s">
        <v>440</v>
      </c>
      <c r="C52" s="11" t="s">
        <v>2108</v>
      </c>
      <c r="D52" s="11" t="s">
        <v>2109</v>
      </c>
      <c r="E52" s="11" t="s">
        <v>1853</v>
      </c>
      <c r="F52" s="11" t="s">
        <v>1854</v>
      </c>
      <c r="G52" s="11" t="s">
        <v>1855</v>
      </c>
      <c r="H52" s="27">
        <v>23000</v>
      </c>
      <c r="I52" s="27">
        <v>23000</v>
      </c>
      <c r="J52" s="27">
        <v>0</v>
      </c>
      <c r="K52" s="11">
        <v>3</v>
      </c>
      <c r="L52" s="11">
        <v>922</v>
      </c>
      <c r="M52" s="11" t="s">
        <v>38</v>
      </c>
      <c r="N52" s="11" t="s">
        <v>1857</v>
      </c>
      <c r="O52" s="11" t="s">
        <v>2110</v>
      </c>
      <c r="P52" s="11" t="s">
        <v>2111</v>
      </c>
      <c r="Q52" s="11" t="s">
        <v>158</v>
      </c>
      <c r="R52" s="11" t="s">
        <v>2112</v>
      </c>
    </row>
    <row r="53" spans="1:18" ht="19.95" customHeight="1" x14ac:dyDescent="0.3">
      <c r="A53" s="23">
        <v>46283.574390590278</v>
      </c>
      <c r="B53" s="16" t="s">
        <v>440</v>
      </c>
      <c r="C53" s="14" t="s">
        <v>2113</v>
      </c>
      <c r="D53" s="14" t="s">
        <v>2114</v>
      </c>
      <c r="E53" s="14" t="s">
        <v>1868</v>
      </c>
      <c r="F53" s="14" t="s">
        <v>1854</v>
      </c>
      <c r="G53" s="14" t="s">
        <v>1855</v>
      </c>
      <c r="H53" s="28">
        <v>45000</v>
      </c>
      <c r="I53" s="28">
        <v>45000</v>
      </c>
      <c r="J53" s="28">
        <v>0</v>
      </c>
      <c r="K53" s="14">
        <v>4</v>
      </c>
      <c r="L53" s="14">
        <v>1115</v>
      </c>
      <c r="M53" s="14" t="s">
        <v>38</v>
      </c>
      <c r="N53" s="14" t="s">
        <v>1857</v>
      </c>
      <c r="O53" s="14" t="s">
        <v>2115</v>
      </c>
      <c r="P53" s="14" t="s">
        <v>2116</v>
      </c>
      <c r="Q53" s="14" t="s">
        <v>158</v>
      </c>
      <c r="R53" s="14" t="s">
        <v>2117</v>
      </c>
    </row>
    <row r="54" spans="1:18" ht="19.95" customHeight="1" x14ac:dyDescent="0.3">
      <c r="A54" s="21">
        <v>46283.56529958333</v>
      </c>
      <c r="B54" s="13" t="s">
        <v>440</v>
      </c>
      <c r="C54" s="11" t="s">
        <v>2118</v>
      </c>
      <c r="D54" s="11" t="s">
        <v>2119</v>
      </c>
      <c r="E54" s="11" t="s">
        <v>1853</v>
      </c>
      <c r="F54" s="11" t="s">
        <v>1854</v>
      </c>
      <c r="G54" s="11" t="s">
        <v>1855</v>
      </c>
      <c r="H54" s="27">
        <v>33000</v>
      </c>
      <c r="I54" s="27">
        <v>33000</v>
      </c>
      <c r="J54" s="27">
        <v>0</v>
      </c>
      <c r="K54" s="11">
        <v>4</v>
      </c>
      <c r="L54" s="11">
        <v>1575</v>
      </c>
      <c r="M54" s="11" t="s">
        <v>38</v>
      </c>
      <c r="N54" s="11" t="s">
        <v>1857</v>
      </c>
      <c r="O54" s="11" t="s">
        <v>2120</v>
      </c>
      <c r="P54" s="11" t="s">
        <v>2121</v>
      </c>
      <c r="Q54" s="11" t="s">
        <v>158</v>
      </c>
      <c r="R54" s="11" t="s">
        <v>2122</v>
      </c>
    </row>
    <row r="55" spans="1:18" ht="19.95" customHeight="1" x14ac:dyDescent="0.3">
      <c r="A55" s="23">
        <v>46283.530672407411</v>
      </c>
      <c r="B55" s="16" t="s">
        <v>440</v>
      </c>
      <c r="C55" s="14" t="s">
        <v>2123</v>
      </c>
      <c r="D55" s="14" t="s">
        <v>2124</v>
      </c>
      <c r="E55" s="14" t="s">
        <v>1886</v>
      </c>
      <c r="F55" s="14" t="s">
        <v>1854</v>
      </c>
      <c r="G55" s="14" t="s">
        <v>1855</v>
      </c>
      <c r="H55" s="28">
        <v>55000</v>
      </c>
      <c r="I55" s="28">
        <v>55000</v>
      </c>
      <c r="J55" s="28">
        <v>0</v>
      </c>
      <c r="K55" s="14">
        <v>4</v>
      </c>
      <c r="L55" s="14">
        <v>1125</v>
      </c>
      <c r="M55" s="14" t="s">
        <v>38</v>
      </c>
      <c r="N55" s="14" t="s">
        <v>1857</v>
      </c>
      <c r="O55" s="14" t="s">
        <v>2125</v>
      </c>
      <c r="P55" s="14" t="s">
        <v>2126</v>
      </c>
      <c r="Q55" s="14" t="s">
        <v>158</v>
      </c>
      <c r="R55" s="14" t="s">
        <v>2127</v>
      </c>
    </row>
    <row r="56" spans="1:18" ht="19.95" customHeight="1" x14ac:dyDescent="0.3">
      <c r="A56" s="21">
        <v>46283.518077881941</v>
      </c>
      <c r="B56" s="13" t="s">
        <v>440</v>
      </c>
      <c r="C56" s="11" t="s">
        <v>2128</v>
      </c>
      <c r="D56" s="11" t="s">
        <v>2129</v>
      </c>
      <c r="E56" s="11" t="s">
        <v>1853</v>
      </c>
      <c r="F56" s="11" t="s">
        <v>1854</v>
      </c>
      <c r="G56" s="11" t="s">
        <v>1862</v>
      </c>
      <c r="H56" s="27">
        <v>38000</v>
      </c>
      <c r="I56" s="27">
        <v>38000</v>
      </c>
      <c r="J56" s="27">
        <v>0</v>
      </c>
      <c r="K56" s="11">
        <v>3</v>
      </c>
      <c r="L56" s="11">
        <v>922</v>
      </c>
      <c r="M56" s="11" t="s">
        <v>38</v>
      </c>
      <c r="N56" s="11" t="s">
        <v>1857</v>
      </c>
      <c r="O56" s="11" t="s">
        <v>2130</v>
      </c>
      <c r="P56" s="11" t="s">
        <v>2131</v>
      </c>
      <c r="Q56" s="11" t="s">
        <v>158</v>
      </c>
      <c r="R56" s="11" t="s">
        <v>38</v>
      </c>
    </row>
    <row r="57" spans="1:18" ht="19.95" customHeight="1" x14ac:dyDescent="0.3">
      <c r="A57" s="23">
        <v>46283.513666168983</v>
      </c>
      <c r="B57" s="16" t="s">
        <v>440</v>
      </c>
      <c r="C57" s="14" t="s">
        <v>2132</v>
      </c>
      <c r="D57" s="14" t="s">
        <v>2133</v>
      </c>
      <c r="E57" s="14" t="s">
        <v>1853</v>
      </c>
      <c r="F57" s="14" t="s">
        <v>1854</v>
      </c>
      <c r="G57" s="14" t="s">
        <v>1855</v>
      </c>
      <c r="H57" s="28">
        <v>48000</v>
      </c>
      <c r="I57" s="28">
        <v>48000</v>
      </c>
      <c r="J57" s="28">
        <v>0</v>
      </c>
      <c r="K57" s="14">
        <v>3</v>
      </c>
      <c r="L57" s="14">
        <v>1120</v>
      </c>
      <c r="M57" s="14" t="s">
        <v>38</v>
      </c>
      <c r="N57" s="14" t="s">
        <v>1857</v>
      </c>
      <c r="O57" s="14" t="s">
        <v>2134</v>
      </c>
      <c r="P57" s="14" t="s">
        <v>2135</v>
      </c>
      <c r="Q57" s="14" t="s">
        <v>158</v>
      </c>
      <c r="R57" s="14" t="s">
        <v>2136</v>
      </c>
    </row>
    <row r="58" spans="1:18" ht="19.95" customHeight="1" x14ac:dyDescent="0.3">
      <c r="A58" s="21">
        <v>46283.448788715279</v>
      </c>
      <c r="B58" s="13" t="s">
        <v>440</v>
      </c>
      <c r="C58" s="11" t="s">
        <v>2137</v>
      </c>
      <c r="D58" s="11" t="s">
        <v>2138</v>
      </c>
      <c r="E58" s="11" t="s">
        <v>1853</v>
      </c>
      <c r="F58" s="11" t="s">
        <v>1854</v>
      </c>
      <c r="G58" s="11" t="s">
        <v>1855</v>
      </c>
      <c r="H58" s="27">
        <v>25000</v>
      </c>
      <c r="I58" s="27">
        <v>25000</v>
      </c>
      <c r="J58" s="27">
        <v>0</v>
      </c>
      <c r="K58" s="11">
        <v>2</v>
      </c>
      <c r="L58" s="11">
        <v>671</v>
      </c>
      <c r="M58" s="11" t="s">
        <v>1975</v>
      </c>
      <c r="N58" s="11" t="s">
        <v>1857</v>
      </c>
      <c r="O58" s="11" t="s">
        <v>2139</v>
      </c>
      <c r="P58" s="11" t="s">
        <v>2140</v>
      </c>
      <c r="Q58" s="11" t="s">
        <v>142</v>
      </c>
      <c r="R58" s="11" t="s">
        <v>2141</v>
      </c>
    </row>
    <row r="59" spans="1:18" ht="19.95" customHeight="1" x14ac:dyDescent="0.3">
      <c r="A59" s="23">
        <v>46282.727023356492</v>
      </c>
      <c r="B59" s="16" t="s">
        <v>440</v>
      </c>
      <c r="C59" s="14" t="s">
        <v>2142</v>
      </c>
      <c r="D59" s="14" t="s">
        <v>2143</v>
      </c>
      <c r="E59" s="14" t="s">
        <v>1853</v>
      </c>
      <c r="F59" s="14" t="s">
        <v>1854</v>
      </c>
      <c r="G59" s="14" t="s">
        <v>1855</v>
      </c>
      <c r="H59" s="28">
        <v>65000</v>
      </c>
      <c r="I59" s="28">
        <v>130000</v>
      </c>
      <c r="J59" s="28">
        <v>2000</v>
      </c>
      <c r="K59" s="14">
        <v>5</v>
      </c>
      <c r="L59" s="14" t="s">
        <v>38</v>
      </c>
      <c r="M59" s="14" t="s">
        <v>2144</v>
      </c>
      <c r="N59" s="14" t="s">
        <v>1857</v>
      </c>
      <c r="O59" s="14" t="s">
        <v>2145</v>
      </c>
      <c r="P59" s="14" t="s">
        <v>2146</v>
      </c>
      <c r="Q59" s="14" t="s">
        <v>152</v>
      </c>
      <c r="R59" s="14" t="s">
        <v>38</v>
      </c>
    </row>
    <row r="60" spans="1:18" ht="19.95" customHeight="1" x14ac:dyDescent="0.3">
      <c r="A60" s="21">
        <v>46282.698813368057</v>
      </c>
      <c r="B60" s="13" t="s">
        <v>440</v>
      </c>
      <c r="C60" s="11" t="s">
        <v>2147</v>
      </c>
      <c r="D60" s="11" t="s">
        <v>2148</v>
      </c>
      <c r="E60" s="11" t="s">
        <v>1853</v>
      </c>
      <c r="F60" s="11" t="s">
        <v>1854</v>
      </c>
      <c r="G60" s="11" t="s">
        <v>1855</v>
      </c>
      <c r="H60" s="27">
        <v>65000</v>
      </c>
      <c r="I60" s="27">
        <v>130000</v>
      </c>
      <c r="J60" s="27">
        <v>0</v>
      </c>
      <c r="K60" s="11">
        <v>5</v>
      </c>
      <c r="L60" s="11">
        <v>1890</v>
      </c>
      <c r="M60" s="11" t="s">
        <v>2144</v>
      </c>
      <c r="N60" s="11" t="s">
        <v>1857</v>
      </c>
      <c r="O60" s="11" t="s">
        <v>2149</v>
      </c>
      <c r="P60" s="11" t="s">
        <v>1888</v>
      </c>
      <c r="Q60" s="11" t="s">
        <v>158</v>
      </c>
      <c r="R60" s="11" t="s">
        <v>2150</v>
      </c>
    </row>
    <row r="61" spans="1:18" ht="19.95" customHeight="1" x14ac:dyDescent="0.3">
      <c r="A61" s="23">
        <v>46279.535929131947</v>
      </c>
      <c r="B61" s="16" t="s">
        <v>440</v>
      </c>
      <c r="C61" s="14" t="s">
        <v>2151</v>
      </c>
      <c r="D61" s="14" t="s">
        <v>2152</v>
      </c>
      <c r="E61" s="14" t="s">
        <v>1853</v>
      </c>
      <c r="F61" s="14" t="s">
        <v>1854</v>
      </c>
      <c r="G61" s="14" t="s">
        <v>1855</v>
      </c>
      <c r="H61" s="28">
        <v>16500</v>
      </c>
      <c r="I61" s="28">
        <v>33000</v>
      </c>
      <c r="J61" s="28">
        <v>0</v>
      </c>
      <c r="K61" s="14">
        <v>2</v>
      </c>
      <c r="L61" s="14" t="s">
        <v>38</v>
      </c>
      <c r="M61" s="14" t="s">
        <v>1922</v>
      </c>
      <c r="N61" s="14" t="s">
        <v>1857</v>
      </c>
      <c r="O61" s="14" t="s">
        <v>2153</v>
      </c>
      <c r="P61" s="14" t="s">
        <v>2154</v>
      </c>
      <c r="Q61" s="14" t="s">
        <v>150</v>
      </c>
      <c r="R61" s="14" t="s">
        <v>38</v>
      </c>
    </row>
    <row r="62" spans="1:18" ht="19.95" customHeight="1" x14ac:dyDescent="0.3">
      <c r="A62" s="21">
        <v>46278.970367164351</v>
      </c>
      <c r="B62" s="13" t="s">
        <v>440</v>
      </c>
      <c r="C62" s="11" t="s">
        <v>2155</v>
      </c>
      <c r="D62" s="11" t="s">
        <v>2156</v>
      </c>
      <c r="E62" s="11" t="s">
        <v>1853</v>
      </c>
      <c r="F62" s="11" t="s">
        <v>1854</v>
      </c>
      <c r="G62" s="11" t="s">
        <v>1855</v>
      </c>
      <c r="H62" s="27">
        <v>15000</v>
      </c>
      <c r="I62" s="27">
        <v>30000</v>
      </c>
      <c r="J62" s="27">
        <v>0</v>
      </c>
      <c r="K62" s="11">
        <v>3</v>
      </c>
      <c r="L62" s="11">
        <v>13256</v>
      </c>
      <c r="M62" s="11" t="s">
        <v>2157</v>
      </c>
      <c r="N62" s="11" t="s">
        <v>1857</v>
      </c>
      <c r="O62" s="11" t="s">
        <v>2158</v>
      </c>
      <c r="P62" s="11" t="s">
        <v>2159</v>
      </c>
      <c r="Q62" s="11" t="s">
        <v>155</v>
      </c>
      <c r="R62" s="11" t="s">
        <v>839</v>
      </c>
    </row>
    <row r="63" spans="1:18" ht="19.95" customHeight="1" x14ac:dyDescent="0.3">
      <c r="A63" s="23">
        <v>46276.635575185188</v>
      </c>
      <c r="B63" s="16" t="s">
        <v>440</v>
      </c>
      <c r="C63" s="14" t="s">
        <v>2160</v>
      </c>
      <c r="D63" s="14" t="s">
        <v>2161</v>
      </c>
      <c r="E63" s="14" t="s">
        <v>1853</v>
      </c>
      <c r="F63" s="14" t="s">
        <v>1854</v>
      </c>
      <c r="G63" s="14" t="s">
        <v>1855</v>
      </c>
      <c r="H63" s="28">
        <v>25000</v>
      </c>
      <c r="I63" s="28">
        <v>25000</v>
      </c>
      <c r="J63" s="28">
        <v>0</v>
      </c>
      <c r="K63" s="14">
        <v>2</v>
      </c>
      <c r="L63" s="14">
        <v>500</v>
      </c>
      <c r="M63" s="14" t="s">
        <v>2004</v>
      </c>
      <c r="N63" s="14" t="s">
        <v>1857</v>
      </c>
      <c r="O63" s="14" t="s">
        <v>2162</v>
      </c>
      <c r="P63" s="14" t="s">
        <v>2163</v>
      </c>
      <c r="Q63" s="14" t="s">
        <v>155</v>
      </c>
      <c r="R63" s="14" t="s">
        <v>38</v>
      </c>
    </row>
    <row r="64" spans="1:18" ht="19.95" customHeight="1" x14ac:dyDescent="0.3">
      <c r="A64" s="21">
        <v>46276.62367173611</v>
      </c>
      <c r="B64" s="13" t="s">
        <v>440</v>
      </c>
      <c r="C64" s="11" t="s">
        <v>2164</v>
      </c>
      <c r="D64" s="11" t="s">
        <v>2165</v>
      </c>
      <c r="E64" s="11" t="s">
        <v>1853</v>
      </c>
      <c r="F64" s="11" t="s">
        <v>1854</v>
      </c>
      <c r="G64" s="11" t="s">
        <v>1855</v>
      </c>
      <c r="H64" s="27">
        <v>25000</v>
      </c>
      <c r="I64" s="27">
        <v>25000</v>
      </c>
      <c r="J64" s="27">
        <v>0</v>
      </c>
      <c r="K64" s="11">
        <v>3</v>
      </c>
      <c r="L64" s="11">
        <v>922</v>
      </c>
      <c r="M64" s="11" t="s">
        <v>2166</v>
      </c>
      <c r="N64" s="11" t="s">
        <v>1857</v>
      </c>
      <c r="O64" s="11" t="s">
        <v>2167</v>
      </c>
      <c r="P64" s="11" t="s">
        <v>2168</v>
      </c>
      <c r="Q64" s="11" t="s">
        <v>155</v>
      </c>
      <c r="R64" s="11" t="s">
        <v>38</v>
      </c>
    </row>
    <row r="65" spans="1:18" ht="19.95" customHeight="1" x14ac:dyDescent="0.3">
      <c r="A65" s="23">
        <v>46276.601304710653</v>
      </c>
      <c r="B65" s="16" t="s">
        <v>440</v>
      </c>
      <c r="C65" s="14" t="s">
        <v>2169</v>
      </c>
      <c r="D65" s="14" t="s">
        <v>2170</v>
      </c>
      <c r="E65" s="14" t="s">
        <v>1853</v>
      </c>
      <c r="F65" s="14" t="s">
        <v>1854</v>
      </c>
      <c r="G65" s="14" t="s">
        <v>1855</v>
      </c>
      <c r="H65" s="28">
        <v>23000</v>
      </c>
      <c r="I65" s="28">
        <v>23000</v>
      </c>
      <c r="J65" s="28">
        <v>0</v>
      </c>
      <c r="K65" s="14">
        <v>3</v>
      </c>
      <c r="L65" s="14">
        <v>877</v>
      </c>
      <c r="M65" s="14" t="s">
        <v>1880</v>
      </c>
      <c r="N65" s="14" t="s">
        <v>1857</v>
      </c>
      <c r="O65" s="14" t="s">
        <v>2171</v>
      </c>
      <c r="P65" s="14" t="s">
        <v>2172</v>
      </c>
      <c r="Q65" s="14" t="s">
        <v>155</v>
      </c>
      <c r="R65" s="14" t="s">
        <v>38</v>
      </c>
    </row>
    <row r="66" spans="1:18" ht="19.95" customHeight="1" x14ac:dyDescent="0.3">
      <c r="A66" s="21">
        <v>46276.595481979173</v>
      </c>
      <c r="B66" s="13" t="s">
        <v>440</v>
      </c>
      <c r="C66" s="11" t="s">
        <v>2173</v>
      </c>
      <c r="D66" s="11" t="s">
        <v>2174</v>
      </c>
      <c r="E66" s="11" t="s">
        <v>1853</v>
      </c>
      <c r="F66" s="11" t="s">
        <v>1854</v>
      </c>
      <c r="G66" s="11" t="s">
        <v>1855</v>
      </c>
      <c r="H66" s="27">
        <v>55000</v>
      </c>
      <c r="I66" s="27">
        <v>55000</v>
      </c>
      <c r="J66" s="27">
        <v>0</v>
      </c>
      <c r="K66" s="11">
        <v>2</v>
      </c>
      <c r="L66" s="11">
        <v>625</v>
      </c>
      <c r="M66" s="11" t="s">
        <v>2166</v>
      </c>
      <c r="N66" s="11" t="s">
        <v>1857</v>
      </c>
      <c r="O66" s="11" t="s">
        <v>2175</v>
      </c>
      <c r="P66" s="11" t="s">
        <v>2176</v>
      </c>
      <c r="Q66" s="11" t="s">
        <v>155</v>
      </c>
      <c r="R66" s="11" t="s">
        <v>38</v>
      </c>
    </row>
    <row r="67" spans="1:18" ht="19.95" customHeight="1" x14ac:dyDescent="0.3">
      <c r="A67" s="23">
        <v>46275.790292546299</v>
      </c>
      <c r="B67" s="16" t="s">
        <v>440</v>
      </c>
      <c r="C67" s="14" t="s">
        <v>2177</v>
      </c>
      <c r="D67" s="14" t="s">
        <v>2178</v>
      </c>
      <c r="E67" s="14" t="s">
        <v>1853</v>
      </c>
      <c r="F67" s="14" t="s">
        <v>1854</v>
      </c>
      <c r="G67" s="14" t="s">
        <v>1855</v>
      </c>
      <c r="H67" s="28">
        <v>21000</v>
      </c>
      <c r="I67" s="28">
        <v>42000</v>
      </c>
      <c r="J67" s="28">
        <v>0</v>
      </c>
      <c r="K67" s="14">
        <v>2</v>
      </c>
      <c r="L67" s="14" t="s">
        <v>38</v>
      </c>
      <c r="M67" s="14" t="s">
        <v>1975</v>
      </c>
      <c r="N67" s="14" t="s">
        <v>1857</v>
      </c>
      <c r="O67" s="14" t="s">
        <v>2179</v>
      </c>
      <c r="P67" s="14" t="s">
        <v>2180</v>
      </c>
      <c r="Q67" s="14" t="s">
        <v>150</v>
      </c>
      <c r="R67" s="14" t="s">
        <v>38</v>
      </c>
    </row>
    <row r="68" spans="1:18" ht="19.95" customHeight="1" x14ac:dyDescent="0.3">
      <c r="A68" s="21">
        <v>46275.69539724537</v>
      </c>
      <c r="B68" s="13" t="s">
        <v>440</v>
      </c>
      <c r="C68" s="11" t="s">
        <v>2181</v>
      </c>
      <c r="D68" s="11" t="s">
        <v>2182</v>
      </c>
      <c r="E68" s="11" t="s">
        <v>1853</v>
      </c>
      <c r="F68" s="11" t="s">
        <v>1854</v>
      </c>
      <c r="G68" s="11" t="s">
        <v>1855</v>
      </c>
      <c r="H68" s="27">
        <v>28000</v>
      </c>
      <c r="I68" s="27">
        <v>28000</v>
      </c>
      <c r="J68" s="27">
        <v>0</v>
      </c>
      <c r="K68" s="11">
        <v>3</v>
      </c>
      <c r="L68" s="11">
        <v>1650</v>
      </c>
      <c r="M68" s="11" t="s">
        <v>2183</v>
      </c>
      <c r="N68" s="11" t="s">
        <v>1857</v>
      </c>
      <c r="O68" s="11" t="s">
        <v>2184</v>
      </c>
      <c r="P68" s="11" t="s">
        <v>2185</v>
      </c>
      <c r="Q68" s="11" t="s">
        <v>155</v>
      </c>
      <c r="R68" s="11" t="s">
        <v>38</v>
      </c>
    </row>
    <row r="69" spans="1:18" ht="19.95" customHeight="1" x14ac:dyDescent="0.3">
      <c r="A69" s="23">
        <v>46275.615290138892</v>
      </c>
      <c r="B69" s="16" t="s">
        <v>440</v>
      </c>
      <c r="C69" s="14" t="s">
        <v>2186</v>
      </c>
      <c r="D69" s="14" t="s">
        <v>2187</v>
      </c>
      <c r="E69" s="14" t="s">
        <v>1853</v>
      </c>
      <c r="F69" s="14" t="s">
        <v>1854</v>
      </c>
      <c r="G69" s="14" t="s">
        <v>1855</v>
      </c>
      <c r="H69" s="28">
        <v>35000</v>
      </c>
      <c r="I69" s="28">
        <v>105000</v>
      </c>
      <c r="J69" s="28">
        <v>3000</v>
      </c>
      <c r="K69" s="14">
        <v>3</v>
      </c>
      <c r="L69" s="14">
        <v>3000</v>
      </c>
      <c r="M69" s="14" t="s">
        <v>2157</v>
      </c>
      <c r="N69" s="14" t="s">
        <v>1857</v>
      </c>
      <c r="O69" s="14" t="s">
        <v>1770</v>
      </c>
      <c r="P69" s="14" t="s">
        <v>2188</v>
      </c>
      <c r="Q69" s="14" t="s">
        <v>155</v>
      </c>
      <c r="R69" s="14" t="s">
        <v>842</v>
      </c>
    </row>
    <row r="70" spans="1:18" ht="19.95" customHeight="1" x14ac:dyDescent="0.3">
      <c r="A70" s="21">
        <v>46274.788703252307</v>
      </c>
      <c r="B70" s="13" t="s">
        <v>440</v>
      </c>
      <c r="C70" s="11" t="s">
        <v>2189</v>
      </c>
      <c r="D70" s="11" t="s">
        <v>2190</v>
      </c>
      <c r="E70" s="11" t="s">
        <v>1853</v>
      </c>
      <c r="F70" s="11" t="s">
        <v>1854</v>
      </c>
      <c r="G70" s="11" t="s">
        <v>1855</v>
      </c>
      <c r="H70" s="27">
        <v>27000</v>
      </c>
      <c r="I70" s="27">
        <v>54000</v>
      </c>
      <c r="J70" s="27">
        <v>0</v>
      </c>
      <c r="K70" s="11">
        <v>2</v>
      </c>
      <c r="L70" s="11" t="s">
        <v>38</v>
      </c>
      <c r="M70" s="11" t="s">
        <v>2157</v>
      </c>
      <c r="N70" s="11" t="s">
        <v>1857</v>
      </c>
      <c r="O70" s="11" t="s">
        <v>2191</v>
      </c>
      <c r="P70" s="11" t="s">
        <v>2192</v>
      </c>
      <c r="Q70" s="11" t="s">
        <v>150</v>
      </c>
      <c r="R70" s="11" t="s">
        <v>38</v>
      </c>
    </row>
    <row r="71" spans="1:18" ht="19.95" customHeight="1" x14ac:dyDescent="0.3">
      <c r="A71" s="23">
        <v>46274.63484146991</v>
      </c>
      <c r="B71" s="16" t="s">
        <v>440</v>
      </c>
      <c r="C71" s="14" t="s">
        <v>2193</v>
      </c>
      <c r="D71" s="14" t="s">
        <v>2194</v>
      </c>
      <c r="E71" s="14" t="s">
        <v>1853</v>
      </c>
      <c r="F71" s="14" t="s">
        <v>1854</v>
      </c>
      <c r="G71" s="14" t="s">
        <v>1855</v>
      </c>
      <c r="H71" s="28">
        <v>90000</v>
      </c>
      <c r="I71" s="28">
        <v>180000</v>
      </c>
      <c r="J71" s="28">
        <v>0</v>
      </c>
      <c r="K71" s="14">
        <v>4</v>
      </c>
      <c r="L71" s="14" t="s">
        <v>38</v>
      </c>
      <c r="M71" s="14" t="s">
        <v>1880</v>
      </c>
      <c r="N71" s="14" t="s">
        <v>1857</v>
      </c>
      <c r="O71" s="14" t="s">
        <v>2195</v>
      </c>
      <c r="P71" s="14" t="s">
        <v>2196</v>
      </c>
      <c r="Q71" s="14" t="s">
        <v>155</v>
      </c>
      <c r="R71" s="14" t="s">
        <v>38</v>
      </c>
    </row>
    <row r="72" spans="1:18" ht="19.95" customHeight="1" x14ac:dyDescent="0.3">
      <c r="A72" s="21">
        <v>46274.537445937502</v>
      </c>
      <c r="B72" s="13" t="s">
        <v>440</v>
      </c>
      <c r="C72" s="11" t="s">
        <v>2197</v>
      </c>
      <c r="D72" s="11" t="s">
        <v>2198</v>
      </c>
      <c r="E72" s="11" t="s">
        <v>1853</v>
      </c>
      <c r="F72" s="11" t="s">
        <v>1854</v>
      </c>
      <c r="G72" s="11" t="s">
        <v>1855</v>
      </c>
      <c r="H72" s="27">
        <v>28000</v>
      </c>
      <c r="I72" s="27">
        <v>56000</v>
      </c>
      <c r="J72" s="27">
        <v>0</v>
      </c>
      <c r="K72" s="11">
        <v>3</v>
      </c>
      <c r="L72" s="11">
        <v>769</v>
      </c>
      <c r="M72" s="11" t="s">
        <v>2183</v>
      </c>
      <c r="N72" s="11" t="s">
        <v>1857</v>
      </c>
      <c r="O72" s="11" t="s">
        <v>2199</v>
      </c>
      <c r="P72" s="11" t="s">
        <v>38</v>
      </c>
      <c r="Q72" s="11" t="s">
        <v>150</v>
      </c>
      <c r="R72" s="11" t="s">
        <v>38</v>
      </c>
    </row>
    <row r="73" spans="1:18" ht="19.95" customHeight="1" x14ac:dyDescent="0.3">
      <c r="A73" s="23">
        <v>46273.591018368053</v>
      </c>
      <c r="B73" s="16" t="s">
        <v>440</v>
      </c>
      <c r="C73" s="14" t="s">
        <v>2200</v>
      </c>
      <c r="D73" s="14" t="s">
        <v>2201</v>
      </c>
      <c r="E73" s="14" t="s">
        <v>1853</v>
      </c>
      <c r="F73" s="14" t="s">
        <v>1854</v>
      </c>
      <c r="G73" s="14" t="s">
        <v>1855</v>
      </c>
      <c r="H73" s="28">
        <v>35000</v>
      </c>
      <c r="I73" s="28">
        <v>70000</v>
      </c>
      <c r="J73" s="28">
        <v>3000</v>
      </c>
      <c r="K73" s="14">
        <v>2</v>
      </c>
      <c r="L73" s="14">
        <v>3245</v>
      </c>
      <c r="M73" s="14" t="s">
        <v>1887</v>
      </c>
      <c r="N73" s="14" t="s">
        <v>1857</v>
      </c>
      <c r="O73" s="14" t="s">
        <v>2202</v>
      </c>
      <c r="P73" s="14" t="s">
        <v>2203</v>
      </c>
      <c r="Q73" s="14" t="s">
        <v>155</v>
      </c>
      <c r="R73" s="14" t="s">
        <v>846</v>
      </c>
    </row>
    <row r="74" spans="1:18" ht="19.95" customHeight="1" x14ac:dyDescent="0.3">
      <c r="A74" s="21">
        <v>46272.523497106478</v>
      </c>
      <c r="B74" s="13" t="s">
        <v>440</v>
      </c>
      <c r="C74" s="11" t="s">
        <v>2204</v>
      </c>
      <c r="D74" s="11" t="s">
        <v>2205</v>
      </c>
      <c r="E74" s="11" t="s">
        <v>1901</v>
      </c>
      <c r="F74" s="11" t="s">
        <v>1854</v>
      </c>
      <c r="G74" s="11" t="s">
        <v>1855</v>
      </c>
      <c r="H74" s="27">
        <v>33000</v>
      </c>
      <c r="I74" s="27">
        <v>66000</v>
      </c>
      <c r="J74" s="27">
        <v>0</v>
      </c>
      <c r="K74" s="11">
        <v>1</v>
      </c>
      <c r="L74" s="11" t="s">
        <v>38</v>
      </c>
      <c r="M74" s="11" t="s">
        <v>2206</v>
      </c>
      <c r="N74" s="11" t="s">
        <v>1857</v>
      </c>
      <c r="O74" s="11" t="s">
        <v>2207</v>
      </c>
      <c r="P74" s="11" t="s">
        <v>2208</v>
      </c>
      <c r="Q74" s="11" t="s">
        <v>152</v>
      </c>
      <c r="R74" s="11" t="s">
        <v>38</v>
      </c>
    </row>
    <row r="75" spans="1:18" ht="19.95" customHeight="1" x14ac:dyDescent="0.3">
      <c r="A75" s="23">
        <v>46272.507583981482</v>
      </c>
      <c r="B75" s="16" t="s">
        <v>440</v>
      </c>
      <c r="C75" s="14" t="s">
        <v>2209</v>
      </c>
      <c r="D75" s="14" t="s">
        <v>2210</v>
      </c>
      <c r="E75" s="14" t="s">
        <v>1901</v>
      </c>
      <c r="F75" s="14" t="s">
        <v>1854</v>
      </c>
      <c r="G75" s="14" t="s">
        <v>1855</v>
      </c>
      <c r="H75" s="28">
        <v>45000</v>
      </c>
      <c r="I75" s="28">
        <v>45000</v>
      </c>
      <c r="J75" s="28">
        <v>0</v>
      </c>
      <c r="K75" s="14">
        <v>1</v>
      </c>
      <c r="L75" s="14">
        <v>1800</v>
      </c>
      <c r="M75" s="14" t="s">
        <v>1875</v>
      </c>
      <c r="N75" s="14" t="s">
        <v>1857</v>
      </c>
      <c r="O75" s="14" t="s">
        <v>2211</v>
      </c>
      <c r="P75" s="14" t="s">
        <v>2212</v>
      </c>
      <c r="Q75" s="14" t="s">
        <v>155</v>
      </c>
      <c r="R75" s="14" t="s">
        <v>2213</v>
      </c>
    </row>
    <row r="76" spans="1:18" ht="19.95" customHeight="1" x14ac:dyDescent="0.3">
      <c r="A76" s="21">
        <v>46269.674324236112</v>
      </c>
      <c r="B76" s="13" t="s">
        <v>440</v>
      </c>
      <c r="C76" s="11" t="s">
        <v>2214</v>
      </c>
      <c r="D76" s="11" t="s">
        <v>2215</v>
      </c>
      <c r="E76" s="11" t="s">
        <v>1853</v>
      </c>
      <c r="F76" s="11" t="s">
        <v>1854</v>
      </c>
      <c r="G76" s="11" t="s">
        <v>1862</v>
      </c>
      <c r="H76" s="27">
        <v>26000</v>
      </c>
      <c r="I76" s="27">
        <v>52000</v>
      </c>
      <c r="J76" s="27">
        <v>3000</v>
      </c>
      <c r="K76" s="11">
        <v>3</v>
      </c>
      <c r="L76" s="11" t="s">
        <v>38</v>
      </c>
      <c r="M76" s="11" t="s">
        <v>2063</v>
      </c>
      <c r="N76" s="11" t="s">
        <v>1857</v>
      </c>
      <c r="O76" s="11" t="s">
        <v>2216</v>
      </c>
      <c r="P76" s="11" t="s">
        <v>2217</v>
      </c>
      <c r="Q76" s="11" t="s">
        <v>152</v>
      </c>
      <c r="R76" s="11" t="s">
        <v>38</v>
      </c>
    </row>
    <row r="77" spans="1:18" ht="19.95" customHeight="1" x14ac:dyDescent="0.3">
      <c r="A77" s="23">
        <v>46268.544077708328</v>
      </c>
      <c r="B77" s="16" t="s">
        <v>440</v>
      </c>
      <c r="C77" s="14" t="s">
        <v>2218</v>
      </c>
      <c r="D77" s="14" t="s">
        <v>2219</v>
      </c>
      <c r="E77" s="14" t="s">
        <v>2220</v>
      </c>
      <c r="F77" s="14" t="s">
        <v>1854</v>
      </c>
      <c r="G77" s="14" t="s">
        <v>1855</v>
      </c>
      <c r="H77" s="28">
        <v>30000</v>
      </c>
      <c r="I77" s="28">
        <v>60000</v>
      </c>
      <c r="J77" s="28">
        <v>0</v>
      </c>
      <c r="K77" s="14">
        <v>2</v>
      </c>
      <c r="L77" s="14" t="s">
        <v>38</v>
      </c>
      <c r="M77" s="14" t="s">
        <v>2063</v>
      </c>
      <c r="N77" s="14" t="s">
        <v>1857</v>
      </c>
      <c r="O77" s="14" t="s">
        <v>2221</v>
      </c>
      <c r="P77" s="14" t="s">
        <v>2222</v>
      </c>
      <c r="Q77" s="14" t="s">
        <v>147</v>
      </c>
      <c r="R77" s="14" t="s">
        <v>38</v>
      </c>
    </row>
    <row r="78" spans="1:18" ht="19.95" customHeight="1" x14ac:dyDescent="0.3">
      <c r="A78" s="21">
        <v>46268.534062326391</v>
      </c>
      <c r="B78" s="13" t="s">
        <v>440</v>
      </c>
      <c r="C78" s="11" t="s">
        <v>2223</v>
      </c>
      <c r="D78" s="11" t="s">
        <v>2224</v>
      </c>
      <c r="E78" s="11" t="s">
        <v>1853</v>
      </c>
      <c r="F78" s="11" t="s">
        <v>1854</v>
      </c>
      <c r="G78" s="11" t="s">
        <v>1862</v>
      </c>
      <c r="H78" s="27">
        <v>25000</v>
      </c>
      <c r="I78" s="27">
        <v>50000</v>
      </c>
      <c r="J78" s="27">
        <v>0</v>
      </c>
      <c r="K78" s="11">
        <v>3</v>
      </c>
      <c r="L78" s="11" t="s">
        <v>38</v>
      </c>
      <c r="M78" s="11" t="s">
        <v>1887</v>
      </c>
      <c r="N78" s="11" t="s">
        <v>1857</v>
      </c>
      <c r="O78" s="11" t="s">
        <v>2225</v>
      </c>
      <c r="P78" s="11" t="s">
        <v>2226</v>
      </c>
      <c r="Q78" s="11" t="s">
        <v>147</v>
      </c>
      <c r="R78" s="11" t="s">
        <v>38</v>
      </c>
    </row>
    <row r="79" spans="1:18" ht="19.95" customHeight="1" x14ac:dyDescent="0.3">
      <c r="A79" s="23">
        <v>46268.524007037027</v>
      </c>
      <c r="B79" s="16" t="s">
        <v>440</v>
      </c>
      <c r="C79" s="14" t="s">
        <v>2227</v>
      </c>
      <c r="D79" s="14" t="s">
        <v>2228</v>
      </c>
      <c r="E79" s="14" t="s">
        <v>1853</v>
      </c>
      <c r="F79" s="14" t="s">
        <v>1854</v>
      </c>
      <c r="G79" s="14" t="s">
        <v>1855</v>
      </c>
      <c r="H79" s="28">
        <v>28000</v>
      </c>
      <c r="I79" s="28">
        <v>56000</v>
      </c>
      <c r="J79" s="28">
        <v>0</v>
      </c>
      <c r="K79" s="14">
        <v>3</v>
      </c>
      <c r="L79" s="14" t="s">
        <v>38</v>
      </c>
      <c r="M79" s="14" t="s">
        <v>2183</v>
      </c>
      <c r="N79" s="14" t="s">
        <v>1857</v>
      </c>
      <c r="O79" s="14" t="s">
        <v>2229</v>
      </c>
      <c r="P79" s="14" t="s">
        <v>2230</v>
      </c>
      <c r="Q79" s="14" t="s">
        <v>147</v>
      </c>
      <c r="R79" s="14" t="s">
        <v>38</v>
      </c>
    </row>
    <row r="80" spans="1:18" ht="19.95" customHeight="1" x14ac:dyDescent="0.3">
      <c r="A80" s="21">
        <v>46267.730736030091</v>
      </c>
      <c r="B80" s="13" t="s">
        <v>440</v>
      </c>
      <c r="C80" s="11" t="s">
        <v>2231</v>
      </c>
      <c r="D80" s="11" t="s">
        <v>2232</v>
      </c>
      <c r="E80" s="11" t="s">
        <v>1853</v>
      </c>
      <c r="F80" s="11" t="s">
        <v>1854</v>
      </c>
      <c r="G80" s="11" t="s">
        <v>2233</v>
      </c>
      <c r="H80" s="27">
        <v>20000</v>
      </c>
      <c r="I80" s="27">
        <v>40000</v>
      </c>
      <c r="J80" s="27">
        <v>2000</v>
      </c>
      <c r="K80" s="11">
        <v>2</v>
      </c>
      <c r="L80" s="11" t="s">
        <v>38</v>
      </c>
      <c r="M80" s="11" t="s">
        <v>2234</v>
      </c>
      <c r="N80" s="11" t="s">
        <v>1857</v>
      </c>
      <c r="O80" s="11" t="s">
        <v>2235</v>
      </c>
      <c r="P80" s="11" t="s">
        <v>2236</v>
      </c>
      <c r="Q80" s="11" t="s">
        <v>147</v>
      </c>
      <c r="R80" s="11" t="s">
        <v>38</v>
      </c>
    </row>
    <row r="81" spans="1:18" ht="19.95" customHeight="1" x14ac:dyDescent="0.3">
      <c r="A81" s="23">
        <v>46265.705021527778</v>
      </c>
      <c r="B81" s="16" t="s">
        <v>853</v>
      </c>
      <c r="C81" s="14" t="s">
        <v>2237</v>
      </c>
      <c r="D81" s="14" t="s">
        <v>2238</v>
      </c>
      <c r="E81" s="14" t="s">
        <v>1853</v>
      </c>
      <c r="F81" s="14" t="s">
        <v>1854</v>
      </c>
      <c r="G81" s="14" t="s">
        <v>1855</v>
      </c>
      <c r="H81" s="28">
        <v>25000</v>
      </c>
      <c r="I81" s="28">
        <v>50000</v>
      </c>
      <c r="J81" s="28">
        <v>0</v>
      </c>
      <c r="K81" s="14">
        <v>2</v>
      </c>
      <c r="L81" s="14" t="s">
        <v>38</v>
      </c>
      <c r="M81" s="14" t="s">
        <v>2183</v>
      </c>
      <c r="N81" s="14" t="s">
        <v>1857</v>
      </c>
      <c r="O81" s="14" t="s">
        <v>2239</v>
      </c>
      <c r="P81" s="14" t="s">
        <v>2240</v>
      </c>
      <c r="Q81" s="14" t="s">
        <v>152</v>
      </c>
      <c r="R81" s="14" t="s">
        <v>38</v>
      </c>
    </row>
    <row r="82" spans="1:18" ht="19.95" customHeight="1" x14ac:dyDescent="0.3">
      <c r="A82" s="21">
        <v>46263.449494826389</v>
      </c>
      <c r="B82" s="13" t="s">
        <v>853</v>
      </c>
      <c r="C82" s="11" t="s">
        <v>2241</v>
      </c>
      <c r="D82" s="11" t="s">
        <v>2242</v>
      </c>
      <c r="E82" s="11" t="s">
        <v>1853</v>
      </c>
      <c r="F82" s="11" t="s">
        <v>1854</v>
      </c>
      <c r="G82" s="11" t="s">
        <v>1862</v>
      </c>
      <c r="H82" s="27">
        <v>19000</v>
      </c>
      <c r="I82" s="27">
        <v>38000</v>
      </c>
      <c r="J82" s="27">
        <v>2000</v>
      </c>
      <c r="K82" s="11">
        <v>2</v>
      </c>
      <c r="L82" s="11" t="s">
        <v>38</v>
      </c>
      <c r="M82" s="11" t="s">
        <v>2243</v>
      </c>
      <c r="N82" s="11" t="s">
        <v>1857</v>
      </c>
      <c r="O82" s="11" t="s">
        <v>2244</v>
      </c>
      <c r="P82" s="11" t="s">
        <v>2245</v>
      </c>
      <c r="Q82" s="11" t="s">
        <v>147</v>
      </c>
      <c r="R82" s="11" t="s">
        <v>38</v>
      </c>
    </row>
    <row r="83" spans="1:18" ht="19.95" customHeight="1" x14ac:dyDescent="0.3">
      <c r="A83" s="23">
        <v>46261.494817361112</v>
      </c>
      <c r="B83" s="16" t="s">
        <v>853</v>
      </c>
      <c r="C83" s="14" t="s">
        <v>2246</v>
      </c>
      <c r="D83" s="14" t="s">
        <v>2247</v>
      </c>
      <c r="E83" s="14" t="s">
        <v>1853</v>
      </c>
      <c r="F83" s="14" t="s">
        <v>1854</v>
      </c>
      <c r="G83" s="14" t="s">
        <v>1855</v>
      </c>
      <c r="H83" s="28">
        <v>26000</v>
      </c>
      <c r="I83" s="28">
        <v>52000</v>
      </c>
      <c r="J83" s="28">
        <v>0</v>
      </c>
      <c r="K83" s="14">
        <v>2</v>
      </c>
      <c r="L83" s="14" t="s">
        <v>38</v>
      </c>
      <c r="M83" s="14" t="s">
        <v>1880</v>
      </c>
      <c r="N83" s="14" t="s">
        <v>1857</v>
      </c>
      <c r="O83" s="14" t="s">
        <v>2248</v>
      </c>
      <c r="P83" s="14" t="s">
        <v>2249</v>
      </c>
      <c r="Q83" s="14" t="s">
        <v>147</v>
      </c>
      <c r="R83" s="14" t="s">
        <v>38</v>
      </c>
    </row>
    <row r="84" spans="1:18" ht="19.95" customHeight="1" x14ac:dyDescent="0.3">
      <c r="A84" s="21">
        <v>46261.474165219908</v>
      </c>
      <c r="B84" s="13" t="s">
        <v>853</v>
      </c>
      <c r="C84" s="11" t="s">
        <v>2250</v>
      </c>
      <c r="D84" s="11" t="s">
        <v>2251</v>
      </c>
      <c r="E84" s="11" t="s">
        <v>1853</v>
      </c>
      <c r="F84" s="11" t="s">
        <v>1854</v>
      </c>
      <c r="G84" s="11" t="s">
        <v>1855</v>
      </c>
      <c r="H84" s="27">
        <v>18500</v>
      </c>
      <c r="I84" s="27">
        <v>37000</v>
      </c>
      <c r="J84" s="27">
        <v>2500</v>
      </c>
      <c r="K84" s="11">
        <v>2</v>
      </c>
      <c r="L84" s="11" t="s">
        <v>38</v>
      </c>
      <c r="M84" s="11" t="s">
        <v>1880</v>
      </c>
      <c r="N84" s="11" t="s">
        <v>1857</v>
      </c>
      <c r="O84" s="11" t="s">
        <v>2252</v>
      </c>
      <c r="P84" s="11" t="s">
        <v>2253</v>
      </c>
      <c r="Q84" s="11" t="s">
        <v>147</v>
      </c>
      <c r="R84" s="11" t="s">
        <v>38</v>
      </c>
    </row>
    <row r="85" spans="1:18" ht="19.95" customHeight="1" x14ac:dyDescent="0.3">
      <c r="A85" s="23">
        <v>46261.449805810182</v>
      </c>
      <c r="B85" s="16" t="s">
        <v>853</v>
      </c>
      <c r="C85" s="14" t="s">
        <v>2254</v>
      </c>
      <c r="D85" s="14" t="s">
        <v>2255</v>
      </c>
      <c r="E85" s="14" t="s">
        <v>1853</v>
      </c>
      <c r="F85" s="14" t="s">
        <v>1854</v>
      </c>
      <c r="G85" s="14" t="s">
        <v>1855</v>
      </c>
      <c r="H85" s="28">
        <v>18500</v>
      </c>
      <c r="I85" s="28">
        <v>37000</v>
      </c>
      <c r="J85" s="28">
        <v>0</v>
      </c>
      <c r="K85" s="14">
        <v>2</v>
      </c>
      <c r="L85" s="14" t="s">
        <v>38</v>
      </c>
      <c r="M85" s="14" t="s">
        <v>1880</v>
      </c>
      <c r="N85" s="14" t="s">
        <v>1857</v>
      </c>
      <c r="O85" s="14" t="s">
        <v>2256</v>
      </c>
      <c r="P85" s="14" t="s">
        <v>2257</v>
      </c>
      <c r="Q85" s="14" t="s">
        <v>147</v>
      </c>
      <c r="R85" s="14" t="s">
        <v>38</v>
      </c>
    </row>
    <row r="86" spans="1:18" ht="19.95" customHeight="1" x14ac:dyDescent="0.3">
      <c r="A86" s="21">
        <v>46260.694869120372</v>
      </c>
      <c r="B86" s="13" t="s">
        <v>853</v>
      </c>
      <c r="C86" s="11" t="s">
        <v>2258</v>
      </c>
      <c r="D86" s="11" t="s">
        <v>2259</v>
      </c>
      <c r="E86" s="11" t="s">
        <v>1853</v>
      </c>
      <c r="F86" s="11" t="s">
        <v>1854</v>
      </c>
      <c r="G86" s="11" t="s">
        <v>1855</v>
      </c>
      <c r="H86" s="27">
        <v>25000</v>
      </c>
      <c r="I86" s="27">
        <v>50000</v>
      </c>
      <c r="J86" s="27">
        <v>1000</v>
      </c>
      <c r="K86" s="11">
        <v>3</v>
      </c>
      <c r="L86" s="11" t="s">
        <v>38</v>
      </c>
      <c r="M86" s="11" t="s">
        <v>1880</v>
      </c>
      <c r="N86" s="11" t="s">
        <v>1857</v>
      </c>
      <c r="O86" s="11" t="s">
        <v>2260</v>
      </c>
      <c r="P86" s="11" t="s">
        <v>2261</v>
      </c>
      <c r="Q86" s="11" t="s">
        <v>152</v>
      </c>
      <c r="R86" s="11" t="s">
        <v>38</v>
      </c>
    </row>
    <row r="87" spans="1:18" ht="19.95" customHeight="1" x14ac:dyDescent="0.3">
      <c r="A87" s="23">
        <v>46260.655924525461</v>
      </c>
      <c r="B87" s="16" t="s">
        <v>853</v>
      </c>
      <c r="C87" s="14" t="s">
        <v>2262</v>
      </c>
      <c r="D87" s="14" t="s">
        <v>2263</v>
      </c>
      <c r="E87" s="14" t="s">
        <v>1853</v>
      </c>
      <c r="F87" s="14" t="s">
        <v>1854</v>
      </c>
      <c r="G87" s="14" t="s">
        <v>1855</v>
      </c>
      <c r="H87" s="28">
        <v>21000</v>
      </c>
      <c r="I87" s="28">
        <v>42000</v>
      </c>
      <c r="J87" s="28">
        <v>1000</v>
      </c>
      <c r="K87" s="14">
        <v>2</v>
      </c>
      <c r="L87" s="14" t="s">
        <v>38</v>
      </c>
      <c r="M87" s="14" t="s">
        <v>2063</v>
      </c>
      <c r="N87" s="14" t="s">
        <v>1857</v>
      </c>
      <c r="O87" s="14" t="s">
        <v>2264</v>
      </c>
      <c r="P87" s="14" t="s">
        <v>2265</v>
      </c>
      <c r="Q87" s="14" t="s">
        <v>152</v>
      </c>
      <c r="R87" s="14" t="s">
        <v>38</v>
      </c>
    </row>
    <row r="88" spans="1:18" ht="19.95" customHeight="1" x14ac:dyDescent="0.3">
      <c r="A88" s="21">
        <v>46260.436558298607</v>
      </c>
      <c r="B88" s="13" t="s">
        <v>853</v>
      </c>
      <c r="C88" s="11" t="s">
        <v>2266</v>
      </c>
      <c r="D88" s="11" t="s">
        <v>2267</v>
      </c>
      <c r="E88" s="11" t="s">
        <v>1853</v>
      </c>
      <c r="F88" s="11" t="s">
        <v>1854</v>
      </c>
      <c r="G88" s="11" t="s">
        <v>1855</v>
      </c>
      <c r="H88" s="27">
        <v>21000</v>
      </c>
      <c r="I88" s="27">
        <v>42000</v>
      </c>
      <c r="J88" s="27">
        <v>2000</v>
      </c>
      <c r="K88" s="11">
        <v>3</v>
      </c>
      <c r="L88" s="11" t="s">
        <v>38</v>
      </c>
      <c r="M88" s="11" t="s">
        <v>1880</v>
      </c>
      <c r="N88" s="11" t="s">
        <v>1857</v>
      </c>
      <c r="O88" s="11" t="s">
        <v>2268</v>
      </c>
      <c r="P88" s="11" t="s">
        <v>2269</v>
      </c>
      <c r="Q88" s="11" t="s">
        <v>147</v>
      </c>
      <c r="R88" s="11" t="s">
        <v>38</v>
      </c>
    </row>
    <row r="89" spans="1:18" ht="19.95" customHeight="1" x14ac:dyDescent="0.3">
      <c r="A89" s="23">
        <v>46256.467718125001</v>
      </c>
      <c r="B89" s="16" t="s">
        <v>853</v>
      </c>
      <c r="C89" s="14" t="s">
        <v>2270</v>
      </c>
      <c r="D89" s="14" t="s">
        <v>2271</v>
      </c>
      <c r="E89" s="14" t="s">
        <v>1853</v>
      </c>
      <c r="F89" s="14" t="s">
        <v>1854</v>
      </c>
      <c r="G89" s="14" t="s">
        <v>1855</v>
      </c>
      <c r="H89" s="28">
        <v>25000</v>
      </c>
      <c r="I89" s="28">
        <v>50000</v>
      </c>
      <c r="J89" s="28">
        <v>0</v>
      </c>
      <c r="K89" s="14">
        <v>2</v>
      </c>
      <c r="L89" s="14" t="s">
        <v>38</v>
      </c>
      <c r="M89" s="14" t="s">
        <v>1880</v>
      </c>
      <c r="N89" s="14" t="s">
        <v>1857</v>
      </c>
      <c r="O89" s="14" t="s">
        <v>2272</v>
      </c>
      <c r="P89" s="14" t="s">
        <v>2273</v>
      </c>
      <c r="Q89" s="14" t="s">
        <v>147</v>
      </c>
      <c r="R89" s="14" t="s">
        <v>38</v>
      </c>
    </row>
    <row r="90" spans="1:18" ht="19.95" customHeight="1" x14ac:dyDescent="0.3">
      <c r="A90" s="21">
        <v>46256.467391712962</v>
      </c>
      <c r="B90" s="13" t="s">
        <v>853</v>
      </c>
      <c r="C90" s="11" t="s">
        <v>2274</v>
      </c>
      <c r="D90" s="11" t="s">
        <v>2275</v>
      </c>
      <c r="E90" s="11" t="s">
        <v>2276</v>
      </c>
      <c r="F90" s="11" t="s">
        <v>1955</v>
      </c>
      <c r="G90" s="11" t="s">
        <v>1855</v>
      </c>
      <c r="H90" s="27">
        <v>1500000</v>
      </c>
      <c r="I90" s="27">
        <v>0</v>
      </c>
      <c r="J90" s="27">
        <v>0</v>
      </c>
      <c r="K90" s="11">
        <v>1</v>
      </c>
      <c r="L90" s="11" t="s">
        <v>38</v>
      </c>
      <c r="M90" s="11" t="s">
        <v>2277</v>
      </c>
      <c r="N90" s="11" t="s">
        <v>1857</v>
      </c>
      <c r="O90" s="11" t="s">
        <v>2278</v>
      </c>
      <c r="P90" s="11" t="s">
        <v>2279</v>
      </c>
      <c r="Q90" s="11" t="s">
        <v>152</v>
      </c>
      <c r="R90" s="11" t="s">
        <v>38</v>
      </c>
    </row>
    <row r="91" spans="1:18" ht="19.95" customHeight="1" x14ac:dyDescent="0.3">
      <c r="A91" s="23">
        <v>46255.671799004631</v>
      </c>
      <c r="B91" s="16" t="s">
        <v>853</v>
      </c>
      <c r="C91" s="14" t="s">
        <v>2280</v>
      </c>
      <c r="D91" s="14" t="s">
        <v>2281</v>
      </c>
      <c r="E91" s="14" t="s">
        <v>1853</v>
      </c>
      <c r="F91" s="14" t="s">
        <v>1854</v>
      </c>
      <c r="G91" s="14" t="s">
        <v>1855</v>
      </c>
      <c r="H91" s="28">
        <v>30000</v>
      </c>
      <c r="I91" s="28">
        <v>60000</v>
      </c>
      <c r="J91" s="28">
        <v>0</v>
      </c>
      <c r="K91" s="14">
        <v>3</v>
      </c>
      <c r="L91" s="14">
        <v>769</v>
      </c>
      <c r="M91" s="14" t="s">
        <v>1880</v>
      </c>
      <c r="N91" s="14" t="s">
        <v>1857</v>
      </c>
      <c r="O91" s="14" t="s">
        <v>2282</v>
      </c>
      <c r="P91" s="14" t="s">
        <v>2283</v>
      </c>
      <c r="Q91" s="14" t="s">
        <v>150</v>
      </c>
      <c r="R91" s="14" t="s">
        <v>38</v>
      </c>
    </row>
    <row r="92" spans="1:18" ht="19.95" customHeight="1" x14ac:dyDescent="0.3">
      <c r="A92" s="21">
        <v>46255.519083391213</v>
      </c>
      <c r="B92" s="13" t="s">
        <v>853</v>
      </c>
      <c r="C92" s="11" t="s">
        <v>2284</v>
      </c>
      <c r="D92" s="11" t="s">
        <v>2285</v>
      </c>
      <c r="E92" s="11" t="s">
        <v>1853</v>
      </c>
      <c r="F92" s="11" t="s">
        <v>1854</v>
      </c>
      <c r="G92" s="11" t="s">
        <v>1862</v>
      </c>
      <c r="H92" s="27">
        <v>25000</v>
      </c>
      <c r="I92" s="27">
        <v>25000</v>
      </c>
      <c r="J92" s="27">
        <v>0</v>
      </c>
      <c r="K92" s="11">
        <v>2</v>
      </c>
      <c r="L92" s="11" t="s">
        <v>38</v>
      </c>
      <c r="M92" s="11" t="s">
        <v>1863</v>
      </c>
      <c r="N92" s="11" t="s">
        <v>1857</v>
      </c>
      <c r="O92" s="11" t="s">
        <v>2286</v>
      </c>
      <c r="P92" s="11" t="s">
        <v>2287</v>
      </c>
      <c r="Q92" s="11" t="s">
        <v>155</v>
      </c>
      <c r="R92" s="11" t="s">
        <v>38</v>
      </c>
    </row>
    <row r="93" spans="1:18" ht="19.95" customHeight="1" x14ac:dyDescent="0.3">
      <c r="A93" s="23">
        <v>46254.554743113433</v>
      </c>
      <c r="B93" s="16" t="s">
        <v>853</v>
      </c>
      <c r="C93" s="14" t="s">
        <v>2288</v>
      </c>
      <c r="D93" s="14" t="s">
        <v>2289</v>
      </c>
      <c r="E93" s="14" t="s">
        <v>1853</v>
      </c>
      <c r="F93" s="14" t="s">
        <v>1854</v>
      </c>
      <c r="G93" s="14" t="s">
        <v>1855</v>
      </c>
      <c r="H93" s="28">
        <v>22000</v>
      </c>
      <c r="I93" s="28">
        <v>44000</v>
      </c>
      <c r="J93" s="28">
        <v>0</v>
      </c>
      <c r="K93" s="14">
        <v>3</v>
      </c>
      <c r="L93" s="14" t="s">
        <v>38</v>
      </c>
      <c r="M93" s="14" t="s">
        <v>38</v>
      </c>
      <c r="N93" s="14" t="s">
        <v>1857</v>
      </c>
      <c r="O93" s="14" t="s">
        <v>2290</v>
      </c>
      <c r="P93" s="14" t="s">
        <v>2291</v>
      </c>
      <c r="Q93" s="14" t="s">
        <v>147</v>
      </c>
      <c r="R93" s="14" t="s">
        <v>38</v>
      </c>
    </row>
    <row r="94" spans="1:18" ht="19.95" customHeight="1" x14ac:dyDescent="0.3">
      <c r="A94" s="21">
        <v>46254.514963946764</v>
      </c>
      <c r="B94" s="13" t="s">
        <v>853</v>
      </c>
      <c r="C94" s="11" t="s">
        <v>2292</v>
      </c>
      <c r="D94" s="11" t="s">
        <v>2293</v>
      </c>
      <c r="E94" s="11" t="s">
        <v>1886</v>
      </c>
      <c r="F94" s="11" t="s">
        <v>1854</v>
      </c>
      <c r="G94" s="11" t="s">
        <v>1855</v>
      </c>
      <c r="H94" s="27">
        <v>25000</v>
      </c>
      <c r="I94" s="27">
        <v>50000</v>
      </c>
      <c r="J94" s="27">
        <v>0</v>
      </c>
      <c r="K94" s="11">
        <v>3</v>
      </c>
      <c r="L94" s="11" t="s">
        <v>38</v>
      </c>
      <c r="M94" s="11" t="s">
        <v>38</v>
      </c>
      <c r="N94" s="11" t="s">
        <v>1857</v>
      </c>
      <c r="O94" s="11" t="s">
        <v>2294</v>
      </c>
      <c r="P94" s="11" t="s">
        <v>2295</v>
      </c>
      <c r="Q94" s="11" t="s">
        <v>147</v>
      </c>
      <c r="R94" s="11" t="s">
        <v>38</v>
      </c>
    </row>
    <row r="95" spans="1:18" ht="19.95" customHeight="1" x14ac:dyDescent="0.3">
      <c r="A95" s="23">
        <v>46254.434359907413</v>
      </c>
      <c r="B95" s="16" t="s">
        <v>853</v>
      </c>
      <c r="C95" s="14" t="s">
        <v>2296</v>
      </c>
      <c r="D95" s="14" t="s">
        <v>2297</v>
      </c>
      <c r="E95" s="14" t="s">
        <v>1853</v>
      </c>
      <c r="F95" s="14" t="s">
        <v>1854</v>
      </c>
      <c r="G95" s="14" t="s">
        <v>1855</v>
      </c>
      <c r="H95" s="28">
        <v>27000</v>
      </c>
      <c r="I95" s="28">
        <v>54000</v>
      </c>
      <c r="J95" s="28">
        <v>0</v>
      </c>
      <c r="K95" s="14">
        <v>3</v>
      </c>
      <c r="L95" s="14">
        <v>765</v>
      </c>
      <c r="M95" s="14" t="s">
        <v>1880</v>
      </c>
      <c r="N95" s="14" t="s">
        <v>1857</v>
      </c>
      <c r="O95" s="14" t="s">
        <v>2298</v>
      </c>
      <c r="P95" s="14" t="s">
        <v>2299</v>
      </c>
      <c r="Q95" s="14" t="s">
        <v>150</v>
      </c>
      <c r="R95" s="14" t="s">
        <v>38</v>
      </c>
    </row>
    <row r="96" spans="1:18" ht="19.95" customHeight="1" x14ac:dyDescent="0.3">
      <c r="A96" s="21">
        <v>46253.68543341435</v>
      </c>
      <c r="B96" s="13" t="s">
        <v>853</v>
      </c>
      <c r="C96" s="11" t="s">
        <v>2300</v>
      </c>
      <c r="D96" s="11" t="s">
        <v>2301</v>
      </c>
      <c r="E96" s="11" t="s">
        <v>1853</v>
      </c>
      <c r="F96" s="11" t="s">
        <v>1854</v>
      </c>
      <c r="G96" s="11" t="s">
        <v>1855</v>
      </c>
      <c r="H96" s="27">
        <v>22500</v>
      </c>
      <c r="I96" s="27">
        <v>45000</v>
      </c>
      <c r="J96" s="27">
        <v>2500</v>
      </c>
      <c r="K96" s="11">
        <v>2</v>
      </c>
      <c r="L96" s="11" t="s">
        <v>38</v>
      </c>
      <c r="M96" s="11" t="s">
        <v>2063</v>
      </c>
      <c r="N96" s="11" t="s">
        <v>1857</v>
      </c>
      <c r="O96" s="11" t="s">
        <v>2302</v>
      </c>
      <c r="P96" s="11" t="s">
        <v>2303</v>
      </c>
      <c r="Q96" s="11" t="s">
        <v>147</v>
      </c>
      <c r="R96" s="11" t="s">
        <v>38</v>
      </c>
    </row>
    <row r="97" spans="1:18" ht="19.95" customHeight="1" x14ac:dyDescent="0.3">
      <c r="A97" s="23">
        <v>46253.501598460651</v>
      </c>
      <c r="B97" s="16" t="s">
        <v>853</v>
      </c>
      <c r="C97" s="14" t="s">
        <v>2304</v>
      </c>
      <c r="D97" s="14" t="s">
        <v>2305</v>
      </c>
      <c r="E97" s="14" t="s">
        <v>1853</v>
      </c>
      <c r="F97" s="14" t="s">
        <v>1854</v>
      </c>
      <c r="G97" s="14" t="s">
        <v>1862</v>
      </c>
      <c r="H97" s="28">
        <v>42000</v>
      </c>
      <c r="I97" s="28">
        <v>84000</v>
      </c>
      <c r="J97" s="28">
        <v>0</v>
      </c>
      <c r="K97" s="14">
        <v>3</v>
      </c>
      <c r="L97" s="14">
        <v>970</v>
      </c>
      <c r="M97" s="14" t="s">
        <v>1887</v>
      </c>
      <c r="N97" s="14" t="s">
        <v>1857</v>
      </c>
      <c r="O97" s="14" t="s">
        <v>2306</v>
      </c>
      <c r="P97" s="14" t="s">
        <v>2307</v>
      </c>
      <c r="Q97" s="14" t="s">
        <v>150</v>
      </c>
      <c r="R97" s="14" t="s">
        <v>38</v>
      </c>
    </row>
    <row r="98" spans="1:18" ht="19.95" customHeight="1" x14ac:dyDescent="0.3">
      <c r="A98" s="21">
        <v>46251.518367245371</v>
      </c>
      <c r="B98" s="13" t="s">
        <v>853</v>
      </c>
      <c r="C98" s="11" t="s">
        <v>2308</v>
      </c>
      <c r="D98" s="11" t="s">
        <v>2309</v>
      </c>
      <c r="E98" s="11" t="s">
        <v>1853</v>
      </c>
      <c r="F98" s="11" t="s">
        <v>1854</v>
      </c>
      <c r="G98" s="11" t="s">
        <v>1855</v>
      </c>
      <c r="H98" s="27">
        <v>17500</v>
      </c>
      <c r="I98" s="27">
        <v>35000</v>
      </c>
      <c r="J98" s="27">
        <v>1800</v>
      </c>
      <c r="K98" s="11">
        <v>2</v>
      </c>
      <c r="L98" s="11" t="s">
        <v>38</v>
      </c>
      <c r="M98" s="11" t="s">
        <v>2310</v>
      </c>
      <c r="N98" s="11" t="s">
        <v>1857</v>
      </c>
      <c r="O98" s="11" t="s">
        <v>2311</v>
      </c>
      <c r="P98" s="11" t="s">
        <v>2312</v>
      </c>
      <c r="Q98" s="11" t="s">
        <v>147</v>
      </c>
      <c r="R98" s="11" t="s">
        <v>38</v>
      </c>
    </row>
    <row r="99" spans="1:18" ht="19.95" customHeight="1" x14ac:dyDescent="0.3">
      <c r="A99" s="23">
        <v>46251.511085891201</v>
      </c>
      <c r="B99" s="16" t="s">
        <v>853</v>
      </c>
      <c r="C99" s="14" t="s">
        <v>2313</v>
      </c>
      <c r="D99" s="14" t="s">
        <v>2314</v>
      </c>
      <c r="E99" s="14" t="s">
        <v>1853</v>
      </c>
      <c r="F99" s="14" t="s">
        <v>1854</v>
      </c>
      <c r="G99" s="14" t="s">
        <v>1855</v>
      </c>
      <c r="H99" s="28">
        <v>17000</v>
      </c>
      <c r="I99" s="28">
        <v>34000</v>
      </c>
      <c r="J99" s="28">
        <v>2000</v>
      </c>
      <c r="K99" s="14">
        <v>2</v>
      </c>
      <c r="L99" s="14" t="s">
        <v>38</v>
      </c>
      <c r="M99" s="14" t="s">
        <v>1943</v>
      </c>
      <c r="N99" s="14" t="s">
        <v>1857</v>
      </c>
      <c r="O99" s="14" t="s">
        <v>2315</v>
      </c>
      <c r="P99" s="14" t="s">
        <v>2316</v>
      </c>
      <c r="Q99" s="14" t="s">
        <v>147</v>
      </c>
      <c r="R99" s="14" t="s">
        <v>38</v>
      </c>
    </row>
    <row r="100" spans="1:18" ht="19.95" customHeight="1" x14ac:dyDescent="0.3">
      <c r="A100" s="21">
        <v>46251.457589849539</v>
      </c>
      <c r="B100" s="13" t="s">
        <v>853</v>
      </c>
      <c r="C100" s="11" t="s">
        <v>2317</v>
      </c>
      <c r="D100" s="11" t="s">
        <v>2318</v>
      </c>
      <c r="E100" s="11" t="s">
        <v>1853</v>
      </c>
      <c r="F100" s="11" t="s">
        <v>1854</v>
      </c>
      <c r="G100" s="11" t="s">
        <v>1855</v>
      </c>
      <c r="H100" s="27">
        <v>55000</v>
      </c>
      <c r="I100" s="27">
        <v>110000</v>
      </c>
      <c r="J100" s="27">
        <v>2500</v>
      </c>
      <c r="K100" s="11">
        <v>3</v>
      </c>
      <c r="L100" s="11" t="s">
        <v>38</v>
      </c>
      <c r="M100" s="11" t="s">
        <v>2063</v>
      </c>
      <c r="N100" s="11" t="s">
        <v>1857</v>
      </c>
      <c r="O100" s="11" t="s">
        <v>2319</v>
      </c>
      <c r="P100" s="11" t="s">
        <v>2320</v>
      </c>
      <c r="Q100" s="11" t="s">
        <v>152</v>
      </c>
      <c r="R100" s="11" t="s">
        <v>38</v>
      </c>
    </row>
    <row r="101" spans="1:18" ht="19.95" customHeight="1" x14ac:dyDescent="0.3">
      <c r="A101" s="23">
        <v>46251.443684537036</v>
      </c>
      <c r="B101" s="16" t="s">
        <v>853</v>
      </c>
      <c r="C101" s="14" t="s">
        <v>2321</v>
      </c>
      <c r="D101" s="14" t="s">
        <v>2322</v>
      </c>
      <c r="E101" s="14" t="s">
        <v>1886</v>
      </c>
      <c r="F101" s="14" t="s">
        <v>1854</v>
      </c>
      <c r="G101" s="14" t="s">
        <v>1862</v>
      </c>
      <c r="H101" s="28">
        <v>40000</v>
      </c>
      <c r="I101" s="28">
        <v>80000</v>
      </c>
      <c r="J101" s="28">
        <v>2000</v>
      </c>
      <c r="K101" s="14">
        <v>3</v>
      </c>
      <c r="L101" s="14" t="s">
        <v>38</v>
      </c>
      <c r="M101" s="14" t="s">
        <v>38</v>
      </c>
      <c r="N101" s="14" t="s">
        <v>1857</v>
      </c>
      <c r="O101" s="14" t="s">
        <v>2323</v>
      </c>
      <c r="P101" s="14" t="s">
        <v>2324</v>
      </c>
      <c r="Q101" s="14" t="s">
        <v>152</v>
      </c>
      <c r="R101" s="14" t="s">
        <v>38</v>
      </c>
    </row>
    <row r="102" spans="1:18" ht="19.95" customHeight="1" x14ac:dyDescent="0.3">
      <c r="A102" s="21">
        <v>46251.434711516202</v>
      </c>
      <c r="B102" s="13" t="s">
        <v>853</v>
      </c>
      <c r="C102" s="11" t="s">
        <v>2325</v>
      </c>
      <c r="D102" s="11" t="s">
        <v>2326</v>
      </c>
      <c r="E102" s="11" t="s">
        <v>1853</v>
      </c>
      <c r="F102" s="11" t="s">
        <v>1854</v>
      </c>
      <c r="G102" s="11" t="s">
        <v>1855</v>
      </c>
      <c r="H102" s="27">
        <v>35000</v>
      </c>
      <c r="I102" s="27">
        <v>70000</v>
      </c>
      <c r="J102" s="27">
        <v>2000</v>
      </c>
      <c r="K102" s="11">
        <v>3</v>
      </c>
      <c r="L102" s="11" t="s">
        <v>38</v>
      </c>
      <c r="M102" s="11" t="s">
        <v>38</v>
      </c>
      <c r="N102" s="11" t="s">
        <v>1857</v>
      </c>
      <c r="O102" s="11" t="s">
        <v>2327</v>
      </c>
      <c r="P102" s="11" t="s">
        <v>2328</v>
      </c>
      <c r="Q102" s="11" t="s">
        <v>152</v>
      </c>
      <c r="R102" s="11" t="s">
        <v>38</v>
      </c>
    </row>
    <row r="103" spans="1:18" ht="19.95" customHeight="1" x14ac:dyDescent="0.3">
      <c r="A103" s="23">
        <v>46249.035441122687</v>
      </c>
      <c r="B103" s="16" t="s">
        <v>853</v>
      </c>
      <c r="C103" s="14" t="s">
        <v>2329</v>
      </c>
      <c r="D103" s="14" t="s">
        <v>2330</v>
      </c>
      <c r="E103" s="14" t="s">
        <v>1853</v>
      </c>
      <c r="F103" s="14" t="s">
        <v>1854</v>
      </c>
      <c r="G103" s="14" t="s">
        <v>1855</v>
      </c>
      <c r="H103" s="28">
        <v>55000</v>
      </c>
      <c r="I103" s="28">
        <v>110000</v>
      </c>
      <c r="J103" s="28">
        <v>5000</v>
      </c>
      <c r="K103" s="14">
        <v>5</v>
      </c>
      <c r="L103" s="14">
        <v>2653</v>
      </c>
      <c r="M103" s="14" t="s">
        <v>2331</v>
      </c>
      <c r="N103" s="14" t="s">
        <v>1857</v>
      </c>
      <c r="O103" s="14" t="s">
        <v>1770</v>
      </c>
      <c r="P103" s="14" t="s">
        <v>2332</v>
      </c>
      <c r="Q103" s="14" t="s">
        <v>155</v>
      </c>
      <c r="R103" s="14" t="s">
        <v>38</v>
      </c>
    </row>
    <row r="104" spans="1:18" ht="19.95" customHeight="1" x14ac:dyDescent="0.3">
      <c r="A104" s="21">
        <v>46248.507181550929</v>
      </c>
      <c r="B104" s="13" t="s">
        <v>853</v>
      </c>
      <c r="C104" s="11" t="s">
        <v>2333</v>
      </c>
      <c r="D104" s="11" t="s">
        <v>2334</v>
      </c>
      <c r="E104" s="11" t="s">
        <v>1853</v>
      </c>
      <c r="F104" s="11" t="s">
        <v>1854</v>
      </c>
      <c r="G104" s="11" t="s">
        <v>1855</v>
      </c>
      <c r="H104" s="27">
        <v>20000</v>
      </c>
      <c r="I104" s="27">
        <v>40000</v>
      </c>
      <c r="J104" s="27">
        <v>2000</v>
      </c>
      <c r="K104" s="11">
        <v>2</v>
      </c>
      <c r="L104" s="11" t="s">
        <v>38</v>
      </c>
      <c r="M104" s="11" t="s">
        <v>2063</v>
      </c>
      <c r="N104" s="11" t="s">
        <v>1857</v>
      </c>
      <c r="O104" s="11" t="s">
        <v>2335</v>
      </c>
      <c r="P104" s="11" t="s">
        <v>2336</v>
      </c>
      <c r="Q104" s="11" t="s">
        <v>152</v>
      </c>
      <c r="R104" s="11" t="s">
        <v>38</v>
      </c>
    </row>
    <row r="105" spans="1:18" ht="19.95" customHeight="1" x14ac:dyDescent="0.3">
      <c r="A105" s="23">
        <v>46247.791047638893</v>
      </c>
      <c r="B105" s="16" t="s">
        <v>853</v>
      </c>
      <c r="C105" s="14" t="s">
        <v>2337</v>
      </c>
      <c r="D105" s="14" t="s">
        <v>2338</v>
      </c>
      <c r="E105" s="14" t="s">
        <v>2339</v>
      </c>
      <c r="F105" s="14" t="s">
        <v>1955</v>
      </c>
      <c r="G105" s="14" t="s">
        <v>1855</v>
      </c>
      <c r="H105" s="28">
        <v>24000000</v>
      </c>
      <c r="I105" s="28">
        <v>0</v>
      </c>
      <c r="J105" s="28">
        <v>0</v>
      </c>
      <c r="K105" s="14">
        <v>1</v>
      </c>
      <c r="L105" s="14" t="s">
        <v>38</v>
      </c>
      <c r="M105" s="14" t="s">
        <v>38</v>
      </c>
      <c r="N105" s="14" t="s">
        <v>1857</v>
      </c>
      <c r="O105" s="14" t="s">
        <v>2340</v>
      </c>
      <c r="P105" s="14" t="s">
        <v>2341</v>
      </c>
      <c r="Q105" s="14" t="s">
        <v>150</v>
      </c>
      <c r="R105" s="14" t="s">
        <v>38</v>
      </c>
    </row>
    <row r="106" spans="1:18" ht="19.95" customHeight="1" x14ac:dyDescent="0.3">
      <c r="A106" s="21">
        <v>46247.788468692132</v>
      </c>
      <c r="B106" s="13" t="s">
        <v>853</v>
      </c>
      <c r="C106" s="11" t="s">
        <v>2342</v>
      </c>
      <c r="D106" s="11" t="s">
        <v>2343</v>
      </c>
      <c r="E106" s="11" t="s">
        <v>2339</v>
      </c>
      <c r="F106" s="11" t="s">
        <v>1955</v>
      </c>
      <c r="G106" s="11" t="s">
        <v>1855</v>
      </c>
      <c r="H106" s="27">
        <v>30000000</v>
      </c>
      <c r="I106" s="27">
        <v>0</v>
      </c>
      <c r="J106" s="27">
        <v>0</v>
      </c>
      <c r="K106" s="11">
        <v>1</v>
      </c>
      <c r="L106" s="11" t="s">
        <v>38</v>
      </c>
      <c r="M106" s="11" t="s">
        <v>2004</v>
      </c>
      <c r="N106" s="11" t="s">
        <v>1857</v>
      </c>
      <c r="O106" s="11" t="s">
        <v>2344</v>
      </c>
      <c r="P106" s="11" t="s">
        <v>2345</v>
      </c>
      <c r="Q106" s="11" t="s">
        <v>150</v>
      </c>
      <c r="R106" s="11" t="s">
        <v>38</v>
      </c>
    </row>
    <row r="107" spans="1:18" ht="19.95" customHeight="1" x14ac:dyDescent="0.3">
      <c r="A107" s="23">
        <v>46247.673652384263</v>
      </c>
      <c r="B107" s="16" t="s">
        <v>853</v>
      </c>
      <c r="C107" s="14" t="s">
        <v>2346</v>
      </c>
      <c r="D107" s="14" t="s">
        <v>2347</v>
      </c>
      <c r="E107" s="14" t="s">
        <v>1853</v>
      </c>
      <c r="F107" s="14" t="s">
        <v>1955</v>
      </c>
      <c r="G107" s="14" t="s">
        <v>1855</v>
      </c>
      <c r="H107" s="28">
        <v>9200000</v>
      </c>
      <c r="I107" s="28">
        <v>0</v>
      </c>
      <c r="J107" s="28">
        <v>0</v>
      </c>
      <c r="K107" s="14">
        <v>3</v>
      </c>
      <c r="L107" s="14">
        <v>890</v>
      </c>
      <c r="M107" s="14" t="s">
        <v>38</v>
      </c>
      <c r="N107" s="14" t="s">
        <v>1857</v>
      </c>
      <c r="O107" s="14" t="s">
        <v>2348</v>
      </c>
      <c r="P107" s="14" t="s">
        <v>2349</v>
      </c>
      <c r="Q107" s="14" t="s">
        <v>150</v>
      </c>
      <c r="R107" s="14" t="s">
        <v>38</v>
      </c>
    </row>
    <row r="108" spans="1:18" ht="19.95" customHeight="1" x14ac:dyDescent="0.3">
      <c r="A108" s="21">
        <v>46247.549537037034</v>
      </c>
      <c r="B108" s="13" t="s">
        <v>853</v>
      </c>
      <c r="C108" s="11" t="s">
        <v>2350</v>
      </c>
      <c r="D108" s="11" t="s">
        <v>2351</v>
      </c>
      <c r="E108" s="11" t="s">
        <v>1853</v>
      </c>
      <c r="F108" s="11" t="s">
        <v>1854</v>
      </c>
      <c r="G108" s="11" t="s">
        <v>1862</v>
      </c>
      <c r="H108" s="27">
        <v>30000</v>
      </c>
      <c r="I108" s="27">
        <v>60000</v>
      </c>
      <c r="J108" s="27">
        <v>1500</v>
      </c>
      <c r="K108" s="11">
        <v>2</v>
      </c>
      <c r="L108" s="11" t="s">
        <v>38</v>
      </c>
      <c r="M108" s="11" t="s">
        <v>1999</v>
      </c>
      <c r="N108" s="11" t="s">
        <v>1857</v>
      </c>
      <c r="O108" s="11" t="s">
        <v>2352</v>
      </c>
      <c r="P108" s="11" t="s">
        <v>2353</v>
      </c>
      <c r="Q108" s="11" t="s">
        <v>152</v>
      </c>
      <c r="R108" s="11" t="s">
        <v>38</v>
      </c>
    </row>
    <row r="109" spans="1:18" ht="19.95" customHeight="1" x14ac:dyDescent="0.3">
      <c r="A109" s="23">
        <v>46247.548926932868</v>
      </c>
      <c r="B109" s="16" t="s">
        <v>853</v>
      </c>
      <c r="C109" s="14" t="s">
        <v>2354</v>
      </c>
      <c r="D109" s="14" t="s">
        <v>2355</v>
      </c>
      <c r="E109" s="14" t="s">
        <v>1853</v>
      </c>
      <c r="F109" s="14" t="s">
        <v>1955</v>
      </c>
      <c r="G109" s="14" t="s">
        <v>1855</v>
      </c>
      <c r="H109" s="28">
        <v>4100000</v>
      </c>
      <c r="I109" s="28">
        <v>0</v>
      </c>
      <c r="J109" s="28">
        <v>0</v>
      </c>
      <c r="K109" s="14">
        <v>3</v>
      </c>
      <c r="L109" s="14">
        <v>700</v>
      </c>
      <c r="M109" s="14" t="s">
        <v>2063</v>
      </c>
      <c r="N109" s="14" t="s">
        <v>1857</v>
      </c>
      <c r="O109" s="14" t="s">
        <v>2356</v>
      </c>
      <c r="P109" s="14" t="s">
        <v>2357</v>
      </c>
      <c r="Q109" s="14" t="s">
        <v>150</v>
      </c>
      <c r="R109" s="14" t="s">
        <v>38</v>
      </c>
    </row>
    <row r="110" spans="1:18" ht="19.95" customHeight="1" x14ac:dyDescent="0.3">
      <c r="A110" s="21">
        <v>46247.547583159721</v>
      </c>
      <c r="B110" s="13" t="s">
        <v>853</v>
      </c>
      <c r="C110" s="11" t="s">
        <v>2358</v>
      </c>
      <c r="D110" s="11" t="s">
        <v>2355</v>
      </c>
      <c r="E110" s="11" t="s">
        <v>1853</v>
      </c>
      <c r="F110" s="11" t="s">
        <v>1854</v>
      </c>
      <c r="G110" s="11" t="s">
        <v>1855</v>
      </c>
      <c r="H110" s="27">
        <v>15000</v>
      </c>
      <c r="I110" s="27">
        <v>30000</v>
      </c>
      <c r="J110" s="27">
        <v>0</v>
      </c>
      <c r="K110" s="11">
        <v>3</v>
      </c>
      <c r="L110" s="11" t="s">
        <v>38</v>
      </c>
      <c r="M110" s="11" t="s">
        <v>2063</v>
      </c>
      <c r="N110" s="11" t="s">
        <v>1857</v>
      </c>
      <c r="O110" s="11" t="s">
        <v>2356</v>
      </c>
      <c r="P110" s="11" t="s">
        <v>2357</v>
      </c>
      <c r="Q110" s="11" t="s">
        <v>150</v>
      </c>
      <c r="R110" s="11" t="s">
        <v>38</v>
      </c>
    </row>
    <row r="111" spans="1:18" ht="19.95" customHeight="1" x14ac:dyDescent="0.3">
      <c r="A111" s="23">
        <v>46247.523218414353</v>
      </c>
      <c r="B111" s="16" t="s">
        <v>853</v>
      </c>
      <c r="C111" s="14" t="s">
        <v>2359</v>
      </c>
      <c r="D111" s="14" t="s">
        <v>2360</v>
      </c>
      <c r="E111" s="14" t="s">
        <v>1853</v>
      </c>
      <c r="F111" s="14" t="s">
        <v>1854</v>
      </c>
      <c r="G111" s="14" t="s">
        <v>1855</v>
      </c>
      <c r="H111" s="28">
        <v>50000</v>
      </c>
      <c r="I111" s="28">
        <v>100000</v>
      </c>
      <c r="J111" s="28">
        <v>3000</v>
      </c>
      <c r="K111" s="14">
        <v>2</v>
      </c>
      <c r="L111" s="14" t="s">
        <v>38</v>
      </c>
      <c r="M111" s="14" t="s">
        <v>2361</v>
      </c>
      <c r="N111" s="14" t="s">
        <v>1857</v>
      </c>
      <c r="O111" s="14" t="s">
        <v>2362</v>
      </c>
      <c r="P111" s="14" t="s">
        <v>2135</v>
      </c>
      <c r="Q111" s="14" t="s">
        <v>152</v>
      </c>
      <c r="R111" s="14" t="s">
        <v>38</v>
      </c>
    </row>
    <row r="112" spans="1:18" ht="19.95" customHeight="1" x14ac:dyDescent="0.3">
      <c r="A112" s="21">
        <v>46246.68095898148</v>
      </c>
      <c r="B112" s="13" t="s">
        <v>853</v>
      </c>
      <c r="C112" s="11" t="s">
        <v>2363</v>
      </c>
      <c r="D112" s="11" t="s">
        <v>2364</v>
      </c>
      <c r="E112" s="11" t="s">
        <v>1853</v>
      </c>
      <c r="F112" s="11" t="s">
        <v>1854</v>
      </c>
      <c r="G112" s="11" t="s">
        <v>1855</v>
      </c>
      <c r="H112" s="27">
        <v>35000</v>
      </c>
      <c r="I112" s="27">
        <v>70000</v>
      </c>
      <c r="J112" s="27">
        <v>0</v>
      </c>
      <c r="K112" s="11">
        <v>3</v>
      </c>
      <c r="L112" s="11" t="s">
        <v>38</v>
      </c>
      <c r="M112" s="11" t="s">
        <v>1880</v>
      </c>
      <c r="N112" s="11" t="s">
        <v>1857</v>
      </c>
      <c r="O112" s="11" t="s">
        <v>2365</v>
      </c>
      <c r="P112" s="11" t="s">
        <v>2366</v>
      </c>
      <c r="Q112" s="11" t="s">
        <v>147</v>
      </c>
      <c r="R112" s="11" t="s">
        <v>38</v>
      </c>
    </row>
    <row r="113" spans="1:18" ht="19.95" customHeight="1" x14ac:dyDescent="0.3">
      <c r="A113" s="23">
        <v>46242.546443935193</v>
      </c>
      <c r="B113" s="16" t="s">
        <v>853</v>
      </c>
      <c r="C113" s="14" t="s">
        <v>2367</v>
      </c>
      <c r="D113" s="14" t="s">
        <v>2368</v>
      </c>
      <c r="E113" s="14" t="s">
        <v>1853</v>
      </c>
      <c r="F113" s="14" t="s">
        <v>1854</v>
      </c>
      <c r="G113" s="14" t="s">
        <v>1855</v>
      </c>
      <c r="H113" s="28">
        <v>35000</v>
      </c>
      <c r="I113" s="28">
        <v>70000</v>
      </c>
      <c r="J113" s="28">
        <v>0</v>
      </c>
      <c r="K113" s="14">
        <v>2</v>
      </c>
      <c r="L113" s="14" t="s">
        <v>38</v>
      </c>
      <c r="M113" s="14" t="s">
        <v>1880</v>
      </c>
      <c r="N113" s="14" t="s">
        <v>1857</v>
      </c>
      <c r="O113" s="14" t="s">
        <v>2369</v>
      </c>
      <c r="P113" s="14" t="s">
        <v>2370</v>
      </c>
      <c r="Q113" s="14" t="s">
        <v>152</v>
      </c>
      <c r="R113" s="14" t="s">
        <v>38</v>
      </c>
    </row>
    <row r="114" spans="1:18" ht="19.95" customHeight="1" x14ac:dyDescent="0.3">
      <c r="A114" s="21">
        <v>46241.718933483797</v>
      </c>
      <c r="B114" s="13" t="s">
        <v>853</v>
      </c>
      <c r="C114" s="11" t="s">
        <v>2371</v>
      </c>
      <c r="D114" s="11" t="s">
        <v>2372</v>
      </c>
      <c r="E114" s="11" t="s">
        <v>1853</v>
      </c>
      <c r="F114" s="11" t="s">
        <v>1854</v>
      </c>
      <c r="G114" s="11" t="s">
        <v>1855</v>
      </c>
      <c r="H114" s="27">
        <v>20000</v>
      </c>
      <c r="I114" s="27">
        <v>40000</v>
      </c>
      <c r="J114" s="27">
        <v>0</v>
      </c>
      <c r="K114" s="11">
        <v>3</v>
      </c>
      <c r="L114" s="11">
        <v>970</v>
      </c>
      <c r="M114" s="11" t="s">
        <v>1880</v>
      </c>
      <c r="N114" s="11" t="s">
        <v>1857</v>
      </c>
      <c r="O114" s="11" t="s">
        <v>2373</v>
      </c>
      <c r="P114" s="11" t="s">
        <v>2374</v>
      </c>
      <c r="Q114" s="11" t="s">
        <v>150</v>
      </c>
      <c r="R114" s="11" t="s">
        <v>38</v>
      </c>
    </row>
    <row r="115" spans="1:18" ht="19.95" customHeight="1" x14ac:dyDescent="0.3">
      <c r="A115" s="23">
        <v>46241.503626053243</v>
      </c>
      <c r="B115" s="16" t="s">
        <v>853</v>
      </c>
      <c r="C115" s="14" t="s">
        <v>2375</v>
      </c>
      <c r="D115" s="14" t="s">
        <v>2376</v>
      </c>
      <c r="E115" s="14" t="s">
        <v>1853</v>
      </c>
      <c r="F115" s="14" t="s">
        <v>1955</v>
      </c>
      <c r="G115" s="14" t="s">
        <v>1855</v>
      </c>
      <c r="H115" s="28">
        <v>15000000</v>
      </c>
      <c r="I115" s="28">
        <v>0</v>
      </c>
      <c r="J115" s="28">
        <v>0</v>
      </c>
      <c r="K115" s="14">
        <v>3</v>
      </c>
      <c r="L115" s="14">
        <v>1056</v>
      </c>
      <c r="M115" s="14" t="s">
        <v>2063</v>
      </c>
      <c r="N115" s="14" t="s">
        <v>1857</v>
      </c>
      <c r="O115" s="14" t="s">
        <v>2377</v>
      </c>
      <c r="P115" s="14" t="s">
        <v>2378</v>
      </c>
      <c r="Q115" s="14" t="s">
        <v>150</v>
      </c>
      <c r="R115" s="14" t="s">
        <v>38</v>
      </c>
    </row>
    <row r="116" spans="1:18" ht="19.95" customHeight="1" x14ac:dyDescent="0.3">
      <c r="A116" s="21">
        <v>46235.698494108787</v>
      </c>
      <c r="B116" s="13" t="s">
        <v>853</v>
      </c>
      <c r="C116" s="11" t="s">
        <v>2379</v>
      </c>
      <c r="D116" s="11" t="s">
        <v>2380</v>
      </c>
      <c r="E116" s="11" t="s">
        <v>1853</v>
      </c>
      <c r="F116" s="11" t="s">
        <v>1854</v>
      </c>
      <c r="G116" s="11" t="s">
        <v>1855</v>
      </c>
      <c r="H116" s="27">
        <v>28000</v>
      </c>
      <c r="I116" s="27">
        <v>56000</v>
      </c>
      <c r="J116" s="27">
        <v>1500</v>
      </c>
      <c r="K116" s="11">
        <v>2</v>
      </c>
      <c r="L116" s="11" t="s">
        <v>38</v>
      </c>
      <c r="M116" s="11" t="s">
        <v>1880</v>
      </c>
      <c r="N116" s="11" t="s">
        <v>1857</v>
      </c>
      <c r="O116" s="11" t="s">
        <v>2381</v>
      </c>
      <c r="P116" s="11" t="s">
        <v>2382</v>
      </c>
      <c r="Q116" s="11" t="s">
        <v>147</v>
      </c>
      <c r="R116" s="11" t="s">
        <v>38</v>
      </c>
    </row>
    <row r="117" spans="1:18" ht="19.95" customHeight="1" x14ac:dyDescent="0.3">
      <c r="A117" s="23">
        <v>46235.676282233799</v>
      </c>
      <c r="B117" s="16" t="s">
        <v>853</v>
      </c>
      <c r="C117" s="14" t="s">
        <v>2383</v>
      </c>
      <c r="D117" s="14" t="s">
        <v>2384</v>
      </c>
      <c r="E117" s="14" t="s">
        <v>1853</v>
      </c>
      <c r="F117" s="14" t="s">
        <v>1955</v>
      </c>
      <c r="G117" s="14" t="s">
        <v>2385</v>
      </c>
      <c r="H117" s="28">
        <v>7500000</v>
      </c>
      <c r="I117" s="28">
        <v>0</v>
      </c>
      <c r="J117" s="28">
        <v>0</v>
      </c>
      <c r="K117" s="14">
        <v>3</v>
      </c>
      <c r="L117" s="14" t="s">
        <v>38</v>
      </c>
      <c r="M117" s="14" t="s">
        <v>2386</v>
      </c>
      <c r="N117" s="14" t="s">
        <v>1857</v>
      </c>
      <c r="O117" s="14" t="s">
        <v>2387</v>
      </c>
      <c r="P117" s="14" t="s">
        <v>2388</v>
      </c>
      <c r="Q117" s="14" t="s">
        <v>147</v>
      </c>
      <c r="R117" s="14" t="s">
        <v>38</v>
      </c>
    </row>
    <row r="118" spans="1:18" ht="19.95" customHeight="1" x14ac:dyDescent="0.3">
      <c r="A118" s="21">
        <v>46235.533348506942</v>
      </c>
      <c r="B118" s="13" t="s">
        <v>853</v>
      </c>
      <c r="C118" s="11" t="s">
        <v>2389</v>
      </c>
      <c r="D118" s="11" t="s">
        <v>2390</v>
      </c>
      <c r="E118" s="11" t="s">
        <v>1853</v>
      </c>
      <c r="F118" s="11" t="s">
        <v>1854</v>
      </c>
      <c r="G118" s="11" t="s">
        <v>1855</v>
      </c>
      <c r="H118" s="27">
        <v>35000</v>
      </c>
      <c r="I118" s="27">
        <v>70000</v>
      </c>
      <c r="J118" s="27">
        <v>2000</v>
      </c>
      <c r="K118" s="11">
        <v>3</v>
      </c>
      <c r="L118" s="11">
        <v>850</v>
      </c>
      <c r="M118" s="11" t="s">
        <v>2390</v>
      </c>
      <c r="N118" s="11" t="s">
        <v>1857</v>
      </c>
      <c r="O118" s="11" t="s">
        <v>2391</v>
      </c>
      <c r="P118" s="11" t="s">
        <v>2392</v>
      </c>
      <c r="Q118" s="11" t="s">
        <v>150</v>
      </c>
      <c r="R118" s="11" t="s">
        <v>38</v>
      </c>
    </row>
    <row r="119" spans="1:18" ht="19.95" customHeight="1" x14ac:dyDescent="0.3">
      <c r="A119" s="23">
        <v>46235.525774340284</v>
      </c>
      <c r="B119" s="16" t="s">
        <v>853</v>
      </c>
      <c r="C119" s="14" t="s">
        <v>2393</v>
      </c>
      <c r="D119" s="14" t="s">
        <v>2394</v>
      </c>
      <c r="E119" s="14" t="s">
        <v>1853</v>
      </c>
      <c r="F119" s="14" t="s">
        <v>1955</v>
      </c>
      <c r="G119" s="14" t="s">
        <v>1855</v>
      </c>
      <c r="H119" s="28">
        <v>35000000</v>
      </c>
      <c r="I119" s="28">
        <v>0</v>
      </c>
      <c r="J119" s="28">
        <v>0</v>
      </c>
      <c r="K119" s="14">
        <v>4</v>
      </c>
      <c r="L119" s="14">
        <v>1800</v>
      </c>
      <c r="M119" s="14" t="s">
        <v>38</v>
      </c>
      <c r="N119" s="14" t="s">
        <v>1857</v>
      </c>
      <c r="O119" s="14" t="s">
        <v>2395</v>
      </c>
      <c r="P119" s="14" t="s">
        <v>2396</v>
      </c>
      <c r="Q119" s="14" t="s">
        <v>150</v>
      </c>
      <c r="R119" s="14" t="s">
        <v>38</v>
      </c>
    </row>
    <row r="120" spans="1:18" ht="19.95" customHeight="1" x14ac:dyDescent="0.3">
      <c r="A120" s="21">
        <v>46234.746391620371</v>
      </c>
      <c r="B120" s="13" t="s">
        <v>853</v>
      </c>
      <c r="C120" s="11" t="s">
        <v>2397</v>
      </c>
      <c r="D120" s="11" t="s">
        <v>2398</v>
      </c>
      <c r="E120" s="11" t="s">
        <v>1853</v>
      </c>
      <c r="F120" s="11" t="s">
        <v>1955</v>
      </c>
      <c r="G120" s="11" t="s">
        <v>2385</v>
      </c>
      <c r="H120" s="27">
        <v>8000000</v>
      </c>
      <c r="I120" s="27">
        <v>0</v>
      </c>
      <c r="J120" s="27">
        <v>0</v>
      </c>
      <c r="K120" s="11">
        <v>2</v>
      </c>
      <c r="L120" s="11" t="s">
        <v>38</v>
      </c>
      <c r="M120" s="11" t="s">
        <v>38</v>
      </c>
      <c r="N120" s="11" t="s">
        <v>1857</v>
      </c>
      <c r="O120" s="11" t="s">
        <v>2399</v>
      </c>
      <c r="P120" s="11" t="s">
        <v>2400</v>
      </c>
      <c r="Q120" s="11" t="s">
        <v>150</v>
      </c>
      <c r="R120" s="11" t="s">
        <v>38</v>
      </c>
    </row>
    <row r="121" spans="1:18" ht="19.95" customHeight="1" x14ac:dyDescent="0.3">
      <c r="A121" s="23">
        <v>46234.493869814818</v>
      </c>
      <c r="B121" s="16" t="s">
        <v>853</v>
      </c>
      <c r="C121" s="14" t="s">
        <v>2401</v>
      </c>
      <c r="D121" s="14" t="s">
        <v>2402</v>
      </c>
      <c r="E121" s="14" t="s">
        <v>1853</v>
      </c>
      <c r="F121" s="14" t="s">
        <v>1955</v>
      </c>
      <c r="G121" s="14" t="s">
        <v>1855</v>
      </c>
      <c r="H121" s="28">
        <v>38500000</v>
      </c>
      <c r="I121" s="28">
        <v>0</v>
      </c>
      <c r="J121" s="28">
        <v>0</v>
      </c>
      <c r="K121" s="14">
        <v>4</v>
      </c>
      <c r="L121" s="14" t="s">
        <v>38</v>
      </c>
      <c r="M121" s="14" t="s">
        <v>2403</v>
      </c>
      <c r="N121" s="14" t="s">
        <v>1857</v>
      </c>
      <c r="O121" s="14" t="s">
        <v>2404</v>
      </c>
      <c r="P121" s="14" t="s">
        <v>2405</v>
      </c>
      <c r="Q121" s="14" t="s">
        <v>152</v>
      </c>
      <c r="R121" s="14" t="s">
        <v>38</v>
      </c>
    </row>
    <row r="122" spans="1:18" ht="19.95" customHeight="1" x14ac:dyDescent="0.3">
      <c r="A122" s="21">
        <v>46233.79106959491</v>
      </c>
      <c r="B122" s="13" t="s">
        <v>853</v>
      </c>
      <c r="C122" s="11" t="s">
        <v>2406</v>
      </c>
      <c r="D122" s="11" t="s">
        <v>2338</v>
      </c>
      <c r="E122" s="11" t="s">
        <v>2339</v>
      </c>
      <c r="F122" s="11" t="s">
        <v>1854</v>
      </c>
      <c r="G122" s="11" t="s">
        <v>1855</v>
      </c>
      <c r="H122" s="27">
        <v>75000</v>
      </c>
      <c r="I122" s="27">
        <v>150000</v>
      </c>
      <c r="J122" s="27">
        <v>0</v>
      </c>
      <c r="K122" s="11">
        <v>1</v>
      </c>
      <c r="L122" s="11" t="s">
        <v>38</v>
      </c>
      <c r="M122" s="11" t="s">
        <v>1887</v>
      </c>
      <c r="N122" s="11" t="s">
        <v>1857</v>
      </c>
      <c r="O122" s="11" t="s">
        <v>2340</v>
      </c>
      <c r="P122" s="11" t="s">
        <v>2341</v>
      </c>
      <c r="Q122" s="11" t="s">
        <v>150</v>
      </c>
      <c r="R122" s="11" t="s">
        <v>38</v>
      </c>
    </row>
    <row r="123" spans="1:18" ht="19.95" customHeight="1" x14ac:dyDescent="0.3">
      <c r="A123" s="23">
        <v>46233.668024803243</v>
      </c>
      <c r="B123" s="16" t="s">
        <v>853</v>
      </c>
      <c r="C123" s="14" t="s">
        <v>2407</v>
      </c>
      <c r="D123" s="14" t="s">
        <v>2408</v>
      </c>
      <c r="E123" s="14" t="s">
        <v>1853</v>
      </c>
      <c r="F123" s="14" t="s">
        <v>1854</v>
      </c>
      <c r="G123" s="14" t="s">
        <v>1855</v>
      </c>
      <c r="H123" s="28">
        <v>25000</v>
      </c>
      <c r="I123" s="28">
        <v>0</v>
      </c>
      <c r="J123" s="28">
        <v>0</v>
      </c>
      <c r="K123" s="14">
        <v>3</v>
      </c>
      <c r="L123" s="14">
        <v>850</v>
      </c>
      <c r="M123" s="14" t="s">
        <v>38</v>
      </c>
      <c r="N123" s="14" t="s">
        <v>1857</v>
      </c>
      <c r="O123" s="14" t="s">
        <v>2409</v>
      </c>
      <c r="P123" s="14" t="s">
        <v>2410</v>
      </c>
      <c r="Q123" s="14" t="s">
        <v>150</v>
      </c>
      <c r="R123" s="14" t="s">
        <v>38</v>
      </c>
    </row>
    <row r="124" spans="1:18" ht="19.95" customHeight="1" x14ac:dyDescent="0.3">
      <c r="A124" s="21">
        <v>46233.472116724537</v>
      </c>
      <c r="B124" s="13" t="s">
        <v>853</v>
      </c>
      <c r="C124" s="11" t="s">
        <v>2411</v>
      </c>
      <c r="D124" s="11" t="s">
        <v>2412</v>
      </c>
      <c r="E124" s="11" t="s">
        <v>1853</v>
      </c>
      <c r="F124" s="11" t="s">
        <v>1854</v>
      </c>
      <c r="G124" s="11" t="s">
        <v>1855</v>
      </c>
      <c r="H124" s="27">
        <v>120000</v>
      </c>
      <c r="I124" s="27">
        <v>0</v>
      </c>
      <c r="J124" s="27">
        <v>0</v>
      </c>
      <c r="K124" s="11">
        <v>4</v>
      </c>
      <c r="L124" s="11">
        <v>1890</v>
      </c>
      <c r="M124" s="11" t="s">
        <v>38</v>
      </c>
      <c r="N124" s="11" t="s">
        <v>1857</v>
      </c>
      <c r="O124" s="11" t="s">
        <v>2413</v>
      </c>
      <c r="P124" s="11" t="s">
        <v>2414</v>
      </c>
      <c r="Q124" s="11" t="s">
        <v>150</v>
      </c>
      <c r="R124" s="11" t="s">
        <v>38</v>
      </c>
    </row>
    <row r="125" spans="1:18" ht="19.95" customHeight="1" x14ac:dyDescent="0.3">
      <c r="A125" s="23">
        <v>46231.504507395832</v>
      </c>
      <c r="B125" s="16" t="s">
        <v>853</v>
      </c>
      <c r="C125" s="14" t="s">
        <v>2415</v>
      </c>
      <c r="D125" s="14" t="s">
        <v>2416</v>
      </c>
      <c r="E125" s="14" t="s">
        <v>1853</v>
      </c>
      <c r="F125" s="14" t="s">
        <v>1854</v>
      </c>
      <c r="G125" s="14" t="s">
        <v>1855</v>
      </c>
      <c r="H125" s="28">
        <v>40000</v>
      </c>
      <c r="I125" s="28">
        <v>0</v>
      </c>
      <c r="J125" s="28">
        <v>2000</v>
      </c>
      <c r="K125" s="14">
        <v>3</v>
      </c>
      <c r="L125" s="14">
        <v>850</v>
      </c>
      <c r="M125" s="14" t="s">
        <v>2403</v>
      </c>
      <c r="N125" s="14" t="s">
        <v>1857</v>
      </c>
      <c r="O125" s="14" t="s">
        <v>2417</v>
      </c>
      <c r="P125" s="14" t="s">
        <v>2418</v>
      </c>
      <c r="Q125" s="14" t="s">
        <v>150</v>
      </c>
      <c r="R125" s="14" t="s">
        <v>886</v>
      </c>
    </row>
    <row r="126" spans="1:18" ht="19.95" customHeight="1" x14ac:dyDescent="0.3">
      <c r="A126" s="21">
        <v>46231.475527662027</v>
      </c>
      <c r="B126" s="13" t="s">
        <v>853</v>
      </c>
      <c r="C126" s="11" t="s">
        <v>2419</v>
      </c>
      <c r="D126" s="11" t="s">
        <v>2420</v>
      </c>
      <c r="E126" s="11" t="s">
        <v>1853</v>
      </c>
      <c r="F126" s="11" t="s">
        <v>1955</v>
      </c>
      <c r="G126" s="11" t="s">
        <v>1855</v>
      </c>
      <c r="H126" s="27">
        <v>9000000</v>
      </c>
      <c r="I126" s="27">
        <v>0</v>
      </c>
      <c r="J126" s="27">
        <v>0</v>
      </c>
      <c r="K126" s="11">
        <v>3</v>
      </c>
      <c r="L126" s="11">
        <v>923</v>
      </c>
      <c r="M126" s="11" t="s">
        <v>2183</v>
      </c>
      <c r="N126" s="11" t="s">
        <v>1857</v>
      </c>
      <c r="O126" s="11" t="s">
        <v>2421</v>
      </c>
      <c r="P126" s="11" t="s">
        <v>2422</v>
      </c>
      <c r="Q126" s="11" t="s">
        <v>150</v>
      </c>
      <c r="R126" s="11" t="s">
        <v>38</v>
      </c>
    </row>
    <row r="127" spans="1:18" ht="19.95" customHeight="1" x14ac:dyDescent="0.3">
      <c r="A127" s="23">
        <v>46230.570697395837</v>
      </c>
      <c r="B127" s="16" t="s">
        <v>853</v>
      </c>
      <c r="C127" s="14" t="s">
        <v>2423</v>
      </c>
      <c r="D127" s="14" t="s">
        <v>2424</v>
      </c>
      <c r="E127" s="14" t="s">
        <v>1853</v>
      </c>
      <c r="F127" s="14" t="s">
        <v>1955</v>
      </c>
      <c r="G127" s="14" t="s">
        <v>1855</v>
      </c>
      <c r="H127" s="28">
        <v>6600000</v>
      </c>
      <c r="I127" s="28">
        <v>0</v>
      </c>
      <c r="J127" s="28">
        <v>0</v>
      </c>
      <c r="K127" s="14">
        <v>2</v>
      </c>
      <c r="L127" s="14">
        <v>711</v>
      </c>
      <c r="M127" s="14" t="s">
        <v>2183</v>
      </c>
      <c r="N127" s="14" t="s">
        <v>1857</v>
      </c>
      <c r="O127" s="14" t="s">
        <v>2425</v>
      </c>
      <c r="P127" s="14" t="s">
        <v>2426</v>
      </c>
      <c r="Q127" s="14" t="s">
        <v>150</v>
      </c>
      <c r="R127" s="14" t="s">
        <v>38</v>
      </c>
    </row>
    <row r="128" spans="1:18" ht="19.95" customHeight="1" x14ac:dyDescent="0.3">
      <c r="A128" s="21">
        <v>46230.563050115743</v>
      </c>
      <c r="B128" s="13" t="s">
        <v>853</v>
      </c>
      <c r="C128" s="11" t="s">
        <v>2427</v>
      </c>
      <c r="D128" s="11" t="s">
        <v>2428</v>
      </c>
      <c r="E128" s="11" t="s">
        <v>1853</v>
      </c>
      <c r="F128" s="11" t="s">
        <v>1955</v>
      </c>
      <c r="G128" s="11" t="s">
        <v>1855</v>
      </c>
      <c r="H128" s="27">
        <v>17000000</v>
      </c>
      <c r="I128" s="27">
        <v>0</v>
      </c>
      <c r="J128" s="27">
        <v>0</v>
      </c>
      <c r="K128" s="11">
        <v>3</v>
      </c>
      <c r="L128" s="11">
        <v>1387</v>
      </c>
      <c r="M128" s="11" t="s">
        <v>2331</v>
      </c>
      <c r="N128" s="11" t="s">
        <v>1857</v>
      </c>
      <c r="O128" s="11" t="s">
        <v>2429</v>
      </c>
      <c r="P128" s="11" t="s">
        <v>2430</v>
      </c>
      <c r="Q128" s="11" t="s">
        <v>150</v>
      </c>
      <c r="R128" s="11" t="s">
        <v>38</v>
      </c>
    </row>
    <row r="129" spans="1:18" ht="19.95" customHeight="1" x14ac:dyDescent="0.3">
      <c r="A129" s="23">
        <v>46230.555033495373</v>
      </c>
      <c r="B129" s="16" t="s">
        <v>853</v>
      </c>
      <c r="C129" s="14" t="s">
        <v>2431</v>
      </c>
      <c r="D129" s="14" t="s">
        <v>2420</v>
      </c>
      <c r="E129" s="14" t="s">
        <v>1853</v>
      </c>
      <c r="F129" s="14" t="s">
        <v>1955</v>
      </c>
      <c r="G129" s="14" t="s">
        <v>1855</v>
      </c>
      <c r="H129" s="28">
        <v>9000000</v>
      </c>
      <c r="I129" s="28">
        <v>0</v>
      </c>
      <c r="J129" s="28">
        <v>0</v>
      </c>
      <c r="K129" s="14">
        <v>3</v>
      </c>
      <c r="L129" s="14">
        <v>930</v>
      </c>
      <c r="M129" s="14" t="s">
        <v>2183</v>
      </c>
      <c r="N129" s="14" t="s">
        <v>1857</v>
      </c>
      <c r="O129" s="14" t="s">
        <v>2432</v>
      </c>
      <c r="P129" s="14" t="s">
        <v>2433</v>
      </c>
      <c r="Q129" s="14" t="s">
        <v>150</v>
      </c>
      <c r="R129" s="14" t="s">
        <v>891</v>
      </c>
    </row>
    <row r="130" spans="1:18" ht="19.95" customHeight="1" x14ac:dyDescent="0.3">
      <c r="A130" s="21">
        <v>46226.533962719906</v>
      </c>
      <c r="B130" s="13" t="s">
        <v>853</v>
      </c>
      <c r="C130" s="11" t="s">
        <v>2434</v>
      </c>
      <c r="D130" s="11" t="s">
        <v>2435</v>
      </c>
      <c r="E130" s="11" t="s">
        <v>1853</v>
      </c>
      <c r="F130" s="11" t="s">
        <v>1854</v>
      </c>
      <c r="G130" s="11" t="s">
        <v>1855</v>
      </c>
      <c r="H130" s="27">
        <v>38000</v>
      </c>
      <c r="I130" s="27">
        <v>0</v>
      </c>
      <c r="J130" s="27">
        <v>2000</v>
      </c>
      <c r="K130" s="11">
        <v>3</v>
      </c>
      <c r="L130" s="11">
        <v>1387</v>
      </c>
      <c r="M130" s="11" t="s">
        <v>2331</v>
      </c>
      <c r="N130" s="11" t="s">
        <v>1857</v>
      </c>
      <c r="O130" s="11" t="s">
        <v>2436</v>
      </c>
      <c r="P130" s="11" t="s">
        <v>2437</v>
      </c>
      <c r="Q130" s="11" t="s">
        <v>150</v>
      </c>
      <c r="R130" s="11" t="s">
        <v>38</v>
      </c>
    </row>
    <row r="131" spans="1:18" ht="19.95" customHeight="1" x14ac:dyDescent="0.3">
      <c r="A131" s="23">
        <v>46223.758859895832</v>
      </c>
      <c r="B131" s="16" t="s">
        <v>853</v>
      </c>
      <c r="C131" s="14" t="s">
        <v>2438</v>
      </c>
      <c r="D131" s="14" t="s">
        <v>2439</v>
      </c>
      <c r="E131" s="14" t="s">
        <v>1901</v>
      </c>
      <c r="F131" s="14" t="s">
        <v>1854</v>
      </c>
      <c r="G131" s="14" t="s">
        <v>1855</v>
      </c>
      <c r="H131" s="28">
        <v>130000</v>
      </c>
      <c r="I131" s="28">
        <v>0</v>
      </c>
      <c r="J131" s="28">
        <v>0</v>
      </c>
      <c r="K131" s="14">
        <v>1</v>
      </c>
      <c r="L131" s="14" t="s">
        <v>38</v>
      </c>
      <c r="M131" s="14" t="s">
        <v>1949</v>
      </c>
      <c r="N131" s="14" t="s">
        <v>1857</v>
      </c>
      <c r="O131" s="14" t="s">
        <v>2440</v>
      </c>
      <c r="P131" s="14" t="s">
        <v>2441</v>
      </c>
      <c r="Q131" s="14" t="s">
        <v>147</v>
      </c>
      <c r="R131" s="14" t="s">
        <v>38</v>
      </c>
    </row>
    <row r="132" spans="1:18" ht="19.95" customHeight="1" x14ac:dyDescent="0.3">
      <c r="A132" s="21">
        <v>46223.742143124997</v>
      </c>
      <c r="B132" s="13" t="s">
        <v>853</v>
      </c>
      <c r="C132" s="11" t="s">
        <v>2442</v>
      </c>
      <c r="D132" s="11" t="s">
        <v>2443</v>
      </c>
      <c r="E132" s="11" t="s">
        <v>1886</v>
      </c>
      <c r="F132" s="11" t="s">
        <v>1854</v>
      </c>
      <c r="G132" s="11" t="s">
        <v>1855</v>
      </c>
      <c r="H132" s="27">
        <v>58000</v>
      </c>
      <c r="I132" s="27">
        <v>0</v>
      </c>
      <c r="J132" s="27">
        <v>3000</v>
      </c>
      <c r="K132" s="11">
        <v>3</v>
      </c>
      <c r="L132" s="11" t="s">
        <v>38</v>
      </c>
      <c r="M132" s="11" t="s">
        <v>38</v>
      </c>
      <c r="N132" s="11" t="s">
        <v>1857</v>
      </c>
      <c r="O132" s="11" t="s">
        <v>2444</v>
      </c>
      <c r="P132" s="11" t="s">
        <v>2445</v>
      </c>
      <c r="Q132" s="11" t="s">
        <v>152</v>
      </c>
      <c r="R132" s="11" t="s">
        <v>38</v>
      </c>
    </row>
    <row r="133" spans="1:18" ht="19.95" customHeight="1" x14ac:dyDescent="0.3">
      <c r="A133" s="23">
        <v>46223.741138819452</v>
      </c>
      <c r="B133" s="16" t="s">
        <v>853</v>
      </c>
      <c r="C133" s="14" t="s">
        <v>2446</v>
      </c>
      <c r="D133" s="14" t="s">
        <v>2447</v>
      </c>
      <c r="E133" s="14" t="s">
        <v>2448</v>
      </c>
      <c r="F133" s="14" t="s">
        <v>1955</v>
      </c>
      <c r="G133" s="14" t="s">
        <v>1855</v>
      </c>
      <c r="H133" s="28">
        <v>8000000</v>
      </c>
      <c r="I133" s="28">
        <v>0</v>
      </c>
      <c r="J133" s="28">
        <v>0</v>
      </c>
      <c r="K133" s="14">
        <v>3</v>
      </c>
      <c r="L133" s="14" t="s">
        <v>38</v>
      </c>
      <c r="M133" s="14" t="s">
        <v>2386</v>
      </c>
      <c r="N133" s="14" t="s">
        <v>1857</v>
      </c>
      <c r="O133" s="14" t="s">
        <v>2449</v>
      </c>
      <c r="P133" s="14" t="s">
        <v>2450</v>
      </c>
      <c r="Q133" s="14" t="s">
        <v>147</v>
      </c>
      <c r="R133" s="14" t="s">
        <v>38</v>
      </c>
    </row>
    <row r="134" spans="1:18" ht="19.95" customHeight="1" x14ac:dyDescent="0.3">
      <c r="A134" s="21">
        <v>46223.739486759259</v>
      </c>
      <c r="B134" s="13" t="s">
        <v>853</v>
      </c>
      <c r="C134" s="11" t="s">
        <v>2451</v>
      </c>
      <c r="D134" s="11" t="s">
        <v>2420</v>
      </c>
      <c r="E134" s="11" t="s">
        <v>1853</v>
      </c>
      <c r="F134" s="11" t="s">
        <v>1955</v>
      </c>
      <c r="G134" s="11" t="s">
        <v>1855</v>
      </c>
      <c r="H134" s="27">
        <v>8700000</v>
      </c>
      <c r="I134" s="27">
        <v>0</v>
      </c>
      <c r="J134" s="27">
        <v>0</v>
      </c>
      <c r="K134" s="11">
        <v>3</v>
      </c>
      <c r="L134" s="11">
        <v>930</v>
      </c>
      <c r="M134" s="11" t="s">
        <v>2183</v>
      </c>
      <c r="N134" s="11" t="s">
        <v>1857</v>
      </c>
      <c r="O134" s="11" t="s">
        <v>2452</v>
      </c>
      <c r="P134" s="11" t="s">
        <v>2453</v>
      </c>
      <c r="Q134" s="11" t="s">
        <v>150</v>
      </c>
      <c r="R134" s="11" t="s">
        <v>38</v>
      </c>
    </row>
    <row r="135" spans="1:18" ht="19.95" customHeight="1" x14ac:dyDescent="0.3">
      <c r="A135" s="23">
        <v>46223.723138344911</v>
      </c>
      <c r="B135" s="16" t="s">
        <v>853</v>
      </c>
      <c r="C135" s="14" t="s">
        <v>2454</v>
      </c>
      <c r="D135" s="14" t="s">
        <v>2309</v>
      </c>
      <c r="E135" s="14" t="s">
        <v>2448</v>
      </c>
      <c r="F135" s="14" t="s">
        <v>1854</v>
      </c>
      <c r="G135" s="14" t="s">
        <v>1855</v>
      </c>
      <c r="H135" s="28">
        <v>17000</v>
      </c>
      <c r="I135" s="28">
        <v>0</v>
      </c>
      <c r="J135" s="28">
        <v>0</v>
      </c>
      <c r="K135" s="14">
        <v>2</v>
      </c>
      <c r="L135" s="14">
        <v>630</v>
      </c>
      <c r="M135" s="14" t="s">
        <v>38</v>
      </c>
      <c r="N135" s="14" t="s">
        <v>1857</v>
      </c>
      <c r="O135" s="14" t="s">
        <v>2455</v>
      </c>
      <c r="P135" s="14" t="s">
        <v>2456</v>
      </c>
      <c r="Q135" s="14" t="s">
        <v>147</v>
      </c>
      <c r="R135" s="14" t="s">
        <v>38</v>
      </c>
    </row>
    <row r="136" spans="1:18" ht="19.95" customHeight="1" x14ac:dyDescent="0.3">
      <c r="A136" s="21">
        <v>46223.720639861109</v>
      </c>
      <c r="B136" s="13" t="s">
        <v>853</v>
      </c>
      <c r="C136" s="11" t="s">
        <v>2457</v>
      </c>
      <c r="D136" s="11" t="s">
        <v>2402</v>
      </c>
      <c r="E136" s="11" t="s">
        <v>1853</v>
      </c>
      <c r="F136" s="11" t="s">
        <v>1955</v>
      </c>
      <c r="G136" s="11" t="s">
        <v>1855</v>
      </c>
      <c r="H136" s="27">
        <v>38500000</v>
      </c>
      <c r="I136" s="27">
        <v>0</v>
      </c>
      <c r="J136" s="27">
        <v>3500</v>
      </c>
      <c r="K136" s="11">
        <v>4</v>
      </c>
      <c r="L136" s="11">
        <v>2332</v>
      </c>
      <c r="M136" s="11" t="s">
        <v>2458</v>
      </c>
      <c r="N136" s="11" t="s">
        <v>1857</v>
      </c>
      <c r="O136" s="11" t="s">
        <v>2459</v>
      </c>
      <c r="P136" s="11" t="s">
        <v>1888</v>
      </c>
      <c r="Q136" s="11" t="s">
        <v>152</v>
      </c>
      <c r="R136" s="11" t="s">
        <v>2460</v>
      </c>
    </row>
    <row r="137" spans="1:18" ht="19.95" customHeight="1" x14ac:dyDescent="0.3">
      <c r="A137" s="23">
        <v>46223.713335567132</v>
      </c>
      <c r="B137" s="16" t="s">
        <v>853</v>
      </c>
      <c r="C137" s="14" t="s">
        <v>2461</v>
      </c>
      <c r="D137" s="14" t="s">
        <v>2462</v>
      </c>
      <c r="E137" s="14" t="s">
        <v>1886</v>
      </c>
      <c r="F137" s="14" t="s">
        <v>1955</v>
      </c>
      <c r="G137" s="14" t="s">
        <v>1855</v>
      </c>
      <c r="H137" s="28">
        <v>35000000</v>
      </c>
      <c r="I137" s="28">
        <v>0</v>
      </c>
      <c r="J137" s="28">
        <v>3500</v>
      </c>
      <c r="K137" s="14">
        <v>3</v>
      </c>
      <c r="L137" s="14" t="s">
        <v>38</v>
      </c>
      <c r="M137" s="14" t="s">
        <v>38</v>
      </c>
      <c r="N137" s="14" t="s">
        <v>1857</v>
      </c>
      <c r="O137" s="14" t="s">
        <v>2463</v>
      </c>
      <c r="P137" s="14" t="s">
        <v>2464</v>
      </c>
      <c r="Q137" s="14" t="s">
        <v>152</v>
      </c>
      <c r="R137" s="14" t="s">
        <v>899</v>
      </c>
    </row>
    <row r="138" spans="1:18" ht="19.95" customHeight="1" x14ac:dyDescent="0.3">
      <c r="A138" s="21">
        <v>46223.707593541672</v>
      </c>
      <c r="B138" s="13" t="s">
        <v>853</v>
      </c>
      <c r="C138" s="11" t="s">
        <v>2465</v>
      </c>
      <c r="D138" s="11" t="s">
        <v>2466</v>
      </c>
      <c r="E138" s="11" t="s">
        <v>1853</v>
      </c>
      <c r="F138" s="11" t="s">
        <v>1854</v>
      </c>
      <c r="G138" s="11" t="s">
        <v>1855</v>
      </c>
      <c r="H138" s="27">
        <v>80000</v>
      </c>
      <c r="I138" s="27">
        <v>0</v>
      </c>
      <c r="J138" s="27">
        <v>0</v>
      </c>
      <c r="K138" s="11">
        <v>4</v>
      </c>
      <c r="L138" s="11">
        <v>1540</v>
      </c>
      <c r="M138" s="11" t="s">
        <v>2403</v>
      </c>
      <c r="N138" s="11" t="s">
        <v>1857</v>
      </c>
      <c r="O138" s="11" t="s">
        <v>2467</v>
      </c>
      <c r="P138" s="11" t="s">
        <v>2468</v>
      </c>
      <c r="Q138" s="11" t="s">
        <v>150</v>
      </c>
      <c r="R138" s="11" t="s">
        <v>38</v>
      </c>
    </row>
    <row r="139" spans="1:18" ht="19.95" customHeight="1" x14ac:dyDescent="0.3">
      <c r="A139" s="23">
        <v>46223.637680671287</v>
      </c>
      <c r="B139" s="16" t="s">
        <v>853</v>
      </c>
      <c r="C139" s="14" t="s">
        <v>2469</v>
      </c>
      <c r="D139" s="14" t="s">
        <v>2470</v>
      </c>
      <c r="E139" s="14" t="s">
        <v>1853</v>
      </c>
      <c r="F139" s="14" t="s">
        <v>1955</v>
      </c>
      <c r="G139" s="14" t="s">
        <v>1855</v>
      </c>
      <c r="H139" s="28">
        <v>15500000</v>
      </c>
      <c r="I139" s="28">
        <v>0</v>
      </c>
      <c r="J139" s="28">
        <v>0</v>
      </c>
      <c r="K139" s="14">
        <v>3</v>
      </c>
      <c r="L139" s="14">
        <v>1400</v>
      </c>
      <c r="M139" s="14" t="s">
        <v>38</v>
      </c>
      <c r="N139" s="14" t="s">
        <v>1857</v>
      </c>
      <c r="O139" s="14" t="s">
        <v>2471</v>
      </c>
      <c r="P139" s="14" t="s">
        <v>2472</v>
      </c>
      <c r="Q139" s="14" t="s">
        <v>150</v>
      </c>
      <c r="R139" s="14" t="s">
        <v>38</v>
      </c>
    </row>
    <row r="140" spans="1:18" ht="19.95" customHeight="1" x14ac:dyDescent="0.3">
      <c r="A140" s="21">
        <v>46223.63367127315</v>
      </c>
      <c r="B140" s="13" t="s">
        <v>853</v>
      </c>
      <c r="C140" s="11" t="s">
        <v>2473</v>
      </c>
      <c r="D140" s="11" t="s">
        <v>2474</v>
      </c>
      <c r="E140" s="11" t="s">
        <v>1886</v>
      </c>
      <c r="F140" s="11" t="s">
        <v>1854</v>
      </c>
      <c r="G140" s="11" t="s">
        <v>1862</v>
      </c>
      <c r="H140" s="27">
        <v>70000</v>
      </c>
      <c r="I140" s="27">
        <v>140000</v>
      </c>
      <c r="J140" s="27">
        <v>2000</v>
      </c>
      <c r="K140" s="11">
        <v>4</v>
      </c>
      <c r="L140" s="11">
        <v>2000</v>
      </c>
      <c r="M140" s="11" t="s">
        <v>1887</v>
      </c>
      <c r="N140" s="11" t="s">
        <v>1857</v>
      </c>
      <c r="O140" s="11" t="s">
        <v>152</v>
      </c>
      <c r="P140" s="11" t="s">
        <v>1888</v>
      </c>
      <c r="Q140" s="11" t="s">
        <v>150</v>
      </c>
      <c r="R140" s="11" t="s">
        <v>2475</v>
      </c>
    </row>
    <row r="141" spans="1:18" ht="19.95" customHeight="1" x14ac:dyDescent="0.3">
      <c r="A141" s="23">
        <v>46223.552672662037</v>
      </c>
      <c r="B141" s="16" t="s">
        <v>853</v>
      </c>
      <c r="C141" s="14" t="s">
        <v>2476</v>
      </c>
      <c r="D141" s="14" t="s">
        <v>2477</v>
      </c>
      <c r="E141" s="14" t="s">
        <v>1927</v>
      </c>
      <c r="F141" s="14" t="s">
        <v>1854</v>
      </c>
      <c r="G141" s="14" t="s">
        <v>1855</v>
      </c>
      <c r="H141" s="28">
        <v>17000</v>
      </c>
      <c r="I141" s="28">
        <v>0</v>
      </c>
      <c r="J141" s="28">
        <v>2000</v>
      </c>
      <c r="K141" s="14">
        <v>1</v>
      </c>
      <c r="L141" s="14">
        <v>132</v>
      </c>
      <c r="M141" s="14" t="s">
        <v>2144</v>
      </c>
      <c r="N141" s="14" t="s">
        <v>1857</v>
      </c>
      <c r="O141" s="14" t="s">
        <v>2478</v>
      </c>
      <c r="P141" s="14" t="s">
        <v>2479</v>
      </c>
      <c r="Q141" s="14" t="s">
        <v>152</v>
      </c>
      <c r="R141" s="14" t="s">
        <v>903</v>
      </c>
    </row>
    <row r="142" spans="1:18" ht="19.95" customHeight="1" x14ac:dyDescent="0.3">
      <c r="A142" s="21">
        <v>46223.539957581022</v>
      </c>
      <c r="B142" s="13" t="s">
        <v>853</v>
      </c>
      <c r="C142" s="11" t="s">
        <v>2480</v>
      </c>
      <c r="D142" s="11" t="s">
        <v>2481</v>
      </c>
      <c r="E142" s="11" t="s">
        <v>1853</v>
      </c>
      <c r="F142" s="11" t="s">
        <v>1955</v>
      </c>
      <c r="G142" s="11" t="s">
        <v>1855</v>
      </c>
      <c r="H142" s="27">
        <v>9200000</v>
      </c>
      <c r="I142" s="27">
        <v>0</v>
      </c>
      <c r="J142" s="27">
        <v>0</v>
      </c>
      <c r="K142" s="11">
        <v>3</v>
      </c>
      <c r="L142" s="11" t="s">
        <v>38</v>
      </c>
      <c r="M142" s="11" t="s">
        <v>2183</v>
      </c>
      <c r="N142" s="11" t="s">
        <v>1857</v>
      </c>
      <c r="O142" s="11" t="s">
        <v>2482</v>
      </c>
      <c r="P142" s="11" t="s">
        <v>2433</v>
      </c>
      <c r="Q142" s="11" t="s">
        <v>147</v>
      </c>
      <c r="R142" s="11" t="s">
        <v>38</v>
      </c>
    </row>
    <row r="143" spans="1:18" ht="19.95" customHeight="1" x14ac:dyDescent="0.3">
      <c r="A143" s="23">
        <v>46223.518312881948</v>
      </c>
      <c r="B143" s="16" t="s">
        <v>853</v>
      </c>
      <c r="C143" s="14" t="s">
        <v>2483</v>
      </c>
      <c r="D143" s="14" t="s">
        <v>2484</v>
      </c>
      <c r="E143" s="14" t="s">
        <v>1853</v>
      </c>
      <c r="F143" s="14" t="s">
        <v>1854</v>
      </c>
      <c r="G143" s="14" t="s">
        <v>1855</v>
      </c>
      <c r="H143" s="28">
        <v>40000</v>
      </c>
      <c r="I143" s="28">
        <v>0</v>
      </c>
      <c r="J143" s="28">
        <v>3000</v>
      </c>
      <c r="K143" s="14">
        <v>3</v>
      </c>
      <c r="L143" s="14">
        <v>1550</v>
      </c>
      <c r="M143" s="14" t="s">
        <v>38</v>
      </c>
      <c r="N143" s="14" t="s">
        <v>1857</v>
      </c>
      <c r="O143" s="14" t="s">
        <v>2485</v>
      </c>
      <c r="P143" s="14" t="s">
        <v>2486</v>
      </c>
      <c r="Q143" s="14" t="s">
        <v>150</v>
      </c>
      <c r="R143" s="14" t="s">
        <v>38</v>
      </c>
    </row>
    <row r="144" spans="1:18" ht="19.95" customHeight="1" x14ac:dyDescent="0.3">
      <c r="A144" s="21">
        <v>46220.742379594907</v>
      </c>
      <c r="B144" s="13" t="s">
        <v>853</v>
      </c>
      <c r="C144" s="11" t="s">
        <v>2487</v>
      </c>
      <c r="D144" s="11" t="s">
        <v>2488</v>
      </c>
      <c r="E144" s="11" t="s">
        <v>1853</v>
      </c>
      <c r="F144" s="11" t="s">
        <v>1854</v>
      </c>
      <c r="G144" s="11" t="s">
        <v>1855</v>
      </c>
      <c r="H144" s="27">
        <v>55000</v>
      </c>
      <c r="I144" s="27">
        <v>0</v>
      </c>
      <c r="J144" s="27">
        <v>5000</v>
      </c>
      <c r="K144" s="11">
        <v>3</v>
      </c>
      <c r="L144" s="11">
        <v>1200</v>
      </c>
      <c r="M144" s="11" t="s">
        <v>38</v>
      </c>
      <c r="N144" s="11" t="s">
        <v>1857</v>
      </c>
      <c r="O144" s="11" t="s">
        <v>2489</v>
      </c>
      <c r="P144" s="11" t="s">
        <v>2490</v>
      </c>
      <c r="Q144" s="11" t="s">
        <v>152</v>
      </c>
      <c r="R144" s="11" t="s">
        <v>907</v>
      </c>
    </row>
    <row r="145" spans="1:18" ht="19.95" customHeight="1" x14ac:dyDescent="0.3">
      <c r="A145" s="23">
        <v>46220.713135983788</v>
      </c>
      <c r="B145" s="16" t="s">
        <v>853</v>
      </c>
      <c r="C145" s="14" t="s">
        <v>2491</v>
      </c>
      <c r="D145" s="14" t="s">
        <v>2492</v>
      </c>
      <c r="E145" s="14" t="s">
        <v>1853</v>
      </c>
      <c r="F145" s="14" t="s">
        <v>1854</v>
      </c>
      <c r="G145" s="14" t="s">
        <v>1855</v>
      </c>
      <c r="H145" s="28">
        <v>46000</v>
      </c>
      <c r="I145" s="28">
        <v>0</v>
      </c>
      <c r="J145" s="28">
        <v>3000</v>
      </c>
      <c r="K145" s="14">
        <v>3</v>
      </c>
      <c r="L145" s="14">
        <v>1305</v>
      </c>
      <c r="M145" s="14" t="s">
        <v>2403</v>
      </c>
      <c r="N145" s="14" t="s">
        <v>1857</v>
      </c>
      <c r="O145" s="14" t="s">
        <v>2493</v>
      </c>
      <c r="P145" s="14" t="s">
        <v>2494</v>
      </c>
      <c r="Q145" s="14" t="s">
        <v>152</v>
      </c>
      <c r="R145" s="14" t="s">
        <v>909</v>
      </c>
    </row>
  </sheetData>
  <autoFilter ref="A1:R14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Pipeline Flow (Simple KPI)</vt:lpstr>
      <vt:lpstr>Executive KPI Dashboard</vt:lpstr>
      <vt:lpstr>Listing</vt:lpstr>
      <vt:lpstr>Requirement</vt:lpstr>
      <vt:lpstr>Inventory (Total Properties)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Soni</cp:lastModifiedBy>
  <dcterms:created xsi:type="dcterms:W3CDTF">2026-09-28T12:43:31Z</dcterms:created>
  <dcterms:modified xsi:type="dcterms:W3CDTF">2026-09-28T13:17:04Z</dcterms:modified>
</cp:coreProperties>
</file>